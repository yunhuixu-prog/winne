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uman/Desktop/AirBrush-V7.6.0 - Android&amp;iOS 新用户限免实验分析/"/>
    </mc:Choice>
  </mc:AlternateContent>
  <xr:revisionPtr revIDLastSave="0" documentId="13_ncr:1_{3ABF97FF-6027-9143-AE79-50E743E5B299}" xr6:coauthVersionLast="38" xr6:coauthVersionMax="38" xr10:uidLastSave="{00000000-0000-0000-0000-000000000000}"/>
  <bookViews>
    <workbookView xWindow="1400" yWindow="1320" windowWidth="27360" windowHeight="16940" activeTab="1" xr2:uid="{64A85C9E-04A5-7147-8A8C-B7296F0F5794}"/>
  </bookViews>
  <sheets>
    <sheet name="dau 与mau 关系" sheetId="1" r:id="rId1"/>
    <sheet name="Sheet1" sheetId="2" r:id="rId2"/>
  </sheets>
  <calcPr calcId="179021"/>
  <pivotCaches>
    <pivotCache cacheId="17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7" i="1" l="1"/>
  <c r="AA36" i="1"/>
  <c r="AA35" i="1"/>
  <c r="AA34" i="1"/>
  <c r="AA33" i="1"/>
  <c r="AA32" i="1"/>
  <c r="AA22" i="1"/>
  <c r="AA23" i="1"/>
  <c r="AA24" i="1"/>
  <c r="AA25" i="1"/>
  <c r="AA26" i="1"/>
  <c r="AA21" i="1"/>
</calcChain>
</file>

<file path=xl/sharedStrings.xml><?xml version="1.0" encoding="utf-8"?>
<sst xmlns="http://schemas.openxmlformats.org/spreadsheetml/2006/main" count="99" uniqueCount="57">
  <si>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</si>
  <si>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select</t>
    </r>
    <r>
      <rPr>
        <sz val="12"/>
        <color rgb="FF202124"/>
        <rFont val="Menlo"/>
        <family val="2"/>
      </rPr>
      <t xml:space="preserve"> </t>
    </r>
  </si>
  <si>
    <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code</t>
    </r>
  </si>
  <si>
    <t>from</t>
  </si>
  <si>
    <t>(</t>
  </si>
  <si>
    <r>
      <t>distinct</t>
    </r>
    <r>
      <rPr>
        <sz val="12"/>
        <color rgb="FF202124"/>
        <rFont val="Menlo"/>
        <family val="2"/>
      </rPr>
      <t xml:space="preserve"> </t>
    </r>
  </si>
  <si>
    <r>
      <t>user_pseudo_id</t>
    </r>
    <r>
      <rPr>
        <sz val="12"/>
        <color rgb="FF202124"/>
        <rFont val="Menlo"/>
        <family val="2"/>
      </rPr>
      <t>,</t>
    </r>
  </si>
  <si>
    <r>
      <t>platform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`dataintegration-265403.func`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convert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'meepo_abcode'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abcode</t>
    </r>
    <r>
      <rPr>
        <sz val="12"/>
        <color rgb="FF202124"/>
        <rFont val="Menlo"/>
        <family val="2"/>
      </rPr>
      <t xml:space="preserve"> 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</si>
  <si>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`airbrush-1324.analytics_152810936.events_*`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</si>
  <si>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'meepo_abcode'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</si>
  <si>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188038"/>
        <rFont val="Menlo"/>
        <family val="2"/>
      </rPr>
      <t>'20250403'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--and '20250506'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</si>
  <si>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'2025-04-04'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'2025-05-04'</t>
    </r>
  </si>
  <si>
    <r>
      <t>)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,</t>
    </r>
    <r>
      <rPr>
        <sz val="12"/>
        <color rgb="FF1967D2"/>
        <rFont val="Menlo"/>
        <family val="2"/>
      </rPr>
      <t>unnest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split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abcode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','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code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</si>
  <si>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'11072'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'11073'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'11074'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'11075'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'11076'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'11077'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</si>
  <si>
    <t>)</t>
  </si>
  <si>
    <r>
      <t>,</t>
    </r>
    <r>
      <rPr>
        <sz val="12"/>
        <color rgb="FF000000"/>
        <rFont val="Menlo"/>
        <family val="2"/>
      </rPr>
      <t>act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</si>
  <si>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event_date_hk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real_device_id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is_new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</si>
  <si>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`dataintegration-265403.dwd.dwd_dzp_behavior_active_device`</t>
    </r>
  </si>
  <si>
    <t>-- FROM `dataintegration-265403.stat.stat_active_advice_detail_d`</t>
  </si>
  <si>
    <r>
      <t>where</t>
    </r>
    <r>
      <rPr>
        <sz val="12"/>
        <color rgb="FF202124"/>
        <rFont val="Menlo"/>
        <family val="2"/>
      </rPr>
      <t xml:space="preserve"> </t>
    </r>
  </si>
  <si>
    <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'2025-04-04'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'2025-05-04'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</si>
  <si>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'AirBrush'</t>
    </r>
  </si>
  <si>
    <r>
      <t>event_date_hk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code</t>
    </r>
    <r>
      <rPr>
        <sz val="12"/>
        <color rgb="FF202124"/>
        <rFont val="Menlo"/>
        <family val="2"/>
      </rPr>
      <t xml:space="preserve"> 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act.user_pseudo_id</t>
    </r>
    <r>
      <rPr>
        <sz val="12"/>
        <color rgb="FF3C4043"/>
        <rFont val="Menlo"/>
        <family val="2"/>
      </rPr>
      <t>)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</si>
  <si>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act.user_pseudo_id</t>
    </r>
    <r>
      <rPr>
        <sz val="12"/>
        <color rgb="FF202124"/>
        <rFont val="Menlo"/>
        <family val="2"/>
      </rPr>
      <t xml:space="preserve">= </t>
    </r>
    <r>
      <rPr>
        <sz val="12"/>
        <color rgb="FF000000"/>
        <rFont val="Menlo"/>
        <family val="2"/>
      </rPr>
      <t>enter.user_pseudo_id</t>
    </r>
    <r>
      <rPr>
        <sz val="12"/>
        <color rgb="FF202124"/>
        <rFont val="Menlo"/>
        <family val="2"/>
      </rPr>
      <t xml:space="preserve"> 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</si>
  <si>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</si>
  <si>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</si>
  <si>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</si>
  <si>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</si>
  <si>
    <t>dau</t>
    <phoneticPr fontId="3" type="noConversion"/>
  </si>
  <si>
    <t>mau</t>
    <phoneticPr fontId="3" type="noConversion"/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</si>
  <si>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'homepage_func_show'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'edit_enter'</t>
    </r>
    <r>
      <rPr>
        <sz val="12"/>
        <color rgb="FF3C4043"/>
        <rFont val="Menlo"/>
        <family val="2"/>
      </rPr>
      <t>)</t>
    </r>
  </si>
  <si>
    <r>
      <t>code</t>
    </r>
    <r>
      <rPr>
        <sz val="12"/>
        <color rgb="FF202124"/>
        <rFont val="Menlo"/>
        <family val="2"/>
      </rPr>
      <t xml:space="preserve"> 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act.user_pseudo_id</t>
    </r>
    <r>
      <rPr>
        <sz val="12"/>
        <color rgb="FF3C4043"/>
        <rFont val="Menlo"/>
        <family val="2"/>
      </rPr>
      <t>)</t>
    </r>
  </si>
  <si>
    <t>event_date_hk</t>
  </si>
  <si>
    <t>code</t>
  </si>
  <si>
    <t>行标签</t>
  </si>
  <si>
    <t>(空白)</t>
  </si>
  <si>
    <t>总计</t>
  </si>
  <si>
    <t>平均值项:dau</t>
  </si>
  <si>
    <t>31天</t>
    <phoneticPr fontId="3" type="noConversion"/>
  </si>
  <si>
    <t>(多项)</t>
  </si>
  <si>
    <t>30天</t>
    <phoneticPr fontId="3" type="noConversion"/>
  </si>
  <si>
    <t>MAU</t>
    <phoneticPr fontId="3" type="noConversion"/>
  </si>
  <si>
    <t>MAU / DAU 系数</t>
    <phoneticPr fontId="3" type="noConversion"/>
  </si>
  <si>
    <t>mau 31</t>
    <phoneticPr fontId="3" type="noConversion"/>
  </si>
  <si>
    <t>mau_30</t>
  </si>
  <si>
    <t>·</t>
    <phoneticPr fontId="3" type="noConversion"/>
  </si>
  <si>
    <t>7月</t>
  </si>
  <si>
    <t>8月</t>
  </si>
  <si>
    <t>9月</t>
  </si>
  <si>
    <t>10月</t>
  </si>
  <si>
    <t>11月</t>
  </si>
  <si>
    <t>25年12月日均DAU</t>
  </si>
  <si>
    <t>26年12月日均DAU</t>
  </si>
  <si>
    <t>月份</t>
    <phoneticPr fontId="3" type="noConversion"/>
  </si>
  <si>
    <t>对照组</t>
    <phoneticPr fontId="3" type="noConversion"/>
  </si>
  <si>
    <t>实验组A</t>
    <phoneticPr fontId="3" type="noConversion"/>
  </si>
  <si>
    <t>实验组B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</si>
</sst>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_(* #,##0_);_(* \(#,##0\);_(* &quot;-&quot;??_);_(@_)"/>
    <numFmt numFmtId="177" formatCode="_(* #,##0.0000_);_(* \(#,##0.0000\);_(* &quot;-&quot;??_);_(@_)"/>
  </numFmts>
  <fonts count="1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000000"/>
      <name val="Menlo"/>
      <family val="2"/>
    </font>
    <font>
      <sz val="12"/>
      <color rgb="FF3C4043"/>
      <name val="Menlo"/>
      <family val="2"/>
    </font>
    <font>
      <sz val="12"/>
      <color rgb="FF188038"/>
      <name val="Menlo"/>
      <family val="2"/>
    </font>
    <font>
      <sz val="12"/>
      <color rgb="FFB80672"/>
      <name val="Menlo"/>
      <family val="2"/>
    </font>
    <font>
      <sz val="12"/>
      <color rgb="FFB06000"/>
      <name val="Menlo"/>
      <family val="2"/>
    </font>
    <font>
      <sz val="10"/>
      <color rgb="FF000000"/>
      <name val="等线"/>
      <family val="4"/>
      <charset val="134"/>
      <scheme val="minor"/>
    </font>
    <font>
      <b/>
      <sz val="10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E83F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2" borderId="1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6" fontId="0" fillId="0" borderId="0" xfId="1" applyNumberFormat="1" applyFont="1">
      <alignment vertical="center"/>
    </xf>
    <xf numFmtId="176" fontId="2" fillId="2" borderId="1" xfId="1" applyNumberFormat="1" applyFont="1" applyFill="1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3" fontId="11" fillId="0" borderId="2" xfId="0" applyNumberFormat="1" applyFont="1" applyBorder="1">
      <alignment vertical="center"/>
    </xf>
    <xf numFmtId="0" fontId="12" fillId="3" borderId="3" xfId="0" applyFont="1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2">
    <dxf>
      <numFmt numFmtId="176" formatCode="_(* #,##0_);_(* \(#,##0\);_(* &quot;-&quot;??_);_(@_)"/>
    </dxf>
    <dxf>
      <numFmt numFmtId="17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83.78418761574" createdVersion="6" refreshedVersion="6" minRefreshableVersion="3" recordCount="217" xr:uid="{410243B5-205E-764F-B92E-C18F09889B4F}">
  <cacheSource type="worksheet">
    <worksheetSource ref="P1:R218" sheet="dau 与mau 关系"/>
  </cacheSource>
  <cacheFields count="3">
    <cacheField name="event_date_hk" numFmtId="14">
      <sharedItems containsSemiMixedTypes="0" containsNonDate="0" containsDate="1" containsString="0" minDate="2025-04-04T00:00:00" maxDate="2025-05-05T00:00:00" count="31"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</sharedItems>
    </cacheField>
    <cacheField name="code" numFmtId="0">
      <sharedItems containsString="0" containsBlank="1" containsNumber="1" containsInteger="1" minValue="11072" maxValue="11077" count="7">
        <m/>
        <n v="11072"/>
        <n v="11073"/>
        <n v="11074"/>
        <n v="11075"/>
        <n v="11076"/>
        <n v="11077"/>
      </sharedItems>
    </cacheField>
    <cacheField name="dau" numFmtId="0">
      <sharedItems containsSemiMixedTypes="0" containsString="0" containsNumber="1" containsInteger="1" minValue="39427" maxValue="222532" count="216">
        <n v="48069"/>
        <n v="151584"/>
        <n v="151642"/>
        <n v="150965"/>
        <n v="71855"/>
        <n v="72104"/>
        <n v="71160"/>
        <n v="48166"/>
        <n v="163191"/>
        <n v="163423"/>
        <n v="163067"/>
        <n v="72188"/>
        <n v="72476"/>
        <n v="72158"/>
        <n v="49219"/>
        <n v="189893"/>
        <n v="190236"/>
        <n v="189888"/>
        <n v="79931"/>
        <n v="79959"/>
        <n v="79706"/>
        <n v="46339"/>
        <n v="176868"/>
        <n v="177011"/>
        <n v="177119"/>
        <n v="75846"/>
        <n v="75713"/>
        <n v="75354"/>
        <n v="42564"/>
        <n v="148894"/>
        <n v="149127"/>
        <n v="149228"/>
        <n v="65268"/>
        <n v="65275"/>
        <n v="64878"/>
        <n v="41259"/>
        <n v="144223"/>
        <n v="145280"/>
        <n v="144976"/>
        <n v="63498"/>
        <n v="63656"/>
        <n v="63487"/>
        <n v="41488"/>
        <n v="146871"/>
        <n v="146777"/>
        <n v="146691"/>
        <n v="64543"/>
        <n v="64588"/>
        <n v="64866"/>
        <n v="42298"/>
        <n v="151119"/>
        <n v="152100"/>
        <n v="151615"/>
        <n v="65686"/>
        <n v="65726"/>
        <n v="65821"/>
        <n v="43511"/>
        <n v="165124"/>
        <n v="164327"/>
        <n v="164386"/>
        <n v="68207"/>
        <n v="68433"/>
        <n v="67978"/>
        <n v="45863"/>
        <n v="195071"/>
        <n v="195417"/>
        <n v="195499"/>
        <n v="78646"/>
        <n v="78341"/>
        <n v="78816"/>
        <n v="44752"/>
        <n v="181773"/>
        <n v="182635"/>
        <n v="182618"/>
        <n v="75703"/>
        <n v="75963"/>
        <n v="75894"/>
        <n v="41069"/>
        <n v="153023"/>
        <n v="153761"/>
        <n v="152804"/>
        <n v="65417"/>
        <n v="65429"/>
        <n v="65182"/>
        <n v="40032"/>
        <n v="148404"/>
        <n v="149214"/>
        <n v="149301"/>
        <n v="64241"/>
        <n v="64331"/>
        <n v="64041"/>
        <n v="40429"/>
        <n v="150829"/>
        <n v="151120"/>
        <n v="151557"/>
        <n v="65678"/>
        <n v="66309"/>
        <n v="65722"/>
        <n v="42124"/>
        <n v="157057"/>
        <n v="158448"/>
        <n v="158936"/>
        <n v="67992"/>
        <n v="68262"/>
        <n v="68010"/>
        <n v="43766"/>
        <n v="174362"/>
        <n v="175279"/>
        <n v="175071"/>
        <n v="73216"/>
        <n v="73728"/>
        <n v="73448"/>
        <n v="47499"/>
        <n v="211025"/>
        <n v="212581"/>
        <n v="212171"/>
        <n v="83935"/>
        <n v="84001"/>
        <n v="83458"/>
        <n v="48303"/>
        <n v="221912"/>
        <n v="222532"/>
        <n v="221779"/>
        <n v="83481"/>
        <n v="83545"/>
        <n v="83600"/>
        <n v="41583"/>
        <n v="167815"/>
        <n v="167822"/>
        <n v="167629"/>
        <n v="70919"/>
        <n v="71365"/>
        <n v="71359"/>
        <n v="39427"/>
        <n v="153094"/>
        <n v="153759"/>
        <n v="153584"/>
        <n v="65624"/>
        <n v="65578"/>
        <n v="65721"/>
        <n v="39471"/>
        <n v="151372"/>
        <n v="151847"/>
        <n v="151552"/>
        <n v="64169"/>
        <n v="64712"/>
        <n v="65059"/>
        <n v="41088"/>
        <n v="157198"/>
        <n v="157470"/>
        <n v="156811"/>
        <n v="65411"/>
        <n v="65933"/>
        <n v="65671"/>
        <n v="42271"/>
        <n v="167636"/>
        <n v="168400"/>
        <n v="167663"/>
        <n v="68488"/>
        <n v="68321"/>
        <n v="68227"/>
        <n v="44412"/>
        <n v="197047"/>
        <n v="198158"/>
        <n v="197645"/>
        <n v="77259"/>
        <n v="77840"/>
        <n v="77128"/>
        <n v="43425"/>
        <n v="186513"/>
        <n v="187863"/>
        <n v="75461"/>
        <n v="75823"/>
        <n v="75479"/>
        <n v="40174"/>
        <n v="155812"/>
        <n v="156305"/>
        <n v="156014"/>
        <n v="64359"/>
        <n v="65233"/>
        <n v="64810"/>
        <n v="40093"/>
        <n v="153434"/>
        <n v="154137"/>
        <n v="154009"/>
        <n v="64378"/>
        <n v="64618"/>
        <n v="64572"/>
        <n v="42091"/>
        <n v="161508"/>
        <n v="162643"/>
        <n v="162384"/>
        <n v="68392"/>
        <n v="69138"/>
        <n v="68678"/>
        <n v="44199"/>
        <n v="174430"/>
        <n v="175928"/>
        <n v="175061"/>
        <n v="76313"/>
        <n v="76233"/>
        <n v="76067"/>
        <n v="43721"/>
        <n v="177495"/>
        <n v="178302"/>
        <n v="178059"/>
        <n v="71919"/>
        <n v="73088"/>
        <n v="72450"/>
        <n v="45880"/>
        <n v="201212"/>
        <n v="202667"/>
        <n v="202805"/>
        <n v="78270"/>
        <n v="78282"/>
        <n v="7836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1"/>
    <x v="0"/>
    <x v="7"/>
  </r>
  <r>
    <x v="1"/>
    <x v="1"/>
    <x v="8"/>
  </r>
  <r>
    <x v="1"/>
    <x v="2"/>
    <x v="9"/>
  </r>
  <r>
    <x v="1"/>
    <x v="3"/>
    <x v="10"/>
  </r>
  <r>
    <x v="1"/>
    <x v="4"/>
    <x v="11"/>
  </r>
  <r>
    <x v="1"/>
    <x v="5"/>
    <x v="12"/>
  </r>
  <r>
    <x v="1"/>
    <x v="6"/>
    <x v="13"/>
  </r>
  <r>
    <x v="2"/>
    <x v="0"/>
    <x v="14"/>
  </r>
  <r>
    <x v="2"/>
    <x v="1"/>
    <x v="15"/>
  </r>
  <r>
    <x v="2"/>
    <x v="2"/>
    <x v="16"/>
  </r>
  <r>
    <x v="2"/>
    <x v="3"/>
    <x v="17"/>
  </r>
  <r>
    <x v="2"/>
    <x v="4"/>
    <x v="18"/>
  </r>
  <r>
    <x v="2"/>
    <x v="5"/>
    <x v="19"/>
  </r>
  <r>
    <x v="2"/>
    <x v="6"/>
    <x v="20"/>
  </r>
  <r>
    <x v="3"/>
    <x v="0"/>
    <x v="21"/>
  </r>
  <r>
    <x v="3"/>
    <x v="1"/>
    <x v="22"/>
  </r>
  <r>
    <x v="3"/>
    <x v="2"/>
    <x v="23"/>
  </r>
  <r>
    <x v="3"/>
    <x v="3"/>
    <x v="24"/>
  </r>
  <r>
    <x v="3"/>
    <x v="4"/>
    <x v="25"/>
  </r>
  <r>
    <x v="3"/>
    <x v="5"/>
    <x v="26"/>
  </r>
  <r>
    <x v="3"/>
    <x v="6"/>
    <x v="27"/>
  </r>
  <r>
    <x v="4"/>
    <x v="0"/>
    <x v="28"/>
  </r>
  <r>
    <x v="4"/>
    <x v="1"/>
    <x v="29"/>
  </r>
  <r>
    <x v="4"/>
    <x v="2"/>
    <x v="30"/>
  </r>
  <r>
    <x v="4"/>
    <x v="3"/>
    <x v="31"/>
  </r>
  <r>
    <x v="4"/>
    <x v="4"/>
    <x v="32"/>
  </r>
  <r>
    <x v="4"/>
    <x v="5"/>
    <x v="33"/>
  </r>
  <r>
    <x v="4"/>
    <x v="6"/>
    <x v="34"/>
  </r>
  <r>
    <x v="5"/>
    <x v="0"/>
    <x v="35"/>
  </r>
  <r>
    <x v="5"/>
    <x v="1"/>
    <x v="36"/>
  </r>
  <r>
    <x v="5"/>
    <x v="2"/>
    <x v="37"/>
  </r>
  <r>
    <x v="5"/>
    <x v="3"/>
    <x v="38"/>
  </r>
  <r>
    <x v="5"/>
    <x v="4"/>
    <x v="39"/>
  </r>
  <r>
    <x v="5"/>
    <x v="5"/>
    <x v="40"/>
  </r>
  <r>
    <x v="5"/>
    <x v="6"/>
    <x v="41"/>
  </r>
  <r>
    <x v="6"/>
    <x v="0"/>
    <x v="42"/>
  </r>
  <r>
    <x v="6"/>
    <x v="1"/>
    <x v="43"/>
  </r>
  <r>
    <x v="6"/>
    <x v="2"/>
    <x v="44"/>
  </r>
  <r>
    <x v="6"/>
    <x v="3"/>
    <x v="45"/>
  </r>
  <r>
    <x v="6"/>
    <x v="4"/>
    <x v="46"/>
  </r>
  <r>
    <x v="6"/>
    <x v="5"/>
    <x v="47"/>
  </r>
  <r>
    <x v="6"/>
    <x v="6"/>
    <x v="48"/>
  </r>
  <r>
    <x v="7"/>
    <x v="0"/>
    <x v="49"/>
  </r>
  <r>
    <x v="7"/>
    <x v="1"/>
    <x v="50"/>
  </r>
  <r>
    <x v="7"/>
    <x v="2"/>
    <x v="51"/>
  </r>
  <r>
    <x v="7"/>
    <x v="3"/>
    <x v="52"/>
  </r>
  <r>
    <x v="7"/>
    <x v="4"/>
    <x v="53"/>
  </r>
  <r>
    <x v="7"/>
    <x v="5"/>
    <x v="54"/>
  </r>
  <r>
    <x v="7"/>
    <x v="6"/>
    <x v="55"/>
  </r>
  <r>
    <x v="8"/>
    <x v="0"/>
    <x v="56"/>
  </r>
  <r>
    <x v="8"/>
    <x v="1"/>
    <x v="57"/>
  </r>
  <r>
    <x v="8"/>
    <x v="2"/>
    <x v="58"/>
  </r>
  <r>
    <x v="8"/>
    <x v="3"/>
    <x v="59"/>
  </r>
  <r>
    <x v="8"/>
    <x v="4"/>
    <x v="60"/>
  </r>
  <r>
    <x v="8"/>
    <x v="5"/>
    <x v="61"/>
  </r>
  <r>
    <x v="8"/>
    <x v="6"/>
    <x v="62"/>
  </r>
  <r>
    <x v="9"/>
    <x v="0"/>
    <x v="63"/>
  </r>
  <r>
    <x v="9"/>
    <x v="1"/>
    <x v="64"/>
  </r>
  <r>
    <x v="9"/>
    <x v="2"/>
    <x v="65"/>
  </r>
  <r>
    <x v="9"/>
    <x v="3"/>
    <x v="66"/>
  </r>
  <r>
    <x v="9"/>
    <x v="4"/>
    <x v="67"/>
  </r>
  <r>
    <x v="9"/>
    <x v="5"/>
    <x v="68"/>
  </r>
  <r>
    <x v="9"/>
    <x v="6"/>
    <x v="69"/>
  </r>
  <r>
    <x v="10"/>
    <x v="0"/>
    <x v="70"/>
  </r>
  <r>
    <x v="10"/>
    <x v="1"/>
    <x v="71"/>
  </r>
  <r>
    <x v="10"/>
    <x v="2"/>
    <x v="72"/>
  </r>
  <r>
    <x v="10"/>
    <x v="3"/>
    <x v="73"/>
  </r>
  <r>
    <x v="10"/>
    <x v="4"/>
    <x v="74"/>
  </r>
  <r>
    <x v="10"/>
    <x v="5"/>
    <x v="75"/>
  </r>
  <r>
    <x v="10"/>
    <x v="6"/>
    <x v="76"/>
  </r>
  <r>
    <x v="11"/>
    <x v="0"/>
    <x v="77"/>
  </r>
  <r>
    <x v="11"/>
    <x v="1"/>
    <x v="78"/>
  </r>
  <r>
    <x v="11"/>
    <x v="2"/>
    <x v="79"/>
  </r>
  <r>
    <x v="11"/>
    <x v="3"/>
    <x v="80"/>
  </r>
  <r>
    <x v="11"/>
    <x v="4"/>
    <x v="81"/>
  </r>
  <r>
    <x v="11"/>
    <x v="5"/>
    <x v="82"/>
  </r>
  <r>
    <x v="11"/>
    <x v="6"/>
    <x v="83"/>
  </r>
  <r>
    <x v="12"/>
    <x v="0"/>
    <x v="84"/>
  </r>
  <r>
    <x v="12"/>
    <x v="1"/>
    <x v="85"/>
  </r>
  <r>
    <x v="12"/>
    <x v="2"/>
    <x v="86"/>
  </r>
  <r>
    <x v="12"/>
    <x v="3"/>
    <x v="87"/>
  </r>
  <r>
    <x v="12"/>
    <x v="4"/>
    <x v="88"/>
  </r>
  <r>
    <x v="12"/>
    <x v="5"/>
    <x v="89"/>
  </r>
  <r>
    <x v="12"/>
    <x v="6"/>
    <x v="90"/>
  </r>
  <r>
    <x v="13"/>
    <x v="0"/>
    <x v="91"/>
  </r>
  <r>
    <x v="13"/>
    <x v="1"/>
    <x v="92"/>
  </r>
  <r>
    <x v="13"/>
    <x v="2"/>
    <x v="93"/>
  </r>
  <r>
    <x v="13"/>
    <x v="3"/>
    <x v="94"/>
  </r>
  <r>
    <x v="13"/>
    <x v="4"/>
    <x v="95"/>
  </r>
  <r>
    <x v="13"/>
    <x v="5"/>
    <x v="96"/>
  </r>
  <r>
    <x v="13"/>
    <x v="6"/>
    <x v="97"/>
  </r>
  <r>
    <x v="14"/>
    <x v="0"/>
    <x v="98"/>
  </r>
  <r>
    <x v="14"/>
    <x v="1"/>
    <x v="99"/>
  </r>
  <r>
    <x v="14"/>
    <x v="2"/>
    <x v="100"/>
  </r>
  <r>
    <x v="14"/>
    <x v="3"/>
    <x v="101"/>
  </r>
  <r>
    <x v="14"/>
    <x v="4"/>
    <x v="102"/>
  </r>
  <r>
    <x v="14"/>
    <x v="5"/>
    <x v="103"/>
  </r>
  <r>
    <x v="14"/>
    <x v="6"/>
    <x v="104"/>
  </r>
  <r>
    <x v="15"/>
    <x v="0"/>
    <x v="105"/>
  </r>
  <r>
    <x v="15"/>
    <x v="1"/>
    <x v="106"/>
  </r>
  <r>
    <x v="15"/>
    <x v="2"/>
    <x v="107"/>
  </r>
  <r>
    <x v="15"/>
    <x v="3"/>
    <x v="108"/>
  </r>
  <r>
    <x v="15"/>
    <x v="4"/>
    <x v="109"/>
  </r>
  <r>
    <x v="15"/>
    <x v="5"/>
    <x v="110"/>
  </r>
  <r>
    <x v="15"/>
    <x v="6"/>
    <x v="111"/>
  </r>
  <r>
    <x v="16"/>
    <x v="0"/>
    <x v="112"/>
  </r>
  <r>
    <x v="16"/>
    <x v="1"/>
    <x v="113"/>
  </r>
  <r>
    <x v="16"/>
    <x v="2"/>
    <x v="114"/>
  </r>
  <r>
    <x v="16"/>
    <x v="3"/>
    <x v="115"/>
  </r>
  <r>
    <x v="16"/>
    <x v="4"/>
    <x v="116"/>
  </r>
  <r>
    <x v="16"/>
    <x v="5"/>
    <x v="117"/>
  </r>
  <r>
    <x v="16"/>
    <x v="6"/>
    <x v="118"/>
  </r>
  <r>
    <x v="17"/>
    <x v="0"/>
    <x v="119"/>
  </r>
  <r>
    <x v="17"/>
    <x v="1"/>
    <x v="120"/>
  </r>
  <r>
    <x v="17"/>
    <x v="2"/>
    <x v="121"/>
  </r>
  <r>
    <x v="17"/>
    <x v="3"/>
    <x v="122"/>
  </r>
  <r>
    <x v="17"/>
    <x v="4"/>
    <x v="123"/>
  </r>
  <r>
    <x v="17"/>
    <x v="5"/>
    <x v="124"/>
  </r>
  <r>
    <x v="17"/>
    <x v="6"/>
    <x v="125"/>
  </r>
  <r>
    <x v="18"/>
    <x v="0"/>
    <x v="126"/>
  </r>
  <r>
    <x v="18"/>
    <x v="1"/>
    <x v="127"/>
  </r>
  <r>
    <x v="18"/>
    <x v="2"/>
    <x v="128"/>
  </r>
  <r>
    <x v="18"/>
    <x v="3"/>
    <x v="129"/>
  </r>
  <r>
    <x v="18"/>
    <x v="4"/>
    <x v="130"/>
  </r>
  <r>
    <x v="18"/>
    <x v="5"/>
    <x v="131"/>
  </r>
  <r>
    <x v="18"/>
    <x v="6"/>
    <x v="132"/>
  </r>
  <r>
    <x v="19"/>
    <x v="0"/>
    <x v="133"/>
  </r>
  <r>
    <x v="19"/>
    <x v="1"/>
    <x v="134"/>
  </r>
  <r>
    <x v="19"/>
    <x v="2"/>
    <x v="135"/>
  </r>
  <r>
    <x v="19"/>
    <x v="3"/>
    <x v="136"/>
  </r>
  <r>
    <x v="19"/>
    <x v="4"/>
    <x v="137"/>
  </r>
  <r>
    <x v="19"/>
    <x v="5"/>
    <x v="138"/>
  </r>
  <r>
    <x v="19"/>
    <x v="6"/>
    <x v="139"/>
  </r>
  <r>
    <x v="20"/>
    <x v="0"/>
    <x v="140"/>
  </r>
  <r>
    <x v="20"/>
    <x v="1"/>
    <x v="141"/>
  </r>
  <r>
    <x v="20"/>
    <x v="2"/>
    <x v="142"/>
  </r>
  <r>
    <x v="20"/>
    <x v="3"/>
    <x v="143"/>
  </r>
  <r>
    <x v="20"/>
    <x v="4"/>
    <x v="144"/>
  </r>
  <r>
    <x v="20"/>
    <x v="5"/>
    <x v="145"/>
  </r>
  <r>
    <x v="20"/>
    <x v="6"/>
    <x v="146"/>
  </r>
  <r>
    <x v="21"/>
    <x v="0"/>
    <x v="147"/>
  </r>
  <r>
    <x v="21"/>
    <x v="1"/>
    <x v="148"/>
  </r>
  <r>
    <x v="21"/>
    <x v="2"/>
    <x v="149"/>
  </r>
  <r>
    <x v="21"/>
    <x v="3"/>
    <x v="150"/>
  </r>
  <r>
    <x v="21"/>
    <x v="4"/>
    <x v="151"/>
  </r>
  <r>
    <x v="21"/>
    <x v="5"/>
    <x v="152"/>
  </r>
  <r>
    <x v="21"/>
    <x v="6"/>
    <x v="153"/>
  </r>
  <r>
    <x v="22"/>
    <x v="0"/>
    <x v="154"/>
  </r>
  <r>
    <x v="22"/>
    <x v="1"/>
    <x v="155"/>
  </r>
  <r>
    <x v="22"/>
    <x v="2"/>
    <x v="156"/>
  </r>
  <r>
    <x v="22"/>
    <x v="3"/>
    <x v="157"/>
  </r>
  <r>
    <x v="22"/>
    <x v="4"/>
    <x v="158"/>
  </r>
  <r>
    <x v="22"/>
    <x v="5"/>
    <x v="159"/>
  </r>
  <r>
    <x v="22"/>
    <x v="6"/>
    <x v="160"/>
  </r>
  <r>
    <x v="23"/>
    <x v="0"/>
    <x v="161"/>
  </r>
  <r>
    <x v="23"/>
    <x v="1"/>
    <x v="162"/>
  </r>
  <r>
    <x v="23"/>
    <x v="2"/>
    <x v="163"/>
  </r>
  <r>
    <x v="23"/>
    <x v="3"/>
    <x v="164"/>
  </r>
  <r>
    <x v="23"/>
    <x v="4"/>
    <x v="165"/>
  </r>
  <r>
    <x v="23"/>
    <x v="5"/>
    <x v="166"/>
  </r>
  <r>
    <x v="23"/>
    <x v="6"/>
    <x v="167"/>
  </r>
  <r>
    <x v="24"/>
    <x v="0"/>
    <x v="168"/>
  </r>
  <r>
    <x v="24"/>
    <x v="1"/>
    <x v="169"/>
  </r>
  <r>
    <x v="24"/>
    <x v="2"/>
    <x v="170"/>
  </r>
  <r>
    <x v="24"/>
    <x v="3"/>
    <x v="170"/>
  </r>
  <r>
    <x v="24"/>
    <x v="4"/>
    <x v="171"/>
  </r>
  <r>
    <x v="24"/>
    <x v="5"/>
    <x v="172"/>
  </r>
  <r>
    <x v="24"/>
    <x v="6"/>
    <x v="173"/>
  </r>
  <r>
    <x v="25"/>
    <x v="0"/>
    <x v="174"/>
  </r>
  <r>
    <x v="25"/>
    <x v="1"/>
    <x v="175"/>
  </r>
  <r>
    <x v="25"/>
    <x v="2"/>
    <x v="176"/>
  </r>
  <r>
    <x v="25"/>
    <x v="3"/>
    <x v="177"/>
  </r>
  <r>
    <x v="25"/>
    <x v="4"/>
    <x v="178"/>
  </r>
  <r>
    <x v="25"/>
    <x v="5"/>
    <x v="179"/>
  </r>
  <r>
    <x v="25"/>
    <x v="6"/>
    <x v="180"/>
  </r>
  <r>
    <x v="26"/>
    <x v="0"/>
    <x v="181"/>
  </r>
  <r>
    <x v="26"/>
    <x v="1"/>
    <x v="182"/>
  </r>
  <r>
    <x v="26"/>
    <x v="2"/>
    <x v="183"/>
  </r>
  <r>
    <x v="26"/>
    <x v="3"/>
    <x v="184"/>
  </r>
  <r>
    <x v="26"/>
    <x v="4"/>
    <x v="185"/>
  </r>
  <r>
    <x v="26"/>
    <x v="5"/>
    <x v="186"/>
  </r>
  <r>
    <x v="26"/>
    <x v="6"/>
    <x v="187"/>
  </r>
  <r>
    <x v="27"/>
    <x v="0"/>
    <x v="188"/>
  </r>
  <r>
    <x v="27"/>
    <x v="1"/>
    <x v="189"/>
  </r>
  <r>
    <x v="27"/>
    <x v="2"/>
    <x v="190"/>
  </r>
  <r>
    <x v="27"/>
    <x v="3"/>
    <x v="191"/>
  </r>
  <r>
    <x v="27"/>
    <x v="4"/>
    <x v="192"/>
  </r>
  <r>
    <x v="27"/>
    <x v="5"/>
    <x v="193"/>
  </r>
  <r>
    <x v="27"/>
    <x v="6"/>
    <x v="194"/>
  </r>
  <r>
    <x v="28"/>
    <x v="0"/>
    <x v="195"/>
  </r>
  <r>
    <x v="28"/>
    <x v="1"/>
    <x v="196"/>
  </r>
  <r>
    <x v="28"/>
    <x v="2"/>
    <x v="197"/>
  </r>
  <r>
    <x v="28"/>
    <x v="3"/>
    <x v="198"/>
  </r>
  <r>
    <x v="28"/>
    <x v="4"/>
    <x v="199"/>
  </r>
  <r>
    <x v="28"/>
    <x v="5"/>
    <x v="200"/>
  </r>
  <r>
    <x v="28"/>
    <x v="6"/>
    <x v="201"/>
  </r>
  <r>
    <x v="29"/>
    <x v="0"/>
    <x v="202"/>
  </r>
  <r>
    <x v="29"/>
    <x v="1"/>
    <x v="203"/>
  </r>
  <r>
    <x v="29"/>
    <x v="2"/>
    <x v="204"/>
  </r>
  <r>
    <x v="29"/>
    <x v="3"/>
    <x v="205"/>
  </r>
  <r>
    <x v="29"/>
    <x v="4"/>
    <x v="206"/>
  </r>
  <r>
    <x v="29"/>
    <x v="5"/>
    <x v="207"/>
  </r>
  <r>
    <x v="29"/>
    <x v="6"/>
    <x v="208"/>
  </r>
  <r>
    <x v="30"/>
    <x v="0"/>
    <x v="209"/>
  </r>
  <r>
    <x v="30"/>
    <x v="1"/>
    <x v="210"/>
  </r>
  <r>
    <x v="30"/>
    <x v="2"/>
    <x v="211"/>
  </r>
  <r>
    <x v="30"/>
    <x v="3"/>
    <x v="212"/>
  </r>
  <r>
    <x v="30"/>
    <x v="4"/>
    <x v="213"/>
  </r>
  <r>
    <x v="30"/>
    <x v="5"/>
    <x v="214"/>
  </r>
  <r>
    <x v="30"/>
    <x v="6"/>
    <x v="2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14CF6-D2F9-A24B-9849-B78888A0E011}" name="数据透视表12" cacheId="179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X3:Y11" firstHeaderRow="1" firstDataRow="1" firstDataCol="1" rowPageCount="1" colPageCount="1"/>
  <pivotFields count="3">
    <pivotField axis="axisPage" numFmtId="14" multipleItemSelectionAllowed="1" showAll="0">
      <items count="32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dataField="1" showAll="0">
      <items count="217">
        <item x="133"/>
        <item x="140"/>
        <item x="84"/>
        <item x="181"/>
        <item x="174"/>
        <item x="91"/>
        <item x="77"/>
        <item x="147"/>
        <item x="35"/>
        <item x="42"/>
        <item x="126"/>
        <item x="188"/>
        <item x="98"/>
        <item x="154"/>
        <item x="49"/>
        <item x="28"/>
        <item x="168"/>
        <item x="56"/>
        <item x="202"/>
        <item x="105"/>
        <item x="195"/>
        <item x="161"/>
        <item x="70"/>
        <item x="63"/>
        <item x="209"/>
        <item x="21"/>
        <item x="112"/>
        <item x="0"/>
        <item x="7"/>
        <item x="119"/>
        <item x="14"/>
        <item x="41"/>
        <item x="39"/>
        <item x="40"/>
        <item x="90"/>
        <item x="144"/>
        <item x="88"/>
        <item x="89"/>
        <item x="178"/>
        <item x="185"/>
        <item x="46"/>
        <item x="187"/>
        <item x="47"/>
        <item x="186"/>
        <item x="145"/>
        <item x="180"/>
        <item x="48"/>
        <item x="34"/>
        <item x="146"/>
        <item x="83"/>
        <item x="179"/>
        <item x="32"/>
        <item x="33"/>
        <item x="151"/>
        <item x="81"/>
        <item x="82"/>
        <item x="138"/>
        <item x="137"/>
        <item x="153"/>
        <item x="95"/>
        <item x="53"/>
        <item x="139"/>
        <item x="97"/>
        <item x="54"/>
        <item x="55"/>
        <item x="152"/>
        <item x="96"/>
        <item x="62"/>
        <item x="102"/>
        <item x="104"/>
        <item x="60"/>
        <item x="160"/>
        <item x="103"/>
        <item x="159"/>
        <item x="192"/>
        <item x="61"/>
        <item x="158"/>
        <item x="194"/>
        <item x="193"/>
        <item x="130"/>
        <item x="6"/>
        <item x="132"/>
        <item x="131"/>
        <item x="4"/>
        <item x="206"/>
        <item x="5"/>
        <item x="13"/>
        <item x="11"/>
        <item x="208"/>
        <item x="12"/>
        <item x="207"/>
        <item x="109"/>
        <item x="111"/>
        <item x="110"/>
        <item x="27"/>
        <item x="171"/>
        <item x="173"/>
        <item x="74"/>
        <item x="26"/>
        <item x="172"/>
        <item x="25"/>
        <item x="76"/>
        <item x="75"/>
        <item x="201"/>
        <item x="200"/>
        <item x="199"/>
        <item x="167"/>
        <item x="165"/>
        <item x="166"/>
        <item x="213"/>
        <item x="214"/>
        <item x="68"/>
        <item x="215"/>
        <item x="67"/>
        <item x="69"/>
        <item x="20"/>
        <item x="18"/>
        <item x="19"/>
        <item x="118"/>
        <item x="123"/>
        <item x="124"/>
        <item x="125"/>
        <item x="116"/>
        <item x="117"/>
        <item x="36"/>
        <item x="38"/>
        <item x="37"/>
        <item x="45"/>
        <item x="44"/>
        <item x="43"/>
        <item x="85"/>
        <item x="29"/>
        <item x="30"/>
        <item x="86"/>
        <item x="31"/>
        <item x="87"/>
        <item x="92"/>
        <item x="3"/>
        <item x="50"/>
        <item x="93"/>
        <item x="141"/>
        <item x="143"/>
        <item x="94"/>
        <item x="1"/>
        <item x="52"/>
        <item x="2"/>
        <item x="142"/>
        <item x="51"/>
        <item x="80"/>
        <item x="78"/>
        <item x="134"/>
        <item x="182"/>
        <item x="136"/>
        <item x="135"/>
        <item x="79"/>
        <item x="184"/>
        <item x="183"/>
        <item x="175"/>
        <item x="177"/>
        <item x="176"/>
        <item x="150"/>
        <item x="99"/>
        <item x="148"/>
        <item x="149"/>
        <item x="100"/>
        <item x="101"/>
        <item x="189"/>
        <item x="191"/>
        <item x="190"/>
        <item x="10"/>
        <item x="8"/>
        <item x="9"/>
        <item x="58"/>
        <item x="59"/>
        <item x="57"/>
        <item x="129"/>
        <item x="155"/>
        <item x="157"/>
        <item x="127"/>
        <item x="128"/>
        <item x="156"/>
        <item x="106"/>
        <item x="196"/>
        <item x="198"/>
        <item x="108"/>
        <item x="107"/>
        <item x="197"/>
        <item x="22"/>
        <item x="23"/>
        <item x="24"/>
        <item x="203"/>
        <item x="205"/>
        <item x="204"/>
        <item x="71"/>
        <item x="73"/>
        <item x="72"/>
        <item x="169"/>
        <item x="170"/>
        <item x="17"/>
        <item x="15"/>
        <item x="16"/>
        <item x="64"/>
        <item x="65"/>
        <item x="66"/>
        <item x="162"/>
        <item x="164"/>
        <item x="163"/>
        <item x="210"/>
        <item x="211"/>
        <item x="212"/>
        <item x="113"/>
        <item x="115"/>
        <item x="114"/>
        <item x="122"/>
        <item x="120"/>
        <item x="12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0" hier="-1"/>
  </pageFields>
  <dataFields count="1">
    <dataField name="平均值项:dau" fld="2" subtotal="average" baseField="0" baseItem="0"/>
  </dataFields>
  <formats count="2"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59BD-93B0-D94E-8CE3-FCEBCD73744F}">
  <dimension ref="C1:AG218"/>
  <sheetViews>
    <sheetView topLeftCell="Q1" workbookViewId="0">
      <selection activeCell="AC26" sqref="AC26"/>
    </sheetView>
  </sheetViews>
  <sheetFormatPr baseColWidth="10" defaultRowHeight="16"/>
  <cols>
    <col min="14" max="14" width="10.83203125" style="15"/>
    <col min="24" max="24" width="14.6640625" bestFit="1" customWidth="1"/>
    <col min="25" max="25" width="15" bestFit="1" customWidth="1"/>
  </cols>
  <sheetData>
    <row r="1" spans="3:33">
      <c r="D1" t="s">
        <v>28</v>
      </c>
      <c r="H1" t="s">
        <v>29</v>
      </c>
      <c r="P1" t="s">
        <v>32</v>
      </c>
      <c r="Q1" t="s">
        <v>33</v>
      </c>
      <c r="R1" t="s">
        <v>28</v>
      </c>
      <c r="X1" s="9" t="s">
        <v>32</v>
      </c>
      <c r="Y1" t="s">
        <v>39</v>
      </c>
    </row>
    <row r="2" spans="3:33">
      <c r="C2" s="1"/>
      <c r="D2" s="1" t="s">
        <v>0</v>
      </c>
      <c r="H2" s="1" t="s">
        <v>0</v>
      </c>
      <c r="P2" s="6">
        <v>45751</v>
      </c>
      <c r="R2">
        <v>48069</v>
      </c>
      <c r="AF2" t="s">
        <v>33</v>
      </c>
      <c r="AG2" t="s">
        <v>43</v>
      </c>
    </row>
    <row r="3" spans="3:33">
      <c r="C3" s="1"/>
      <c r="D3" s="1" t="s">
        <v>1</v>
      </c>
      <c r="H3" s="1" t="s">
        <v>1</v>
      </c>
      <c r="P3" s="6">
        <v>45751</v>
      </c>
      <c r="Q3">
        <v>11072</v>
      </c>
      <c r="R3">
        <v>151584</v>
      </c>
      <c r="X3" s="9" t="s">
        <v>34</v>
      </c>
      <c r="Y3" s="13" t="s">
        <v>37</v>
      </c>
      <c r="AG3">
        <v>805541</v>
      </c>
    </row>
    <row r="4" spans="3:33">
      <c r="C4" s="1"/>
      <c r="D4" s="1" t="s">
        <v>2</v>
      </c>
      <c r="H4" s="1" t="s">
        <v>2</v>
      </c>
      <c r="P4" s="6">
        <v>45751</v>
      </c>
      <c r="Q4">
        <v>11073</v>
      </c>
      <c r="R4">
        <v>151642</v>
      </c>
      <c r="X4" s="10">
        <v>11072</v>
      </c>
      <c r="Y4" s="13">
        <v>169473.5</v>
      </c>
      <c r="AF4">
        <v>11072</v>
      </c>
      <c r="AG4">
        <v>1331498</v>
      </c>
    </row>
    <row r="5" spans="3:33">
      <c r="C5" s="1"/>
      <c r="D5" s="1" t="s">
        <v>3</v>
      </c>
      <c r="H5" s="1" t="s">
        <v>3</v>
      </c>
      <c r="P5" s="6">
        <v>45751</v>
      </c>
      <c r="Q5">
        <v>11074</v>
      </c>
      <c r="R5">
        <v>150965</v>
      </c>
      <c r="X5" s="10">
        <v>11073</v>
      </c>
      <c r="Y5" s="13">
        <v>170152.3</v>
      </c>
      <c r="AF5">
        <v>11073</v>
      </c>
      <c r="AG5">
        <v>1336843</v>
      </c>
    </row>
    <row r="6" spans="3:33">
      <c r="C6" s="2"/>
      <c r="D6" s="2" t="s">
        <v>4</v>
      </c>
      <c r="H6" s="2" t="s">
        <v>4</v>
      </c>
      <c r="P6" s="6">
        <v>45751</v>
      </c>
      <c r="Q6">
        <v>11075</v>
      </c>
      <c r="R6">
        <v>71855</v>
      </c>
      <c r="X6" s="10">
        <v>11074</v>
      </c>
      <c r="Y6" s="13">
        <v>169926.16666666666</v>
      </c>
      <c r="AF6">
        <v>11074</v>
      </c>
      <c r="AG6">
        <v>1333943</v>
      </c>
    </row>
    <row r="7" spans="3:33">
      <c r="C7" s="1"/>
      <c r="D7" s="1" t="s">
        <v>1</v>
      </c>
      <c r="H7" s="1" t="s">
        <v>1</v>
      </c>
      <c r="P7" s="6">
        <v>45751</v>
      </c>
      <c r="Q7">
        <v>11076</v>
      </c>
      <c r="R7">
        <v>72104</v>
      </c>
      <c r="X7" s="10">
        <v>11075</v>
      </c>
      <c r="Y7" s="13">
        <v>70814.600000000006</v>
      </c>
      <c r="AF7">
        <v>11075</v>
      </c>
      <c r="AG7">
        <v>668633</v>
      </c>
    </row>
    <row r="8" spans="3:33">
      <c r="C8" s="1"/>
      <c r="D8" s="1" t="s">
        <v>5</v>
      </c>
      <c r="H8" s="1" t="s">
        <v>5</v>
      </c>
      <c r="P8" s="6">
        <v>45751</v>
      </c>
      <c r="Q8">
        <v>11077</v>
      </c>
      <c r="R8">
        <v>71160</v>
      </c>
      <c r="X8" s="10">
        <v>11076</v>
      </c>
      <c r="Y8" s="13">
        <v>71063.3</v>
      </c>
      <c r="AF8">
        <v>11076</v>
      </c>
      <c r="AG8">
        <v>666882</v>
      </c>
    </row>
    <row r="9" spans="3:33">
      <c r="C9" s="3"/>
      <c r="D9" s="3" t="s">
        <v>6</v>
      </c>
      <c r="H9" s="3" t="s">
        <v>6</v>
      </c>
      <c r="P9" s="6">
        <v>45752</v>
      </c>
      <c r="R9">
        <v>48166</v>
      </c>
      <c r="X9" s="10">
        <v>11077</v>
      </c>
      <c r="Y9" s="13">
        <v>70866.933333333334</v>
      </c>
      <c r="AF9">
        <v>11077</v>
      </c>
      <c r="AG9">
        <v>666767</v>
      </c>
    </row>
    <row r="10" spans="3:33">
      <c r="C10" s="3"/>
      <c r="D10" s="3" t="s">
        <v>7</v>
      </c>
      <c r="H10" s="3" t="s">
        <v>7</v>
      </c>
      <c r="P10" s="6">
        <v>45752</v>
      </c>
      <c r="Q10">
        <v>11072</v>
      </c>
      <c r="R10">
        <v>163191</v>
      </c>
      <c r="X10" s="10" t="s">
        <v>35</v>
      </c>
      <c r="Y10" s="13">
        <v>43217.2</v>
      </c>
    </row>
    <row r="11" spans="3:33">
      <c r="C11" s="1"/>
      <c r="D11" s="1" t="s">
        <v>8</v>
      </c>
      <c r="H11" s="1" t="s">
        <v>8</v>
      </c>
      <c r="P11" s="6">
        <v>45752</v>
      </c>
      <c r="Q11">
        <v>11073</v>
      </c>
      <c r="R11">
        <v>163423</v>
      </c>
      <c r="X11" s="10" t="s">
        <v>36</v>
      </c>
      <c r="Y11" s="7">
        <v>109359.14285714286</v>
      </c>
    </row>
    <row r="12" spans="3:33">
      <c r="C12" s="1"/>
      <c r="D12" s="1" t="s">
        <v>9</v>
      </c>
      <c r="H12" s="1" t="s">
        <v>9</v>
      </c>
      <c r="P12" s="6">
        <v>45752</v>
      </c>
      <c r="Q12">
        <v>11074</v>
      </c>
      <c r="R12">
        <v>163067</v>
      </c>
      <c r="AF12" t="s">
        <v>33</v>
      </c>
      <c r="AG12" t="s">
        <v>44</v>
      </c>
    </row>
    <row r="13" spans="3:33">
      <c r="C13" s="1"/>
      <c r="D13" s="1" t="s">
        <v>10</v>
      </c>
      <c r="H13" s="1" t="s">
        <v>10</v>
      </c>
      <c r="P13" s="6">
        <v>45752</v>
      </c>
      <c r="Q13">
        <v>11075</v>
      </c>
      <c r="R13">
        <v>72188</v>
      </c>
      <c r="AG13">
        <v>781102</v>
      </c>
    </row>
    <row r="14" spans="3:33">
      <c r="C14" s="1"/>
      <c r="D14" s="1" t="s">
        <v>11</v>
      </c>
      <c r="H14" s="1" t="s">
        <v>11</v>
      </c>
      <c r="P14" s="6">
        <v>45752</v>
      </c>
      <c r="Q14">
        <v>11076</v>
      </c>
      <c r="R14">
        <v>72476</v>
      </c>
      <c r="AF14">
        <v>11072</v>
      </c>
      <c r="AG14">
        <v>1315064</v>
      </c>
    </row>
    <row r="15" spans="3:33">
      <c r="C15" s="1"/>
      <c r="D15" s="1" t="s">
        <v>30</v>
      </c>
      <c r="H15" s="1" t="s">
        <v>30</v>
      </c>
      <c r="P15" s="6">
        <v>45752</v>
      </c>
      <c r="Q15">
        <v>11077</v>
      </c>
      <c r="R15">
        <v>72158</v>
      </c>
      <c r="AF15">
        <v>11073</v>
      </c>
      <c r="AG15">
        <v>1320491</v>
      </c>
    </row>
    <row r="16" spans="3:33">
      <c r="C16" s="2"/>
      <c r="D16" s="2" t="s">
        <v>12</v>
      </c>
      <c r="H16" s="2" t="s">
        <v>12</v>
      </c>
      <c r="P16" s="6">
        <v>45753</v>
      </c>
      <c r="R16">
        <v>49219</v>
      </c>
      <c r="AF16">
        <v>11074</v>
      </c>
      <c r="AG16">
        <v>1317864</v>
      </c>
    </row>
    <row r="17" spans="3:33">
      <c r="C17" s="1"/>
      <c r="D17" s="1" t="s">
        <v>13</v>
      </c>
      <c r="H17" s="1" t="s">
        <v>13</v>
      </c>
      <c r="P17" s="6">
        <v>45753</v>
      </c>
      <c r="Q17">
        <v>11072</v>
      </c>
      <c r="R17">
        <v>189893</v>
      </c>
      <c r="AF17">
        <v>11075</v>
      </c>
      <c r="AG17">
        <v>654946</v>
      </c>
    </row>
    <row r="18" spans="3:33">
      <c r="C18" s="2"/>
      <c r="D18" s="2" t="s">
        <v>14</v>
      </c>
      <c r="H18" s="2" t="s">
        <v>14</v>
      </c>
      <c r="P18" s="6">
        <v>45753</v>
      </c>
      <c r="Q18">
        <v>11073</v>
      </c>
      <c r="R18">
        <v>190236</v>
      </c>
      <c r="AF18">
        <v>11076</v>
      </c>
      <c r="AG18">
        <v>653129</v>
      </c>
    </row>
    <row r="19" spans="3:33">
      <c r="C19" s="5"/>
      <c r="D19" s="5" t="s">
        <v>15</v>
      </c>
      <c r="H19" s="5" t="s">
        <v>15</v>
      </c>
      <c r="P19" s="6">
        <v>45753</v>
      </c>
      <c r="Q19">
        <v>11074</v>
      </c>
      <c r="R19">
        <v>189888</v>
      </c>
      <c r="Y19" s="15" t="s">
        <v>38</v>
      </c>
      <c r="Z19" s="15"/>
      <c r="AF19">
        <v>11077</v>
      </c>
      <c r="AG19">
        <v>653151</v>
      </c>
    </row>
    <row r="20" spans="3:33">
      <c r="C20" s="1"/>
      <c r="D20" s="1" t="s">
        <v>1</v>
      </c>
      <c r="H20" s="1" t="s">
        <v>1</v>
      </c>
      <c r="P20" s="6">
        <v>45753</v>
      </c>
      <c r="Q20">
        <v>11075</v>
      </c>
      <c r="R20">
        <v>79931</v>
      </c>
      <c r="X20" s="8" t="s">
        <v>34</v>
      </c>
      <c r="Y20" s="8" t="s">
        <v>37</v>
      </c>
      <c r="Z20" t="s">
        <v>41</v>
      </c>
      <c r="AA20" t="s">
        <v>42</v>
      </c>
    </row>
    <row r="21" spans="3:33">
      <c r="C21" s="3"/>
      <c r="D21" s="3" t="s">
        <v>16</v>
      </c>
      <c r="H21" s="3" t="s">
        <v>16</v>
      </c>
      <c r="P21" s="6">
        <v>45753</v>
      </c>
      <c r="Q21">
        <v>11076</v>
      </c>
      <c r="R21">
        <v>79959</v>
      </c>
      <c r="X21" s="10">
        <v>11072</v>
      </c>
      <c r="Y21" s="11">
        <v>168896.4193548387</v>
      </c>
      <c r="Z21">
        <v>1331498</v>
      </c>
      <c r="AA21" s="14">
        <f>Z21/Y21</f>
        <v>7.8835182242829118</v>
      </c>
    </row>
    <row r="22" spans="3:33">
      <c r="C22" s="1"/>
      <c r="D22" s="1" t="s">
        <v>17</v>
      </c>
      <c r="H22" s="1" t="s">
        <v>17</v>
      </c>
      <c r="P22" s="6">
        <v>45753</v>
      </c>
      <c r="Q22">
        <v>11077</v>
      </c>
      <c r="R22">
        <v>79706</v>
      </c>
      <c r="X22" s="10">
        <v>11073</v>
      </c>
      <c r="Y22" s="11">
        <v>169555.19354838709</v>
      </c>
      <c r="Z22">
        <v>1336843</v>
      </c>
      <c r="AA22" s="14">
        <f t="shared" ref="AA22:AA26" si="0">Z22/Y22</f>
        <v>7.884411984222095</v>
      </c>
    </row>
    <row r="23" spans="3:33">
      <c r="C23" s="4"/>
      <c r="D23" s="4" t="s">
        <v>18</v>
      </c>
      <c r="H23" s="4" t="s">
        <v>18</v>
      </c>
      <c r="P23" s="6">
        <v>45754</v>
      </c>
      <c r="R23">
        <v>46339</v>
      </c>
      <c r="X23" s="10">
        <v>11074</v>
      </c>
      <c r="Y23" s="11">
        <v>169314.51612903227</v>
      </c>
      <c r="Z23">
        <v>1333943</v>
      </c>
      <c r="AA23" s="14">
        <f t="shared" si="0"/>
        <v>7.8784916408668728</v>
      </c>
    </row>
    <row r="24" spans="3:33">
      <c r="C24" s="1"/>
      <c r="D24" s="1" t="s">
        <v>19</v>
      </c>
      <c r="H24" s="1" t="s">
        <v>19</v>
      </c>
      <c r="P24" s="6">
        <v>45754</v>
      </c>
      <c r="Q24">
        <v>11072</v>
      </c>
      <c r="R24">
        <v>176868</v>
      </c>
      <c r="X24" s="10">
        <v>11075</v>
      </c>
      <c r="Y24" s="11">
        <v>70848.161290322576</v>
      </c>
      <c r="Z24">
        <v>668633</v>
      </c>
      <c r="AA24" s="14">
        <f t="shared" si="0"/>
        <v>9.437549088395766</v>
      </c>
    </row>
    <row r="25" spans="3:33">
      <c r="C25" s="3"/>
      <c r="D25" s="3" t="s">
        <v>20</v>
      </c>
      <c r="H25" s="3" t="s">
        <v>20</v>
      </c>
      <c r="P25" s="6">
        <v>45754</v>
      </c>
      <c r="Q25">
        <v>11073</v>
      </c>
      <c r="R25">
        <v>177011</v>
      </c>
      <c r="X25" s="10">
        <v>11076</v>
      </c>
      <c r="Y25" s="11">
        <v>71096.870967741939</v>
      </c>
      <c r="Z25">
        <v>666882</v>
      </c>
      <c r="AA25" s="14">
        <f t="shared" si="0"/>
        <v>9.3799064701817549</v>
      </c>
    </row>
    <row r="26" spans="3:33">
      <c r="C26" s="1"/>
      <c r="D26" s="1" t="s">
        <v>21</v>
      </c>
      <c r="H26" s="1" t="s">
        <v>21</v>
      </c>
      <c r="P26" s="6">
        <v>45754</v>
      </c>
      <c r="Q26">
        <v>11074</v>
      </c>
      <c r="R26">
        <v>177119</v>
      </c>
      <c r="X26" s="10">
        <v>11077</v>
      </c>
      <c r="Y26" s="11">
        <v>70876.387096774197</v>
      </c>
      <c r="Z26">
        <v>666767</v>
      </c>
      <c r="AA26" s="14">
        <f t="shared" si="0"/>
        <v>9.4074631525673045</v>
      </c>
      <c r="AB26" t="s">
        <v>45</v>
      </c>
    </row>
    <row r="27" spans="3:33">
      <c r="C27" s="2"/>
      <c r="D27" s="2" t="s">
        <v>14</v>
      </c>
      <c r="H27" s="2" t="s">
        <v>14</v>
      </c>
      <c r="P27" s="6">
        <v>45754</v>
      </c>
      <c r="Q27">
        <v>11075</v>
      </c>
      <c r="R27">
        <v>75846</v>
      </c>
      <c r="Y27" s="11"/>
    </row>
    <row r="28" spans="3:33">
      <c r="C28" s="1"/>
      <c r="D28" s="1" t="s">
        <v>1</v>
      </c>
      <c r="H28" s="1" t="s">
        <v>1</v>
      </c>
      <c r="P28" s="6">
        <v>45754</v>
      </c>
      <c r="Q28">
        <v>11076</v>
      </c>
      <c r="R28">
        <v>75713</v>
      </c>
      <c r="Y28" s="11"/>
    </row>
    <row r="29" spans="3:33">
      <c r="C29" s="3"/>
      <c r="D29" s="3" t="s">
        <v>22</v>
      </c>
      <c r="H29" s="3" t="s">
        <v>31</v>
      </c>
      <c r="P29" s="6">
        <v>45754</v>
      </c>
      <c r="Q29">
        <v>11077</v>
      </c>
      <c r="R29">
        <v>75354</v>
      </c>
      <c r="Y29" s="11"/>
    </row>
    <row r="30" spans="3:33">
      <c r="C30" s="1"/>
      <c r="D30" s="1" t="s">
        <v>23</v>
      </c>
      <c r="H30" s="1" t="s">
        <v>23</v>
      </c>
      <c r="P30" s="6">
        <v>45755</v>
      </c>
      <c r="R30">
        <v>42564</v>
      </c>
      <c r="Y30" s="16" t="s">
        <v>40</v>
      </c>
      <c r="Z30" s="16"/>
    </row>
    <row r="31" spans="3:33">
      <c r="C31" s="1"/>
      <c r="D31" s="1" t="s">
        <v>24</v>
      </c>
      <c r="H31" s="1" t="s">
        <v>26</v>
      </c>
      <c r="P31" s="6">
        <v>45755</v>
      </c>
      <c r="Q31">
        <v>11072</v>
      </c>
      <c r="R31">
        <v>148894</v>
      </c>
      <c r="X31" s="8" t="s">
        <v>34</v>
      </c>
      <c r="Y31" s="12" t="s">
        <v>37</v>
      </c>
      <c r="Z31" t="s">
        <v>41</v>
      </c>
      <c r="AA31" t="s">
        <v>42</v>
      </c>
    </row>
    <row r="32" spans="3:33">
      <c r="C32" s="1"/>
      <c r="D32" s="1" t="s">
        <v>25</v>
      </c>
      <c r="H32" s="1" t="s">
        <v>27</v>
      </c>
      <c r="P32" s="6">
        <v>45755</v>
      </c>
      <c r="Q32">
        <v>11073</v>
      </c>
      <c r="R32">
        <v>149127</v>
      </c>
      <c r="X32" s="10">
        <v>11072</v>
      </c>
      <c r="Y32" s="11">
        <v>169473.5</v>
      </c>
      <c r="Z32">
        <v>1315064</v>
      </c>
      <c r="AA32" s="14">
        <f>Z32/Y32</f>
        <v>7.759702844397502</v>
      </c>
    </row>
    <row r="33" spans="3:27">
      <c r="C33" s="3"/>
      <c r="H33" s="3"/>
      <c r="P33" s="6">
        <v>45755</v>
      </c>
      <c r="Q33">
        <v>11074</v>
      </c>
      <c r="R33">
        <v>149228</v>
      </c>
      <c r="X33" s="10">
        <v>11073</v>
      </c>
      <c r="Y33" s="11">
        <v>170152.3</v>
      </c>
      <c r="Z33">
        <v>1320491</v>
      </c>
      <c r="AA33" s="14">
        <f t="shared" ref="AA33:AA37" si="1">Z33/Y33</f>
        <v>7.7606414958833945</v>
      </c>
    </row>
    <row r="34" spans="3:27">
      <c r="C34" s="1"/>
      <c r="H34" s="1"/>
      <c r="P34" s="6">
        <v>45755</v>
      </c>
      <c r="Q34">
        <v>11075</v>
      </c>
      <c r="R34">
        <v>65268</v>
      </c>
      <c r="X34" s="10">
        <v>11074</v>
      </c>
      <c r="Y34" s="11">
        <v>169926.16666666666</v>
      </c>
      <c r="Z34">
        <v>1317864</v>
      </c>
      <c r="AA34" s="14">
        <f t="shared" si="1"/>
        <v>7.7555095006949104</v>
      </c>
    </row>
    <row r="35" spans="3:27">
      <c r="C35" s="4"/>
      <c r="H35" s="4"/>
      <c r="P35" s="6">
        <v>45755</v>
      </c>
      <c r="Q35">
        <v>11076</v>
      </c>
      <c r="R35">
        <v>65275</v>
      </c>
      <c r="X35" s="10">
        <v>11075</v>
      </c>
      <c r="Y35" s="11">
        <v>70814.600000000006</v>
      </c>
      <c r="Z35">
        <v>654946</v>
      </c>
      <c r="AA35" s="14">
        <f t="shared" si="1"/>
        <v>9.2487424909552534</v>
      </c>
    </row>
    <row r="36" spans="3:27">
      <c r="C36" s="1"/>
      <c r="H36" s="1"/>
      <c r="P36" s="6">
        <v>45755</v>
      </c>
      <c r="Q36">
        <v>11077</v>
      </c>
      <c r="R36">
        <v>64878</v>
      </c>
      <c r="X36" s="10">
        <v>11076</v>
      </c>
      <c r="Y36" s="11">
        <v>71063.3</v>
      </c>
      <c r="Z36">
        <v>653129</v>
      </c>
      <c r="AA36" s="14">
        <f t="shared" si="1"/>
        <v>9.1908059434335296</v>
      </c>
    </row>
    <row r="37" spans="3:27">
      <c r="C37" s="3"/>
      <c r="H37" s="3"/>
      <c r="P37" s="6">
        <v>45756</v>
      </c>
      <c r="R37">
        <v>41259</v>
      </c>
      <c r="X37" s="10">
        <v>11077</v>
      </c>
      <c r="Y37" s="11">
        <v>70866.933333333334</v>
      </c>
      <c r="Z37">
        <v>653151</v>
      </c>
      <c r="AA37" s="14">
        <f t="shared" si="1"/>
        <v>9.2165833806834208</v>
      </c>
    </row>
    <row r="38" spans="3:27">
      <c r="C38" s="1"/>
      <c r="H38" s="1"/>
      <c r="P38" s="6">
        <v>45756</v>
      </c>
      <c r="Q38">
        <v>11072</v>
      </c>
      <c r="R38">
        <v>144223</v>
      </c>
    </row>
    <row r="39" spans="3:27">
      <c r="C39" s="2"/>
      <c r="H39" s="2"/>
      <c r="P39" s="6">
        <v>45756</v>
      </c>
      <c r="Q39">
        <v>11073</v>
      </c>
      <c r="R39">
        <v>145280</v>
      </c>
    </row>
    <row r="40" spans="3:27">
      <c r="C40" s="1"/>
      <c r="H40" s="1"/>
      <c r="P40" s="6">
        <v>45756</v>
      </c>
      <c r="Q40">
        <v>11074</v>
      </c>
      <c r="R40">
        <v>144976</v>
      </c>
    </row>
    <row r="41" spans="3:27">
      <c r="C41" s="3"/>
      <c r="H41" s="3"/>
      <c r="P41" s="6">
        <v>45756</v>
      </c>
      <c r="Q41">
        <v>11075</v>
      </c>
      <c r="R41">
        <v>63498</v>
      </c>
    </row>
    <row r="42" spans="3:27">
      <c r="C42" s="1"/>
      <c r="H42" s="1"/>
      <c r="P42" s="6">
        <v>45756</v>
      </c>
      <c r="Q42">
        <v>11076</v>
      </c>
      <c r="R42">
        <v>63656</v>
      </c>
    </row>
    <row r="43" spans="3:27">
      <c r="C43" s="1"/>
      <c r="H43" s="1"/>
      <c r="P43" s="6">
        <v>45756</v>
      </c>
      <c r="Q43">
        <v>11077</v>
      </c>
      <c r="R43">
        <v>63487</v>
      </c>
    </row>
    <row r="44" spans="3:27">
      <c r="C44" s="1"/>
      <c r="H44" s="1"/>
      <c r="P44" s="6">
        <v>45757</v>
      </c>
      <c r="R44">
        <v>41488</v>
      </c>
    </row>
    <row r="45" spans="3:27">
      <c r="P45" s="6">
        <v>45757</v>
      </c>
      <c r="Q45">
        <v>11072</v>
      </c>
      <c r="R45">
        <v>146871</v>
      </c>
    </row>
    <row r="46" spans="3:27">
      <c r="P46" s="6">
        <v>45757</v>
      </c>
      <c r="Q46">
        <v>11073</v>
      </c>
      <c r="R46">
        <v>146777</v>
      </c>
    </row>
    <row r="47" spans="3:27">
      <c r="P47" s="6">
        <v>45757</v>
      </c>
      <c r="Q47">
        <v>11074</v>
      </c>
      <c r="R47">
        <v>146691</v>
      </c>
    </row>
    <row r="48" spans="3:27">
      <c r="P48" s="6">
        <v>45757</v>
      </c>
      <c r="Q48">
        <v>11075</v>
      </c>
      <c r="R48">
        <v>64543</v>
      </c>
    </row>
    <row r="49" spans="16:18">
      <c r="P49" s="6">
        <v>45757</v>
      </c>
      <c r="Q49">
        <v>11076</v>
      </c>
      <c r="R49">
        <v>64588</v>
      </c>
    </row>
    <row r="50" spans="16:18">
      <c r="P50" s="6">
        <v>45757</v>
      </c>
      <c r="Q50">
        <v>11077</v>
      </c>
      <c r="R50">
        <v>64866</v>
      </c>
    </row>
    <row r="51" spans="16:18">
      <c r="P51" s="6">
        <v>45758</v>
      </c>
      <c r="R51">
        <v>42298</v>
      </c>
    </row>
    <row r="52" spans="16:18">
      <c r="P52" s="6">
        <v>45758</v>
      </c>
      <c r="Q52">
        <v>11072</v>
      </c>
      <c r="R52">
        <v>151119</v>
      </c>
    </row>
    <row r="53" spans="16:18">
      <c r="P53" s="6">
        <v>45758</v>
      </c>
      <c r="Q53">
        <v>11073</v>
      </c>
      <c r="R53">
        <v>152100</v>
      </c>
    </row>
    <row r="54" spans="16:18">
      <c r="P54" s="6">
        <v>45758</v>
      </c>
      <c r="Q54">
        <v>11074</v>
      </c>
      <c r="R54">
        <v>151615</v>
      </c>
    </row>
    <row r="55" spans="16:18">
      <c r="P55" s="6">
        <v>45758</v>
      </c>
      <c r="Q55">
        <v>11075</v>
      </c>
      <c r="R55">
        <v>65686</v>
      </c>
    </row>
    <row r="56" spans="16:18">
      <c r="P56" s="6">
        <v>45758</v>
      </c>
      <c r="Q56">
        <v>11076</v>
      </c>
      <c r="R56">
        <v>65726</v>
      </c>
    </row>
    <row r="57" spans="16:18">
      <c r="P57" s="6">
        <v>45758</v>
      </c>
      <c r="Q57">
        <v>11077</v>
      </c>
      <c r="R57">
        <v>65821</v>
      </c>
    </row>
    <row r="58" spans="16:18">
      <c r="P58" s="6">
        <v>45759</v>
      </c>
      <c r="R58">
        <v>43511</v>
      </c>
    </row>
    <row r="59" spans="16:18">
      <c r="P59" s="6">
        <v>45759</v>
      </c>
      <c r="Q59">
        <v>11072</v>
      </c>
      <c r="R59">
        <v>165124</v>
      </c>
    </row>
    <row r="60" spans="16:18">
      <c r="P60" s="6">
        <v>45759</v>
      </c>
      <c r="Q60">
        <v>11073</v>
      </c>
      <c r="R60">
        <v>164327</v>
      </c>
    </row>
    <row r="61" spans="16:18">
      <c r="P61" s="6">
        <v>45759</v>
      </c>
      <c r="Q61">
        <v>11074</v>
      </c>
      <c r="R61">
        <v>164386</v>
      </c>
    </row>
    <row r="62" spans="16:18">
      <c r="P62" s="6">
        <v>45759</v>
      </c>
      <c r="Q62">
        <v>11075</v>
      </c>
      <c r="R62">
        <v>68207</v>
      </c>
    </row>
    <row r="63" spans="16:18">
      <c r="P63" s="6">
        <v>45759</v>
      </c>
      <c r="Q63">
        <v>11076</v>
      </c>
      <c r="R63">
        <v>68433</v>
      </c>
    </row>
    <row r="64" spans="16:18">
      <c r="P64" s="6">
        <v>45759</v>
      </c>
      <c r="Q64">
        <v>11077</v>
      </c>
      <c r="R64">
        <v>67978</v>
      </c>
    </row>
    <row r="65" spans="16:18">
      <c r="P65" s="6">
        <v>45760</v>
      </c>
      <c r="R65">
        <v>45863</v>
      </c>
    </row>
    <row r="66" spans="16:18">
      <c r="P66" s="6">
        <v>45760</v>
      </c>
      <c r="Q66">
        <v>11072</v>
      </c>
      <c r="R66">
        <v>195071</v>
      </c>
    </row>
    <row r="67" spans="16:18">
      <c r="P67" s="6">
        <v>45760</v>
      </c>
      <c r="Q67">
        <v>11073</v>
      </c>
      <c r="R67">
        <v>195417</v>
      </c>
    </row>
    <row r="68" spans="16:18">
      <c r="P68" s="6">
        <v>45760</v>
      </c>
      <c r="Q68">
        <v>11074</v>
      </c>
      <c r="R68">
        <v>195499</v>
      </c>
    </row>
    <row r="69" spans="16:18">
      <c r="P69" s="6">
        <v>45760</v>
      </c>
      <c r="Q69">
        <v>11075</v>
      </c>
      <c r="R69">
        <v>78646</v>
      </c>
    </row>
    <row r="70" spans="16:18">
      <c r="P70" s="6">
        <v>45760</v>
      </c>
      <c r="Q70">
        <v>11076</v>
      </c>
      <c r="R70">
        <v>78341</v>
      </c>
    </row>
    <row r="71" spans="16:18">
      <c r="P71" s="6">
        <v>45760</v>
      </c>
      <c r="Q71">
        <v>11077</v>
      </c>
      <c r="R71">
        <v>78816</v>
      </c>
    </row>
    <row r="72" spans="16:18">
      <c r="P72" s="6">
        <v>45761</v>
      </c>
      <c r="R72">
        <v>44752</v>
      </c>
    </row>
    <row r="73" spans="16:18">
      <c r="P73" s="6">
        <v>45761</v>
      </c>
      <c r="Q73">
        <v>11072</v>
      </c>
      <c r="R73">
        <v>181773</v>
      </c>
    </row>
    <row r="74" spans="16:18">
      <c r="P74" s="6">
        <v>45761</v>
      </c>
      <c r="Q74">
        <v>11073</v>
      </c>
      <c r="R74">
        <v>182635</v>
      </c>
    </row>
    <row r="75" spans="16:18">
      <c r="P75" s="6">
        <v>45761</v>
      </c>
      <c r="Q75">
        <v>11074</v>
      </c>
      <c r="R75">
        <v>182618</v>
      </c>
    </row>
    <row r="76" spans="16:18">
      <c r="P76" s="6">
        <v>45761</v>
      </c>
      <c r="Q76">
        <v>11075</v>
      </c>
      <c r="R76">
        <v>75703</v>
      </c>
    </row>
    <row r="77" spans="16:18">
      <c r="P77" s="6">
        <v>45761</v>
      </c>
      <c r="Q77">
        <v>11076</v>
      </c>
      <c r="R77">
        <v>75963</v>
      </c>
    </row>
    <row r="78" spans="16:18">
      <c r="P78" s="6">
        <v>45761</v>
      </c>
      <c r="Q78">
        <v>11077</v>
      </c>
      <c r="R78">
        <v>75894</v>
      </c>
    </row>
    <row r="79" spans="16:18">
      <c r="P79" s="6">
        <v>45762</v>
      </c>
      <c r="R79">
        <v>41069</v>
      </c>
    </row>
    <row r="80" spans="16:18">
      <c r="P80" s="6">
        <v>45762</v>
      </c>
      <c r="Q80">
        <v>11072</v>
      </c>
      <c r="R80">
        <v>153023</v>
      </c>
    </row>
    <row r="81" spans="16:18">
      <c r="P81" s="6">
        <v>45762</v>
      </c>
      <c r="Q81">
        <v>11073</v>
      </c>
      <c r="R81">
        <v>153761</v>
      </c>
    </row>
    <row r="82" spans="16:18">
      <c r="P82" s="6">
        <v>45762</v>
      </c>
      <c r="Q82">
        <v>11074</v>
      </c>
      <c r="R82">
        <v>152804</v>
      </c>
    </row>
    <row r="83" spans="16:18">
      <c r="P83" s="6">
        <v>45762</v>
      </c>
      <c r="Q83">
        <v>11075</v>
      </c>
      <c r="R83">
        <v>65417</v>
      </c>
    </row>
    <row r="84" spans="16:18">
      <c r="P84" s="6">
        <v>45762</v>
      </c>
      <c r="Q84">
        <v>11076</v>
      </c>
      <c r="R84">
        <v>65429</v>
      </c>
    </row>
    <row r="85" spans="16:18">
      <c r="P85" s="6">
        <v>45762</v>
      </c>
      <c r="Q85">
        <v>11077</v>
      </c>
      <c r="R85">
        <v>65182</v>
      </c>
    </row>
    <row r="86" spans="16:18">
      <c r="P86" s="6">
        <v>45763</v>
      </c>
      <c r="R86">
        <v>40032</v>
      </c>
    </row>
    <row r="87" spans="16:18">
      <c r="P87" s="6">
        <v>45763</v>
      </c>
      <c r="Q87">
        <v>11072</v>
      </c>
      <c r="R87">
        <v>148404</v>
      </c>
    </row>
    <row r="88" spans="16:18">
      <c r="P88" s="6">
        <v>45763</v>
      </c>
      <c r="Q88">
        <v>11073</v>
      </c>
      <c r="R88">
        <v>149214</v>
      </c>
    </row>
    <row r="89" spans="16:18">
      <c r="P89" s="6">
        <v>45763</v>
      </c>
      <c r="Q89">
        <v>11074</v>
      </c>
      <c r="R89">
        <v>149301</v>
      </c>
    </row>
    <row r="90" spans="16:18">
      <c r="P90" s="6">
        <v>45763</v>
      </c>
      <c r="Q90">
        <v>11075</v>
      </c>
      <c r="R90">
        <v>64241</v>
      </c>
    </row>
    <row r="91" spans="16:18">
      <c r="P91" s="6">
        <v>45763</v>
      </c>
      <c r="Q91">
        <v>11076</v>
      </c>
      <c r="R91">
        <v>64331</v>
      </c>
    </row>
    <row r="92" spans="16:18">
      <c r="P92" s="6">
        <v>45763</v>
      </c>
      <c r="Q92">
        <v>11077</v>
      </c>
      <c r="R92">
        <v>64041</v>
      </c>
    </row>
    <row r="93" spans="16:18">
      <c r="P93" s="6">
        <v>45764</v>
      </c>
      <c r="R93">
        <v>40429</v>
      </c>
    </row>
    <row r="94" spans="16:18">
      <c r="P94" s="6">
        <v>45764</v>
      </c>
      <c r="Q94">
        <v>11072</v>
      </c>
      <c r="R94">
        <v>150829</v>
      </c>
    </row>
    <row r="95" spans="16:18">
      <c r="P95" s="6">
        <v>45764</v>
      </c>
      <c r="Q95">
        <v>11073</v>
      </c>
      <c r="R95">
        <v>151120</v>
      </c>
    </row>
    <row r="96" spans="16:18">
      <c r="P96" s="6">
        <v>45764</v>
      </c>
      <c r="Q96">
        <v>11074</v>
      </c>
      <c r="R96">
        <v>151557</v>
      </c>
    </row>
    <row r="97" spans="16:18">
      <c r="P97" s="6">
        <v>45764</v>
      </c>
      <c r="Q97">
        <v>11075</v>
      </c>
      <c r="R97">
        <v>65678</v>
      </c>
    </row>
    <row r="98" spans="16:18">
      <c r="P98" s="6">
        <v>45764</v>
      </c>
      <c r="Q98">
        <v>11076</v>
      </c>
      <c r="R98">
        <v>66309</v>
      </c>
    </row>
    <row r="99" spans="16:18">
      <c r="P99" s="6">
        <v>45764</v>
      </c>
      <c r="Q99">
        <v>11077</v>
      </c>
      <c r="R99">
        <v>65722</v>
      </c>
    </row>
    <row r="100" spans="16:18">
      <c r="P100" s="6">
        <v>45765</v>
      </c>
      <c r="R100">
        <v>42124</v>
      </c>
    </row>
    <row r="101" spans="16:18">
      <c r="P101" s="6">
        <v>45765</v>
      </c>
      <c r="Q101">
        <v>11072</v>
      </c>
      <c r="R101">
        <v>157057</v>
      </c>
    </row>
    <row r="102" spans="16:18">
      <c r="P102" s="6">
        <v>45765</v>
      </c>
      <c r="Q102">
        <v>11073</v>
      </c>
      <c r="R102">
        <v>158448</v>
      </c>
    </row>
    <row r="103" spans="16:18">
      <c r="P103" s="6">
        <v>45765</v>
      </c>
      <c r="Q103">
        <v>11074</v>
      </c>
      <c r="R103">
        <v>158936</v>
      </c>
    </row>
    <row r="104" spans="16:18">
      <c r="P104" s="6">
        <v>45765</v>
      </c>
      <c r="Q104">
        <v>11075</v>
      </c>
      <c r="R104">
        <v>67992</v>
      </c>
    </row>
    <row r="105" spans="16:18">
      <c r="P105" s="6">
        <v>45765</v>
      </c>
      <c r="Q105">
        <v>11076</v>
      </c>
      <c r="R105">
        <v>68262</v>
      </c>
    </row>
    <row r="106" spans="16:18">
      <c r="P106" s="6">
        <v>45765</v>
      </c>
      <c r="Q106">
        <v>11077</v>
      </c>
      <c r="R106">
        <v>68010</v>
      </c>
    </row>
    <row r="107" spans="16:18">
      <c r="P107" s="6">
        <v>45766</v>
      </c>
      <c r="R107">
        <v>43766</v>
      </c>
    </row>
    <row r="108" spans="16:18">
      <c r="P108" s="6">
        <v>45766</v>
      </c>
      <c r="Q108">
        <v>11072</v>
      </c>
      <c r="R108">
        <v>174362</v>
      </c>
    </row>
    <row r="109" spans="16:18">
      <c r="P109" s="6">
        <v>45766</v>
      </c>
      <c r="Q109">
        <v>11073</v>
      </c>
      <c r="R109">
        <v>175279</v>
      </c>
    </row>
    <row r="110" spans="16:18">
      <c r="P110" s="6">
        <v>45766</v>
      </c>
      <c r="Q110">
        <v>11074</v>
      </c>
      <c r="R110">
        <v>175071</v>
      </c>
    </row>
    <row r="111" spans="16:18">
      <c r="P111" s="6">
        <v>45766</v>
      </c>
      <c r="Q111">
        <v>11075</v>
      </c>
      <c r="R111">
        <v>73216</v>
      </c>
    </row>
    <row r="112" spans="16:18">
      <c r="P112" s="6">
        <v>45766</v>
      </c>
      <c r="Q112">
        <v>11076</v>
      </c>
      <c r="R112">
        <v>73728</v>
      </c>
    </row>
    <row r="113" spans="16:18">
      <c r="P113" s="6">
        <v>45766</v>
      </c>
      <c r="Q113">
        <v>11077</v>
      </c>
      <c r="R113">
        <v>73448</v>
      </c>
    </row>
    <row r="114" spans="16:18">
      <c r="P114" s="6">
        <v>45767</v>
      </c>
      <c r="R114">
        <v>47499</v>
      </c>
    </row>
    <row r="115" spans="16:18">
      <c r="P115" s="6">
        <v>45767</v>
      </c>
      <c r="Q115">
        <v>11072</v>
      </c>
      <c r="R115">
        <v>211025</v>
      </c>
    </row>
    <row r="116" spans="16:18">
      <c r="P116" s="6">
        <v>45767</v>
      </c>
      <c r="Q116">
        <v>11073</v>
      </c>
      <c r="R116">
        <v>212581</v>
      </c>
    </row>
    <row r="117" spans="16:18">
      <c r="P117" s="6">
        <v>45767</v>
      </c>
      <c r="Q117">
        <v>11074</v>
      </c>
      <c r="R117">
        <v>212171</v>
      </c>
    </row>
    <row r="118" spans="16:18">
      <c r="P118" s="6">
        <v>45767</v>
      </c>
      <c r="Q118">
        <v>11075</v>
      </c>
      <c r="R118">
        <v>83935</v>
      </c>
    </row>
    <row r="119" spans="16:18">
      <c r="P119" s="6">
        <v>45767</v>
      </c>
      <c r="Q119">
        <v>11076</v>
      </c>
      <c r="R119">
        <v>84001</v>
      </c>
    </row>
    <row r="120" spans="16:18">
      <c r="P120" s="6">
        <v>45767</v>
      </c>
      <c r="Q120">
        <v>11077</v>
      </c>
      <c r="R120">
        <v>83458</v>
      </c>
    </row>
    <row r="121" spans="16:18">
      <c r="P121" s="6">
        <v>45768</v>
      </c>
      <c r="R121">
        <v>48303</v>
      </c>
    </row>
    <row r="122" spans="16:18">
      <c r="P122" s="6">
        <v>45768</v>
      </c>
      <c r="Q122">
        <v>11072</v>
      </c>
      <c r="R122">
        <v>221912</v>
      </c>
    </row>
    <row r="123" spans="16:18">
      <c r="P123" s="6">
        <v>45768</v>
      </c>
      <c r="Q123">
        <v>11073</v>
      </c>
      <c r="R123">
        <v>222532</v>
      </c>
    </row>
    <row r="124" spans="16:18">
      <c r="P124" s="6">
        <v>45768</v>
      </c>
      <c r="Q124">
        <v>11074</v>
      </c>
      <c r="R124">
        <v>221779</v>
      </c>
    </row>
    <row r="125" spans="16:18">
      <c r="P125" s="6">
        <v>45768</v>
      </c>
      <c r="Q125">
        <v>11075</v>
      </c>
      <c r="R125">
        <v>83481</v>
      </c>
    </row>
    <row r="126" spans="16:18">
      <c r="P126" s="6">
        <v>45768</v>
      </c>
      <c r="Q126">
        <v>11076</v>
      </c>
      <c r="R126">
        <v>83545</v>
      </c>
    </row>
    <row r="127" spans="16:18">
      <c r="P127" s="6">
        <v>45768</v>
      </c>
      <c r="Q127">
        <v>11077</v>
      </c>
      <c r="R127">
        <v>83600</v>
      </c>
    </row>
    <row r="128" spans="16:18">
      <c r="P128" s="6">
        <v>45769</v>
      </c>
      <c r="R128">
        <v>41583</v>
      </c>
    </row>
    <row r="129" spans="16:18">
      <c r="P129" s="6">
        <v>45769</v>
      </c>
      <c r="Q129">
        <v>11072</v>
      </c>
      <c r="R129">
        <v>167815</v>
      </c>
    </row>
    <row r="130" spans="16:18">
      <c r="P130" s="6">
        <v>45769</v>
      </c>
      <c r="Q130">
        <v>11073</v>
      </c>
      <c r="R130">
        <v>167822</v>
      </c>
    </row>
    <row r="131" spans="16:18">
      <c r="P131" s="6">
        <v>45769</v>
      </c>
      <c r="Q131">
        <v>11074</v>
      </c>
      <c r="R131">
        <v>167629</v>
      </c>
    </row>
    <row r="132" spans="16:18">
      <c r="P132" s="6">
        <v>45769</v>
      </c>
      <c r="Q132">
        <v>11075</v>
      </c>
      <c r="R132">
        <v>70919</v>
      </c>
    </row>
    <row r="133" spans="16:18">
      <c r="P133" s="6">
        <v>45769</v>
      </c>
      <c r="Q133">
        <v>11076</v>
      </c>
      <c r="R133">
        <v>71365</v>
      </c>
    </row>
    <row r="134" spans="16:18">
      <c r="P134" s="6">
        <v>45769</v>
      </c>
      <c r="Q134">
        <v>11077</v>
      </c>
      <c r="R134">
        <v>71359</v>
      </c>
    </row>
    <row r="135" spans="16:18">
      <c r="P135" s="6">
        <v>45770</v>
      </c>
      <c r="R135">
        <v>39427</v>
      </c>
    </row>
    <row r="136" spans="16:18">
      <c r="P136" s="6">
        <v>45770</v>
      </c>
      <c r="Q136">
        <v>11072</v>
      </c>
      <c r="R136">
        <v>153094</v>
      </c>
    </row>
    <row r="137" spans="16:18">
      <c r="P137" s="6">
        <v>45770</v>
      </c>
      <c r="Q137">
        <v>11073</v>
      </c>
      <c r="R137">
        <v>153759</v>
      </c>
    </row>
    <row r="138" spans="16:18">
      <c r="P138" s="6">
        <v>45770</v>
      </c>
      <c r="Q138">
        <v>11074</v>
      </c>
      <c r="R138">
        <v>153584</v>
      </c>
    </row>
    <row r="139" spans="16:18">
      <c r="P139" s="6">
        <v>45770</v>
      </c>
      <c r="Q139">
        <v>11075</v>
      </c>
      <c r="R139">
        <v>65624</v>
      </c>
    </row>
    <row r="140" spans="16:18">
      <c r="P140" s="6">
        <v>45770</v>
      </c>
      <c r="Q140">
        <v>11076</v>
      </c>
      <c r="R140">
        <v>65578</v>
      </c>
    </row>
    <row r="141" spans="16:18">
      <c r="P141" s="6">
        <v>45770</v>
      </c>
      <c r="Q141">
        <v>11077</v>
      </c>
      <c r="R141">
        <v>65721</v>
      </c>
    </row>
    <row r="142" spans="16:18">
      <c r="P142" s="6">
        <v>45771</v>
      </c>
      <c r="R142">
        <v>39471</v>
      </c>
    </row>
    <row r="143" spans="16:18">
      <c r="P143" s="6">
        <v>45771</v>
      </c>
      <c r="Q143">
        <v>11072</v>
      </c>
      <c r="R143">
        <v>151372</v>
      </c>
    </row>
    <row r="144" spans="16:18">
      <c r="P144" s="6">
        <v>45771</v>
      </c>
      <c r="Q144">
        <v>11073</v>
      </c>
      <c r="R144">
        <v>151847</v>
      </c>
    </row>
    <row r="145" spans="16:18">
      <c r="P145" s="6">
        <v>45771</v>
      </c>
      <c r="Q145">
        <v>11074</v>
      </c>
      <c r="R145">
        <v>151552</v>
      </c>
    </row>
    <row r="146" spans="16:18">
      <c r="P146" s="6">
        <v>45771</v>
      </c>
      <c r="Q146">
        <v>11075</v>
      </c>
      <c r="R146">
        <v>64169</v>
      </c>
    </row>
    <row r="147" spans="16:18">
      <c r="P147" s="6">
        <v>45771</v>
      </c>
      <c r="Q147">
        <v>11076</v>
      </c>
      <c r="R147">
        <v>64712</v>
      </c>
    </row>
    <row r="148" spans="16:18">
      <c r="P148" s="6">
        <v>45771</v>
      </c>
      <c r="Q148">
        <v>11077</v>
      </c>
      <c r="R148">
        <v>65059</v>
      </c>
    </row>
    <row r="149" spans="16:18">
      <c r="P149" s="6">
        <v>45772</v>
      </c>
      <c r="R149">
        <v>41088</v>
      </c>
    </row>
    <row r="150" spans="16:18">
      <c r="P150" s="6">
        <v>45772</v>
      </c>
      <c r="Q150">
        <v>11072</v>
      </c>
      <c r="R150">
        <v>157198</v>
      </c>
    </row>
    <row r="151" spans="16:18">
      <c r="P151" s="6">
        <v>45772</v>
      </c>
      <c r="Q151">
        <v>11073</v>
      </c>
      <c r="R151">
        <v>157470</v>
      </c>
    </row>
    <row r="152" spans="16:18">
      <c r="P152" s="6">
        <v>45772</v>
      </c>
      <c r="Q152">
        <v>11074</v>
      </c>
      <c r="R152">
        <v>156811</v>
      </c>
    </row>
    <row r="153" spans="16:18">
      <c r="P153" s="6">
        <v>45772</v>
      </c>
      <c r="Q153">
        <v>11075</v>
      </c>
      <c r="R153">
        <v>65411</v>
      </c>
    </row>
    <row r="154" spans="16:18">
      <c r="P154" s="6">
        <v>45772</v>
      </c>
      <c r="Q154">
        <v>11076</v>
      </c>
      <c r="R154">
        <v>65933</v>
      </c>
    </row>
    <row r="155" spans="16:18">
      <c r="P155" s="6">
        <v>45772</v>
      </c>
      <c r="Q155">
        <v>11077</v>
      </c>
      <c r="R155">
        <v>65671</v>
      </c>
    </row>
    <row r="156" spans="16:18">
      <c r="P156" s="6">
        <v>45773</v>
      </c>
      <c r="R156">
        <v>42271</v>
      </c>
    </row>
    <row r="157" spans="16:18">
      <c r="P157" s="6">
        <v>45773</v>
      </c>
      <c r="Q157">
        <v>11072</v>
      </c>
      <c r="R157">
        <v>167636</v>
      </c>
    </row>
    <row r="158" spans="16:18">
      <c r="P158" s="6">
        <v>45773</v>
      </c>
      <c r="Q158">
        <v>11073</v>
      </c>
      <c r="R158">
        <v>168400</v>
      </c>
    </row>
    <row r="159" spans="16:18">
      <c r="P159" s="6">
        <v>45773</v>
      </c>
      <c r="Q159">
        <v>11074</v>
      </c>
      <c r="R159">
        <v>167663</v>
      </c>
    </row>
    <row r="160" spans="16:18">
      <c r="P160" s="6">
        <v>45773</v>
      </c>
      <c r="Q160">
        <v>11075</v>
      </c>
      <c r="R160">
        <v>68488</v>
      </c>
    </row>
    <row r="161" spans="16:18">
      <c r="P161" s="6">
        <v>45773</v>
      </c>
      <c r="Q161">
        <v>11076</v>
      </c>
      <c r="R161">
        <v>68321</v>
      </c>
    </row>
    <row r="162" spans="16:18">
      <c r="P162" s="6">
        <v>45773</v>
      </c>
      <c r="Q162">
        <v>11077</v>
      </c>
      <c r="R162">
        <v>68227</v>
      </c>
    </row>
    <row r="163" spans="16:18">
      <c r="P163" s="6">
        <v>45774</v>
      </c>
      <c r="R163">
        <v>44412</v>
      </c>
    </row>
    <row r="164" spans="16:18">
      <c r="P164" s="6">
        <v>45774</v>
      </c>
      <c r="Q164">
        <v>11072</v>
      </c>
      <c r="R164">
        <v>197047</v>
      </c>
    </row>
    <row r="165" spans="16:18">
      <c r="P165" s="6">
        <v>45774</v>
      </c>
      <c r="Q165">
        <v>11073</v>
      </c>
      <c r="R165">
        <v>198158</v>
      </c>
    </row>
    <row r="166" spans="16:18">
      <c r="P166" s="6">
        <v>45774</v>
      </c>
      <c r="Q166">
        <v>11074</v>
      </c>
      <c r="R166">
        <v>197645</v>
      </c>
    </row>
    <row r="167" spans="16:18">
      <c r="P167" s="6">
        <v>45774</v>
      </c>
      <c r="Q167">
        <v>11075</v>
      </c>
      <c r="R167">
        <v>77259</v>
      </c>
    </row>
    <row r="168" spans="16:18">
      <c r="P168" s="6">
        <v>45774</v>
      </c>
      <c r="Q168">
        <v>11076</v>
      </c>
      <c r="R168">
        <v>77840</v>
      </c>
    </row>
    <row r="169" spans="16:18">
      <c r="P169" s="6">
        <v>45774</v>
      </c>
      <c r="Q169">
        <v>11077</v>
      </c>
      <c r="R169">
        <v>77128</v>
      </c>
    </row>
    <row r="170" spans="16:18">
      <c r="P170" s="6">
        <v>45775</v>
      </c>
      <c r="R170">
        <v>43425</v>
      </c>
    </row>
    <row r="171" spans="16:18">
      <c r="P171" s="6">
        <v>45775</v>
      </c>
      <c r="Q171">
        <v>11072</v>
      </c>
      <c r="R171">
        <v>186513</v>
      </c>
    </row>
    <row r="172" spans="16:18">
      <c r="P172" s="6">
        <v>45775</v>
      </c>
      <c r="Q172">
        <v>11073</v>
      </c>
      <c r="R172">
        <v>187863</v>
      </c>
    </row>
    <row r="173" spans="16:18">
      <c r="P173" s="6">
        <v>45775</v>
      </c>
      <c r="Q173">
        <v>11074</v>
      </c>
      <c r="R173">
        <v>187863</v>
      </c>
    </row>
    <row r="174" spans="16:18">
      <c r="P174" s="6">
        <v>45775</v>
      </c>
      <c r="Q174">
        <v>11075</v>
      </c>
      <c r="R174">
        <v>75461</v>
      </c>
    </row>
    <row r="175" spans="16:18">
      <c r="P175" s="6">
        <v>45775</v>
      </c>
      <c r="Q175">
        <v>11076</v>
      </c>
      <c r="R175">
        <v>75823</v>
      </c>
    </row>
    <row r="176" spans="16:18">
      <c r="P176" s="6">
        <v>45775</v>
      </c>
      <c r="Q176">
        <v>11077</v>
      </c>
      <c r="R176">
        <v>75479</v>
      </c>
    </row>
    <row r="177" spans="16:18">
      <c r="P177" s="6">
        <v>45776</v>
      </c>
      <c r="R177">
        <v>40174</v>
      </c>
    </row>
    <row r="178" spans="16:18">
      <c r="P178" s="6">
        <v>45776</v>
      </c>
      <c r="Q178">
        <v>11072</v>
      </c>
      <c r="R178">
        <v>155812</v>
      </c>
    </row>
    <row r="179" spans="16:18">
      <c r="P179" s="6">
        <v>45776</v>
      </c>
      <c r="Q179">
        <v>11073</v>
      </c>
      <c r="R179">
        <v>156305</v>
      </c>
    </row>
    <row r="180" spans="16:18">
      <c r="P180" s="6">
        <v>45776</v>
      </c>
      <c r="Q180">
        <v>11074</v>
      </c>
      <c r="R180">
        <v>156014</v>
      </c>
    </row>
    <row r="181" spans="16:18">
      <c r="P181" s="6">
        <v>45776</v>
      </c>
      <c r="Q181">
        <v>11075</v>
      </c>
      <c r="R181">
        <v>64359</v>
      </c>
    </row>
    <row r="182" spans="16:18">
      <c r="P182" s="6">
        <v>45776</v>
      </c>
      <c r="Q182">
        <v>11076</v>
      </c>
      <c r="R182">
        <v>65233</v>
      </c>
    </row>
    <row r="183" spans="16:18">
      <c r="P183" s="6">
        <v>45776</v>
      </c>
      <c r="Q183">
        <v>11077</v>
      </c>
      <c r="R183">
        <v>64810</v>
      </c>
    </row>
    <row r="184" spans="16:18">
      <c r="P184" s="6">
        <v>45777</v>
      </c>
      <c r="R184">
        <v>40093</v>
      </c>
    </row>
    <row r="185" spans="16:18">
      <c r="P185" s="6">
        <v>45777</v>
      </c>
      <c r="Q185">
        <v>11072</v>
      </c>
      <c r="R185">
        <v>153434</v>
      </c>
    </row>
    <row r="186" spans="16:18">
      <c r="P186" s="6">
        <v>45777</v>
      </c>
      <c r="Q186">
        <v>11073</v>
      </c>
      <c r="R186">
        <v>154137</v>
      </c>
    </row>
    <row r="187" spans="16:18">
      <c r="P187" s="6">
        <v>45777</v>
      </c>
      <c r="Q187">
        <v>11074</v>
      </c>
      <c r="R187">
        <v>154009</v>
      </c>
    </row>
    <row r="188" spans="16:18">
      <c r="P188" s="6">
        <v>45777</v>
      </c>
      <c r="Q188">
        <v>11075</v>
      </c>
      <c r="R188">
        <v>64378</v>
      </c>
    </row>
    <row r="189" spans="16:18">
      <c r="P189" s="6">
        <v>45777</v>
      </c>
      <c r="Q189">
        <v>11076</v>
      </c>
      <c r="R189">
        <v>64618</v>
      </c>
    </row>
    <row r="190" spans="16:18">
      <c r="P190" s="6">
        <v>45777</v>
      </c>
      <c r="Q190">
        <v>11077</v>
      </c>
      <c r="R190">
        <v>64572</v>
      </c>
    </row>
    <row r="191" spans="16:18">
      <c r="P191" s="6">
        <v>45778</v>
      </c>
      <c r="R191">
        <v>42091</v>
      </c>
    </row>
    <row r="192" spans="16:18">
      <c r="P192" s="6">
        <v>45778</v>
      </c>
      <c r="Q192">
        <v>11072</v>
      </c>
      <c r="R192">
        <v>161508</v>
      </c>
    </row>
    <row r="193" spans="16:18">
      <c r="P193" s="6">
        <v>45778</v>
      </c>
      <c r="Q193">
        <v>11073</v>
      </c>
      <c r="R193">
        <v>162643</v>
      </c>
    </row>
    <row r="194" spans="16:18">
      <c r="P194" s="6">
        <v>45778</v>
      </c>
      <c r="Q194">
        <v>11074</v>
      </c>
      <c r="R194">
        <v>162384</v>
      </c>
    </row>
    <row r="195" spans="16:18">
      <c r="P195" s="6">
        <v>45778</v>
      </c>
      <c r="Q195">
        <v>11075</v>
      </c>
      <c r="R195">
        <v>68392</v>
      </c>
    </row>
    <row r="196" spans="16:18">
      <c r="P196" s="6">
        <v>45778</v>
      </c>
      <c r="Q196">
        <v>11076</v>
      </c>
      <c r="R196">
        <v>69138</v>
      </c>
    </row>
    <row r="197" spans="16:18">
      <c r="P197" s="6">
        <v>45778</v>
      </c>
      <c r="Q197">
        <v>11077</v>
      </c>
      <c r="R197">
        <v>68678</v>
      </c>
    </row>
    <row r="198" spans="16:18">
      <c r="P198" s="6">
        <v>45779</v>
      </c>
      <c r="R198">
        <v>44199</v>
      </c>
    </row>
    <row r="199" spans="16:18">
      <c r="P199" s="6">
        <v>45779</v>
      </c>
      <c r="Q199">
        <v>11072</v>
      </c>
      <c r="R199">
        <v>174430</v>
      </c>
    </row>
    <row r="200" spans="16:18">
      <c r="P200" s="6">
        <v>45779</v>
      </c>
      <c r="Q200">
        <v>11073</v>
      </c>
      <c r="R200">
        <v>175928</v>
      </c>
    </row>
    <row r="201" spans="16:18">
      <c r="P201" s="6">
        <v>45779</v>
      </c>
      <c r="Q201">
        <v>11074</v>
      </c>
      <c r="R201">
        <v>175061</v>
      </c>
    </row>
    <row r="202" spans="16:18">
      <c r="P202" s="6">
        <v>45779</v>
      </c>
      <c r="Q202">
        <v>11075</v>
      </c>
      <c r="R202">
        <v>76313</v>
      </c>
    </row>
    <row r="203" spans="16:18">
      <c r="P203" s="6">
        <v>45779</v>
      </c>
      <c r="Q203">
        <v>11076</v>
      </c>
      <c r="R203">
        <v>76233</v>
      </c>
    </row>
    <row r="204" spans="16:18">
      <c r="P204" s="6">
        <v>45779</v>
      </c>
      <c r="Q204">
        <v>11077</v>
      </c>
      <c r="R204">
        <v>76067</v>
      </c>
    </row>
    <row r="205" spans="16:18">
      <c r="P205" s="6">
        <v>45780</v>
      </c>
      <c r="R205">
        <v>43721</v>
      </c>
    </row>
    <row r="206" spans="16:18">
      <c r="P206" s="6">
        <v>45780</v>
      </c>
      <c r="Q206">
        <v>11072</v>
      </c>
      <c r="R206">
        <v>177495</v>
      </c>
    </row>
    <row r="207" spans="16:18">
      <c r="P207" s="6">
        <v>45780</v>
      </c>
      <c r="Q207">
        <v>11073</v>
      </c>
      <c r="R207">
        <v>178302</v>
      </c>
    </row>
    <row r="208" spans="16:18">
      <c r="P208" s="6">
        <v>45780</v>
      </c>
      <c r="Q208">
        <v>11074</v>
      </c>
      <c r="R208">
        <v>178059</v>
      </c>
    </row>
    <row r="209" spans="16:18">
      <c r="P209" s="6">
        <v>45780</v>
      </c>
      <c r="Q209">
        <v>11075</v>
      </c>
      <c r="R209">
        <v>71919</v>
      </c>
    </row>
    <row r="210" spans="16:18">
      <c r="P210" s="6">
        <v>45780</v>
      </c>
      <c r="Q210">
        <v>11076</v>
      </c>
      <c r="R210">
        <v>73088</v>
      </c>
    </row>
    <row r="211" spans="16:18">
      <c r="P211" s="6">
        <v>45780</v>
      </c>
      <c r="Q211">
        <v>11077</v>
      </c>
      <c r="R211">
        <v>72450</v>
      </c>
    </row>
    <row r="212" spans="16:18">
      <c r="P212" s="6">
        <v>45781</v>
      </c>
      <c r="R212">
        <v>45880</v>
      </c>
    </row>
    <row r="213" spans="16:18">
      <c r="P213" s="6">
        <v>45781</v>
      </c>
      <c r="Q213">
        <v>11072</v>
      </c>
      <c r="R213">
        <v>201212</v>
      </c>
    </row>
    <row r="214" spans="16:18">
      <c r="P214" s="6">
        <v>45781</v>
      </c>
      <c r="Q214">
        <v>11073</v>
      </c>
      <c r="R214">
        <v>202667</v>
      </c>
    </row>
    <row r="215" spans="16:18">
      <c r="P215" s="6">
        <v>45781</v>
      </c>
      <c r="Q215">
        <v>11074</v>
      </c>
      <c r="R215">
        <v>202805</v>
      </c>
    </row>
    <row r="216" spans="16:18">
      <c r="P216" s="6">
        <v>45781</v>
      </c>
      <c r="Q216">
        <v>11075</v>
      </c>
      <c r="R216">
        <v>78270</v>
      </c>
    </row>
    <row r="217" spans="16:18">
      <c r="P217" s="6">
        <v>45781</v>
      </c>
      <c r="Q217">
        <v>11076</v>
      </c>
      <c r="R217">
        <v>78282</v>
      </c>
    </row>
    <row r="218" spans="16:18">
      <c r="P218" s="6">
        <v>45781</v>
      </c>
      <c r="Q218">
        <v>11077</v>
      </c>
      <c r="R218">
        <v>78368</v>
      </c>
    </row>
  </sheetData>
  <mergeCells count="3">
    <mergeCell ref="N1:N1048576"/>
    <mergeCell ref="Y19:Z19"/>
    <mergeCell ref="Y30:Z3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07E3-349C-6147-B6B9-75AA504895BC}">
  <dimension ref="E5:K11"/>
  <sheetViews>
    <sheetView tabSelected="1" topLeftCell="A10" workbookViewId="0">
      <selection activeCell="F19" sqref="F19"/>
    </sheetView>
  </sheetViews>
  <sheetFormatPr baseColWidth="10" defaultRowHeight="16"/>
  <cols>
    <col min="10" max="10" width="16.5" customWidth="1"/>
    <col min="11" max="11" width="16.83203125" customWidth="1"/>
  </cols>
  <sheetData>
    <row r="5" spans="5:11">
      <c r="E5" s="18" t="s">
        <v>46</v>
      </c>
      <c r="F5" s="18" t="s">
        <v>47</v>
      </c>
      <c r="G5" s="18" t="s">
        <v>48</v>
      </c>
      <c r="H5" s="18" t="s">
        <v>49</v>
      </c>
      <c r="I5" s="18" t="s">
        <v>50</v>
      </c>
      <c r="J5" s="18" t="s">
        <v>51</v>
      </c>
      <c r="K5" s="18" t="s">
        <v>52</v>
      </c>
    </row>
    <row r="6" spans="5:11">
      <c r="E6" s="17">
        <v>770815</v>
      </c>
      <c r="F6" s="17">
        <v>762454</v>
      </c>
      <c r="G6" s="17">
        <v>756559</v>
      </c>
      <c r="H6" s="17">
        <v>752139</v>
      </c>
      <c r="I6" s="17">
        <v>748855</v>
      </c>
      <c r="J6" s="17">
        <v>746357</v>
      </c>
      <c r="K6" s="17">
        <v>747077</v>
      </c>
    </row>
    <row r="11" spans="5:11">
      <c r="E11" t="s">
        <v>53</v>
      </c>
      <c r="F11" t="s">
        <v>54</v>
      </c>
      <c r="G11" t="s">
        <v>55</v>
      </c>
      <c r="H11" t="s">
        <v>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dau 与mau 关系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2025-05-06T10:38:34Z</dcterms:created>
  <dcterms:modified xsi:type="dcterms:W3CDTF">2025-05-07T10:43:35Z</dcterms:modified>
</cp:coreProperties>
</file>