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1D4DC2EE-859F-F646-868C-5EBE0A62697E}" xr6:coauthVersionLast="38" xr6:coauthVersionMax="38" xr10:uidLastSave="{00000000-0000-0000-0000-000000000000}"/>
  <bookViews>
    <workbookView xWindow="540" yWindow="-19320" windowWidth="22800" windowHeight="15080" activeTab="4" xr2:uid="{3A835E02-E34B-1C4B-BEC7-2359720D14D0}"/>
  </bookViews>
  <sheets>
    <sheet name="act 次留" sheetId="2" r:id="rId1"/>
    <sheet name="daily 收入 活跃与价值" sheetId="10" r:id="rId2"/>
    <sheet name="汇总" sheetId="3" r:id="rId3"/>
    <sheet name="4.24 更新收入" sheetId="9" r:id="rId4"/>
    <sheet name="4.28 更新收入" sheetId="12" r:id="rId5"/>
    <sheet name="美国" sheetId="11" r:id="rId6"/>
    <sheet name="累计保存次数用户占比" sheetId="4" r:id="rId7"/>
    <sheet name="Sheet7" sheetId="7" r:id="rId8"/>
    <sheet name="edit 累计数据" sheetId="5" r:id="rId9"/>
    <sheet name="限免次数的使用" sheetId="6" r:id="rId10"/>
    <sheet name="第N天使用完2次的用户数" sheetId="8" r:id="rId11"/>
  </sheets>
  <definedNames>
    <definedName name="_xlnm._FilterDatabase" localSheetId="3" hidden="1">'4.24 更新收入'!$AL$1:$AU$1025</definedName>
  </definedNames>
  <calcPr calcId="179021"/>
  <pivotCaches>
    <pivotCache cacheId="183" r:id="rId12"/>
    <pivotCache cacheId="184" r:id="rId13"/>
    <pivotCache cacheId="185" r:id="rId14"/>
    <pivotCache cacheId="186" r:id="rId15"/>
    <pivotCache cacheId="187" r:id="rId16"/>
    <pivotCache cacheId="188" r:id="rId17"/>
    <pivotCache cacheId="189" r:id="rId18"/>
    <pivotCache cacheId="190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2" l="1"/>
  <c r="O7" i="12"/>
  <c r="O5" i="12"/>
  <c r="I11" i="12"/>
  <c r="AF50" i="10" l="1"/>
  <c r="AH49" i="10"/>
  <c r="AH50" i="10"/>
  <c r="AF49" i="10"/>
  <c r="AH39" i="10"/>
  <c r="AH38" i="10"/>
  <c r="AE39" i="10"/>
  <c r="AE38" i="10"/>
  <c r="AE37" i="10"/>
  <c r="AF39" i="10"/>
  <c r="AF38" i="10"/>
  <c r="AG38" i="10"/>
  <c r="AD35" i="10"/>
  <c r="AD34" i="10"/>
  <c r="AD33" i="10"/>
  <c r="AD44" i="10"/>
  <c r="AE48" i="10"/>
  <c r="AE49" i="10"/>
  <c r="H9" i="12" l="1"/>
  <c r="AH11" i="12"/>
  <c r="AH10" i="12"/>
  <c r="AH9" i="12"/>
  <c r="AJ11" i="12"/>
  <c r="AK11" i="12" s="1"/>
  <c r="AG11" i="12"/>
  <c r="AF11" i="12"/>
  <c r="AN11" i="12" s="1"/>
  <c r="AD11" i="12"/>
  <c r="AC11" i="12"/>
  <c r="AJ10" i="12"/>
  <c r="AK10" i="12" s="1"/>
  <c r="AG10" i="12"/>
  <c r="AF10" i="12"/>
  <c r="AN10" i="12" s="1"/>
  <c r="AD10" i="12"/>
  <c r="AC10" i="12"/>
  <c r="AG9" i="12"/>
  <c r="AF9" i="12"/>
  <c r="AN9" i="12" s="1"/>
  <c r="AD9" i="12"/>
  <c r="AC9" i="12"/>
  <c r="J9" i="12"/>
  <c r="P3" i="12" l="1"/>
  <c r="P4" i="12"/>
  <c r="P5" i="12"/>
  <c r="P6" i="12"/>
  <c r="P7" i="12"/>
  <c r="P2" i="12"/>
  <c r="J11" i="12"/>
  <c r="L11" i="12" s="1"/>
  <c r="M11" i="12" s="1"/>
  <c r="H11" i="12"/>
  <c r="P11" i="12" s="1"/>
  <c r="F11" i="12"/>
  <c r="E11" i="12"/>
  <c r="J10" i="12"/>
  <c r="I10" i="12"/>
  <c r="H10" i="12"/>
  <c r="P10" i="12" s="1"/>
  <c r="F10" i="12"/>
  <c r="E10" i="12"/>
  <c r="I9" i="12"/>
  <c r="P9" i="12"/>
  <c r="F9" i="12"/>
  <c r="E9" i="12"/>
  <c r="L10" i="12" l="1"/>
  <c r="M10" i="12" s="1"/>
  <c r="BE6" i="11"/>
  <c r="BE7" i="11"/>
  <c r="BE5" i="11"/>
  <c r="BC6" i="11"/>
  <c r="BD6" i="11"/>
  <c r="BC7" i="11"/>
  <c r="BD7" i="11"/>
  <c r="BD5" i="11"/>
  <c r="BC5" i="11"/>
  <c r="S44" i="11"/>
  <c r="S45" i="11"/>
  <c r="S43" i="11"/>
  <c r="Q43" i="11"/>
  <c r="Q44" i="11"/>
  <c r="Q45" i="11"/>
  <c r="P44" i="11"/>
  <c r="P45" i="11"/>
  <c r="P43" i="11"/>
  <c r="T41" i="11"/>
  <c r="S41" i="11"/>
  <c r="N40" i="11"/>
  <c r="N39" i="11"/>
  <c r="O39" i="11"/>
  <c r="S39" i="11" s="1"/>
  <c r="P39" i="11"/>
  <c r="Q39" i="11"/>
  <c r="T39" i="11" s="1"/>
  <c r="O40" i="11"/>
  <c r="S40" i="11" s="1"/>
  <c r="P40" i="11"/>
  <c r="Q40" i="11"/>
  <c r="T40" i="11" s="1"/>
  <c r="O41" i="11"/>
  <c r="P41" i="11"/>
  <c r="Q41" i="11"/>
  <c r="N41" i="11"/>
  <c r="Z14" i="11"/>
  <c r="Z12" i="11"/>
  <c r="X6" i="11"/>
  <c r="X7" i="11"/>
  <c r="X8" i="11"/>
  <c r="X9" i="11"/>
  <c r="X10" i="11"/>
  <c r="X5" i="11"/>
  <c r="T12" i="11"/>
  <c r="U12" i="11"/>
  <c r="Y12" i="11" s="1"/>
  <c r="V12" i="11"/>
  <c r="W12" i="11"/>
  <c r="X12" i="11" s="1"/>
  <c r="T13" i="11"/>
  <c r="U13" i="11"/>
  <c r="Y13" i="11" s="1"/>
  <c r="V13" i="11"/>
  <c r="W13" i="11"/>
  <c r="X13" i="11" s="1"/>
  <c r="T14" i="11"/>
  <c r="U14" i="11"/>
  <c r="Y14" i="11" s="1"/>
  <c r="V14" i="11"/>
  <c r="W14" i="11"/>
  <c r="X14" i="11" s="1"/>
  <c r="S14" i="11"/>
  <c r="R14" i="11"/>
  <c r="Q14" i="11"/>
  <c r="O14" i="11"/>
  <c r="N14" i="11"/>
  <c r="S13" i="11"/>
  <c r="R13" i="11"/>
  <c r="Q13" i="11"/>
  <c r="Z13" i="11" s="1"/>
  <c r="O13" i="11"/>
  <c r="N13" i="11"/>
  <c r="S12" i="11"/>
  <c r="R12" i="11"/>
  <c r="Q12" i="11"/>
  <c r="O12" i="11"/>
  <c r="N12" i="11"/>
  <c r="F11" i="9"/>
  <c r="F10" i="9"/>
  <c r="F9" i="9"/>
  <c r="P11" i="9"/>
  <c r="P10" i="9"/>
  <c r="P3" i="9"/>
  <c r="P4" i="9"/>
  <c r="P5" i="9"/>
  <c r="P6" i="9"/>
  <c r="P7" i="9"/>
  <c r="P2" i="9"/>
  <c r="L11" i="9"/>
  <c r="M11" i="9" s="1"/>
  <c r="L10" i="9"/>
  <c r="M10" i="9" s="1"/>
  <c r="W35" i="10"/>
  <c r="W34" i="10"/>
  <c r="W27" i="10"/>
  <c r="W26" i="10"/>
  <c r="AG50" i="10"/>
  <c r="AG49" i="10"/>
  <c r="AG48" i="10"/>
  <c r="AE50" i="10"/>
  <c r="AD45" i="10"/>
  <c r="AE45" i="10"/>
  <c r="AF45" i="10"/>
  <c r="AF47" i="10" s="1"/>
  <c r="AG45" i="10"/>
  <c r="AD46" i="10"/>
  <c r="AD47" i="10" s="1"/>
  <c r="AE46" i="10"/>
  <c r="AF46" i="10"/>
  <c r="AG46" i="10"/>
  <c r="AE44" i="10"/>
  <c r="AF44" i="10"/>
  <c r="AG44" i="10"/>
  <c r="AF36" i="10"/>
  <c r="AG39" i="10" s="1"/>
  <c r="AG37" i="10"/>
  <c r="AD36" i="10"/>
  <c r="AE34" i="10"/>
  <c r="AF34" i="10"/>
  <c r="AG34" i="10"/>
  <c r="AE35" i="10"/>
  <c r="AF35" i="10"/>
  <c r="AG35" i="10"/>
  <c r="AE33" i="10"/>
  <c r="AF33" i="10"/>
  <c r="AG33" i="10"/>
  <c r="W17" i="10"/>
  <c r="W16" i="10"/>
  <c r="W8" i="10"/>
  <c r="W7" i="10"/>
  <c r="J9" i="9"/>
  <c r="I9" i="9"/>
  <c r="H11" i="9"/>
  <c r="H10" i="9"/>
  <c r="H9" i="9"/>
  <c r="P9" i="9" s="1"/>
  <c r="I11" i="9"/>
  <c r="I10" i="9"/>
  <c r="J11" i="9"/>
  <c r="J10" i="9"/>
  <c r="E11" i="9"/>
  <c r="E10" i="9"/>
  <c r="E9" i="9"/>
  <c r="V12" i="8" l="1"/>
  <c r="W12" i="8"/>
  <c r="X12" i="8"/>
  <c r="V13" i="8"/>
  <c r="W13" i="8"/>
  <c r="X13" i="8"/>
  <c r="V14" i="8"/>
  <c r="W14" i="8"/>
  <c r="X14" i="8"/>
  <c r="V15" i="8"/>
  <c r="W15" i="8"/>
  <c r="X15" i="8"/>
  <c r="V16" i="8"/>
  <c r="W16" i="8"/>
  <c r="X16" i="8"/>
  <c r="V17" i="8"/>
  <c r="W17" i="8"/>
  <c r="X17" i="8"/>
  <c r="V18" i="8"/>
  <c r="W18" i="8"/>
  <c r="X18" i="8"/>
  <c r="V19" i="8"/>
  <c r="W19" i="8"/>
  <c r="X19" i="8"/>
  <c r="V20" i="8"/>
  <c r="W20" i="8"/>
  <c r="X20" i="8"/>
  <c r="V21" i="8"/>
  <c r="W21" i="8"/>
  <c r="X21" i="8"/>
  <c r="V22" i="8"/>
  <c r="W22" i="8"/>
  <c r="X22" i="8"/>
  <c r="V23" i="8"/>
  <c r="W23" i="8"/>
  <c r="X23" i="8"/>
  <c r="V24" i="8"/>
  <c r="W24" i="8"/>
  <c r="X24" i="8"/>
  <c r="V25" i="8"/>
  <c r="W25" i="8"/>
  <c r="X25" i="8"/>
  <c r="V26" i="8"/>
  <c r="W26" i="8"/>
  <c r="X26" i="8"/>
  <c r="V27" i="8"/>
  <c r="W27" i="8"/>
  <c r="X27" i="8"/>
  <c r="V28" i="8"/>
  <c r="W28" i="8"/>
  <c r="X28" i="8"/>
  <c r="W11" i="8"/>
  <c r="X11" i="8"/>
  <c r="V11" i="8"/>
  <c r="G5" i="5"/>
  <c r="C9" i="5"/>
  <c r="C10" i="5"/>
  <c r="D10" i="5"/>
  <c r="D9" i="5"/>
  <c r="H6" i="5"/>
  <c r="H7" i="5"/>
  <c r="H5" i="5"/>
  <c r="G6" i="5"/>
  <c r="G7" i="5"/>
  <c r="R4" i="3"/>
  <c r="R9" i="3"/>
  <c r="R5" i="3"/>
  <c r="R6" i="3"/>
  <c r="R7" i="3"/>
  <c r="R8" i="3"/>
  <c r="N4" i="3"/>
  <c r="R17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S17" i="4"/>
  <c r="T17" i="4"/>
  <c r="R18" i="4"/>
  <c r="S18" i="4"/>
  <c r="T18" i="4"/>
  <c r="R19" i="4"/>
  <c r="S19" i="4"/>
  <c r="T19" i="4"/>
  <c r="R20" i="4"/>
  <c r="S20" i="4"/>
  <c r="T20" i="4"/>
  <c r="R9" i="4"/>
  <c r="S9" i="4"/>
  <c r="T9" i="4"/>
  <c r="R10" i="4"/>
  <c r="S10" i="4"/>
  <c r="T10" i="4"/>
  <c r="R5" i="4"/>
  <c r="V5" i="4" s="1"/>
  <c r="S5" i="4"/>
  <c r="T5" i="4"/>
  <c r="X5" i="4" s="1"/>
  <c r="R6" i="4"/>
  <c r="S6" i="4"/>
  <c r="W5" i="4" s="1"/>
  <c r="T6" i="4"/>
  <c r="R7" i="4"/>
  <c r="S7" i="4"/>
  <c r="T7" i="4"/>
  <c r="R8" i="4"/>
  <c r="S8" i="4"/>
  <c r="T8" i="4"/>
  <c r="S4" i="4"/>
  <c r="S22" i="4" s="1"/>
  <c r="T4" i="4"/>
  <c r="T22" i="4" s="1"/>
  <c r="R4" i="4"/>
  <c r="R22" i="4" s="1"/>
  <c r="F45" i="3"/>
  <c r="F46" i="3"/>
  <c r="F44" i="3"/>
  <c r="E44" i="3"/>
  <c r="E45" i="3"/>
  <c r="E46" i="3"/>
  <c r="D46" i="3"/>
  <c r="D45" i="3"/>
  <c r="D44" i="3"/>
  <c r="M30" i="3"/>
  <c r="L30" i="3"/>
  <c r="O30" i="3" s="1"/>
  <c r="M29" i="3"/>
  <c r="L29" i="3"/>
  <c r="O29" i="3" s="1"/>
  <c r="M28" i="3"/>
  <c r="L28" i="3"/>
  <c r="O28" i="3" s="1"/>
  <c r="G30" i="3"/>
  <c r="G28" i="3"/>
  <c r="E29" i="3"/>
  <c r="G29" i="3" s="1"/>
  <c r="E30" i="3"/>
  <c r="E28" i="3"/>
  <c r="D29" i="3"/>
  <c r="D30" i="3"/>
  <c r="D28" i="3"/>
  <c r="G24" i="3"/>
  <c r="O24" i="3"/>
  <c r="O23" i="3"/>
  <c r="O22" i="3"/>
  <c r="O21" i="3"/>
  <c r="O26" i="3"/>
  <c r="O25" i="3"/>
  <c r="G22" i="3"/>
  <c r="G23" i="3"/>
  <c r="G25" i="3"/>
  <c r="G26" i="3"/>
  <c r="G21" i="3"/>
  <c r="P5" i="3"/>
  <c r="P6" i="3"/>
  <c r="P7" i="3"/>
  <c r="P8" i="3"/>
  <c r="P9" i="3"/>
  <c r="P11" i="3"/>
  <c r="P12" i="3"/>
  <c r="P4" i="3"/>
  <c r="O5" i="3"/>
  <c r="O6" i="3"/>
  <c r="O7" i="3"/>
  <c r="O8" i="3"/>
  <c r="O9" i="3"/>
  <c r="O11" i="3"/>
  <c r="O4" i="3"/>
  <c r="E11" i="3"/>
  <c r="F11" i="3"/>
  <c r="G11" i="3"/>
  <c r="H11" i="3"/>
  <c r="I11" i="3"/>
  <c r="J11" i="3"/>
  <c r="K11" i="3"/>
  <c r="L11" i="3"/>
  <c r="M11" i="3"/>
  <c r="R11" i="3" s="1"/>
  <c r="E12" i="3"/>
  <c r="F12" i="3"/>
  <c r="G12" i="3"/>
  <c r="H12" i="3"/>
  <c r="I12" i="3"/>
  <c r="J12" i="3"/>
  <c r="K12" i="3"/>
  <c r="L12" i="3"/>
  <c r="M12" i="3"/>
  <c r="R12" i="3" s="1"/>
  <c r="E13" i="3"/>
  <c r="F13" i="3"/>
  <c r="G13" i="3"/>
  <c r="P13" i="3" s="1"/>
  <c r="H13" i="3"/>
  <c r="I13" i="3"/>
  <c r="J13" i="3"/>
  <c r="K13" i="3"/>
  <c r="O13" i="3" s="1"/>
  <c r="L13" i="3"/>
  <c r="M13" i="3"/>
  <c r="R13" i="3" s="1"/>
  <c r="D13" i="3"/>
  <c r="D12" i="3"/>
  <c r="O12" i="3" s="1"/>
  <c r="D11" i="3"/>
  <c r="N5" i="3"/>
  <c r="N6" i="3"/>
  <c r="N7" i="3"/>
  <c r="N8" i="3"/>
  <c r="N9" i="3"/>
  <c r="Q34" i="2"/>
  <c r="P34" i="2"/>
  <c r="K33" i="2"/>
  <c r="K38" i="2" s="1"/>
  <c r="L33" i="2"/>
  <c r="L38" i="2" s="1"/>
  <c r="M38" i="2" s="1"/>
  <c r="M33" i="2"/>
  <c r="N33" i="2"/>
  <c r="Q33" i="2" s="1"/>
  <c r="K34" i="2"/>
  <c r="L34" i="2"/>
  <c r="O34" i="2" s="1"/>
  <c r="M34" i="2"/>
  <c r="K39" i="2" s="1"/>
  <c r="N34" i="2"/>
  <c r="L32" i="2"/>
  <c r="O32" i="2" s="1"/>
  <c r="M32" i="2"/>
  <c r="K37" i="2" s="1"/>
  <c r="N32" i="2"/>
  <c r="K32" i="2"/>
  <c r="Q24" i="2"/>
  <c r="Q26" i="2"/>
  <c r="Q30" i="2"/>
  <c r="Q29" i="2"/>
  <c r="Q28" i="2"/>
  <c r="Q25" i="2"/>
  <c r="P25" i="2"/>
  <c r="P26" i="2"/>
  <c r="P28" i="2"/>
  <c r="P29" i="2"/>
  <c r="P30" i="2"/>
  <c r="P24" i="2"/>
  <c r="O25" i="2"/>
  <c r="O26" i="2"/>
  <c r="O28" i="2"/>
  <c r="O29" i="2"/>
  <c r="O30" i="2"/>
  <c r="O24" i="2"/>
  <c r="P32" i="2" l="1"/>
  <c r="Q32" i="2"/>
  <c r="P33" i="2"/>
  <c r="L37" i="2"/>
  <c r="M37" i="2" s="1"/>
  <c r="N11" i="3"/>
  <c r="O33" i="2"/>
  <c r="L39" i="2"/>
  <c r="M39" i="2" s="1"/>
  <c r="N12" i="3"/>
  <c r="N13" i="3"/>
</calcChain>
</file>

<file path=xl/sharedStrings.xml><?xml version="1.0" encoding="utf-8"?>
<sst xmlns="http://schemas.openxmlformats.org/spreadsheetml/2006/main" count="3383" uniqueCount="356">
  <si>
    <t>is_new</t>
  </si>
  <si>
    <t>platform</t>
  </si>
  <si>
    <t>abcode</t>
  </si>
  <si>
    <t>enter_abtest_uv</t>
  </si>
  <si>
    <t>re0</t>
  </si>
  <si>
    <t>re1</t>
  </si>
  <si>
    <t>ANDROID</t>
  </si>
  <si>
    <t>IOS</t>
  </si>
  <si>
    <t>行标签</t>
  </si>
  <si>
    <t>总计</t>
  </si>
  <si>
    <t>列标签</t>
  </si>
  <si>
    <t>求和项:re0</t>
  </si>
  <si>
    <t>求和项:re0汇总</t>
  </si>
  <si>
    <t>求和项:re1汇总</t>
  </si>
  <si>
    <t>求和项:re1</t>
  </si>
  <si>
    <t>event_date_hk</t>
  </si>
  <si>
    <t>Old user</t>
  </si>
  <si>
    <t>New user</t>
  </si>
  <si>
    <t>新用户次留</t>
    <phoneticPr fontId="5" type="noConversion"/>
  </si>
  <si>
    <t>老用户次留</t>
    <phoneticPr fontId="5" type="noConversion"/>
  </si>
  <si>
    <t>活跃用户次留</t>
    <phoneticPr fontId="5" type="noConversion"/>
  </si>
  <si>
    <t>对照组</t>
  </si>
  <si>
    <t>实验组A</t>
  </si>
  <si>
    <t>实验组B</t>
  </si>
  <si>
    <t>Android &amp;ios</t>
    <phoneticPr fontId="5" type="noConversion"/>
  </si>
  <si>
    <t>ab_code</t>
  </si>
  <si>
    <t>sub_enter_uv</t>
  </si>
  <si>
    <t>sub_click_uv</t>
  </si>
  <si>
    <t>sub_success_uv</t>
  </si>
  <si>
    <t>sub_success_to_paid_uv</t>
  </si>
  <si>
    <t>sub_success_to_paid_gmv</t>
  </si>
  <si>
    <t>enter_uv</t>
  </si>
  <si>
    <t>enter_pv</t>
  </si>
  <si>
    <t>save_pv</t>
  </si>
  <si>
    <t>人均保存次数</t>
    <phoneticPr fontId="5" type="noConversion"/>
  </si>
  <si>
    <t>Save Penetration｜保存渗透率</t>
    <phoneticPr fontId="5" type="noConversion"/>
  </si>
  <si>
    <t>Sub Enter to Success UV CR｜订阅页转化率</t>
    <phoneticPr fontId="5" type="noConversion"/>
  </si>
  <si>
    <t>agg_days</t>
  </si>
  <si>
    <t>agg_uv</t>
  </si>
  <si>
    <t>过去7天活跃天数</t>
    <phoneticPr fontId="5" type="noConversion"/>
  </si>
  <si>
    <t>过去30天活跃天数</t>
    <phoneticPr fontId="5" type="noConversion"/>
  </si>
  <si>
    <t>ads_bookings</t>
  </si>
  <si>
    <t>max_impression_pv</t>
  </si>
  <si>
    <t>eCPM</t>
  </si>
  <si>
    <t>save_uv</t>
    <phoneticPr fontId="5" type="noConversion"/>
  </si>
  <si>
    <t>活跃</t>
    <phoneticPr fontId="5" type="noConversion"/>
  </si>
  <si>
    <t>edit_save_pv</t>
  </si>
  <si>
    <t>uv</t>
  </si>
  <si>
    <t>求和项:uv</t>
  </si>
  <si>
    <t>其他</t>
    <phoneticPr fontId="5" type="noConversion"/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</si>
  <si>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</si>
  <si>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</si>
  <si>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</si>
  <si>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</si>
  <si>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</si>
  <si>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</si>
  <si>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</si>
  <si>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</si>
  <si>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t>-- ,event_timestamp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</si>
  <si>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</si>
  <si>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t>--- `dataintegration-265403.analytics.dwd_dzp_events_function`('2025-02-28','2025-03-16','airbrush',false)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</si>
  <si>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</si>
  <si>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</si>
  <si>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</si>
  <si>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</si>
  <si>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</si>
  <si>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t>)</t>
  </si>
  <si>
    <r>
      <t xml:space="preserve">,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</si>
  <si>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</si>
  <si>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</si>
  <si>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</si>
  <si>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</si>
  <si>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(*)</t>
    </r>
    <r>
      <rPr>
        <sz val="12"/>
        <color rgb="FF000000"/>
        <rFont val="Menlo"/>
        <family val="2"/>
      </rPr>
      <t>pv</t>
    </r>
  </si>
  <si>
    <t xml:space="preserve">-- `dataintegration-265403.analytics.dwd_dzp_events_function`('2025-02-28','2025-03-16','airbrush',false) -- 这个表跑不动 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</si>
  <si>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</si>
  <si>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'edit_save'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</si>
  <si>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</si>
  <si>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</si>
  <si>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</si>
  <si>
    <t>-- a.platform</t>
  </si>
  <si>
    <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</si>
  <si>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 xml:space="preserve"> ,</t>
    </r>
    <r>
      <rPr>
        <sz val="12"/>
        <color rgb="FF188038"/>
        <rFont val="Menlo"/>
        <family val="2"/>
      </rPr>
      <t>'11075'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'对照组'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</si>
  <si>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 xml:space="preserve"> ,</t>
    </r>
    <r>
      <rPr>
        <sz val="12"/>
        <color rgb="FF188038"/>
        <rFont val="Menlo"/>
        <family val="2"/>
      </rPr>
      <t>'11076'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'实验组A'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</si>
  <si>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 xml:space="preserve"> 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'实验组B'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</si>
  <si>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</si>
  <si>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,</t>
    </r>
    <r>
      <rPr>
        <sz val="12"/>
        <color rgb="FF000000"/>
        <rFont val="Menlo"/>
        <family val="2"/>
      </rPr>
      <t>a.device_id</t>
    </r>
  </si>
  <si>
    <t>-- 用户行为</t>
  </si>
  <si>
    <r>
      <t>,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</si>
  <si>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pv</t>
    </r>
  </si>
  <si>
    <r>
      <t>,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enter_abtest_date</t>
    </r>
  </si>
  <si>
    <t>from</t>
  </si>
  <si>
    <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</si>
  <si>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b.device_id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</si>
  <si>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事件发生的日期均 &gt;= 进入实验日期</t>
    </r>
  </si>
  <si>
    <r>
      <t>,</t>
    </r>
    <r>
      <rPr>
        <sz val="12"/>
        <color rgb="FF000000"/>
        <rFont val="Menlo"/>
        <family val="2"/>
      </rPr>
      <t>edit_save_pv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</si>
  <si>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uv</t>
    </r>
  </si>
  <si>
    <t>(</t>
  </si>
  <si>
    <r>
      <t>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</si>
  <si>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edit_save_pv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</si>
  <si>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</si>
  <si>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</si>
  <si>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</si>
  <si>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ab_test_uv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</si>
  <si>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ab_test_uv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</si>
  <si>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</si>
  <si>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人均保存pv</t>
    <phoneticPr fontId="5" type="noConversion"/>
  </si>
  <si>
    <t>edit_save_uv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</si>
  <si>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edit_save_uv</t>
    </r>
  </si>
  <si>
    <t>人均进入实验保存次数</t>
    <phoneticPr fontId="5" type="noConversion"/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</si>
  <si>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'free_times'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free_times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</si>
  <si>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'remain_times'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remain_times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</si>
  <si>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</si>
  <si>
    <t>-- 多少人下发了限免</t>
  </si>
  <si>
    <t>-- 多少人使用了限免，使用了1 次和2次的比例，时间分布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</si>
  <si>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'new_free_saves_obtain'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new_free_saves_obtain_uv</t>
    </r>
    <r>
      <rPr>
        <sz val="12"/>
        <color rgb="FF202124"/>
        <rFont val="Menlo"/>
        <family val="2"/>
      </rPr>
      <t xml:space="preserve"> </t>
    </r>
  </si>
  <si>
    <t xml:space="preserve">-- ,min(case when event_name ='edit_save' then cast(remain_times as int ) else null end ) edit_save_pv </t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</si>
  <si>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</si>
  <si>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new_free_saves_obtain_uv</t>
  </si>
  <si>
    <t>new_free_saves_consume_uv</t>
  </si>
  <si>
    <t>获取2次限免人数</t>
    <phoneticPr fontId="5" type="noConversion"/>
  </si>
  <si>
    <t>获取2次且又获取1次限免人数</t>
    <phoneticPr fontId="5" type="noConversion"/>
  </si>
  <si>
    <t>-- iOS 获取1次和获取2次的重合度</t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</si>
  <si>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'new_free_saves_obtain'</t>
    </r>
    <r>
      <rPr>
        <sz val="12"/>
        <color rgb="FF3C4043"/>
        <rFont val="Menlo"/>
        <family val="2"/>
      </rPr>
      <t>)</t>
    </r>
    <r>
      <rPr>
        <sz val="12"/>
        <color rgb="FFB80672"/>
        <rFont val="Menlo"/>
        <family val="2"/>
      </rPr>
      <t>-- ,'new_free_saves_consume','edit_enter')</t>
    </r>
  </si>
  <si>
    <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ab_code</t>
    </r>
  </si>
  <si>
    <t xml:space="preserve">/* case </t>
  </si>
  <si>
    <t>when ab_code in ('11072' ,'11075') then '对照组'</t>
  </si>
  <si>
    <t>when ab_code in ('11073' ,'11076') then '实验组A'</t>
  </si>
  <si>
    <t>when ab_code in ('11074' ,'11077') then '实验组B'</t>
  </si>
  <si>
    <t>end ab_code</t>
  </si>
  <si>
    <t>*/</t>
  </si>
  <si>
    <r>
      <t>a.ab_code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</si>
  <si>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</si>
  <si>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b.device_id</t>
    </r>
    <r>
      <rPr>
        <sz val="12"/>
        <color rgb="FF3C4043"/>
        <rFont val="Menlo"/>
        <family val="2"/>
      </rPr>
      <t>)</t>
    </r>
  </si>
  <si>
    <r>
      <t>from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</si>
  <si>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free_times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'2'</t>
    </r>
    <r>
      <rPr>
        <sz val="12"/>
        <color rgb="FF3C4043"/>
        <rFont val="Menlo"/>
        <family val="2"/>
      </rP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</si>
  <si>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free_times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b.device_id</t>
    </r>
    <r>
      <rPr>
        <sz val="12"/>
        <color rgb="FF202124"/>
        <rFont val="Menlo"/>
        <family val="2"/>
      </rPr>
      <t xml:space="preserve"> </t>
    </r>
  </si>
  <si>
    <t>edit_enter</t>
  </si>
  <si>
    <t>new_free_saves_consume1_uv</t>
  </si>
  <si>
    <t>new_free_saves_consume2_uv</t>
  </si>
  <si>
    <t>获取限免资格人数</t>
    <phoneticPr fontId="5" type="noConversion"/>
  </si>
  <si>
    <t>限免保存人数</t>
    <phoneticPr fontId="5" type="noConversion"/>
  </si>
  <si>
    <t>使用1次限免保存人数</t>
    <phoneticPr fontId="5" type="noConversion"/>
  </si>
  <si>
    <t>使用2次限免保存人数</t>
    <phoneticPr fontId="5" type="noConversion"/>
  </si>
  <si>
    <t>with enter_test as (
select 
    distinct 
    date(timestamp_micros(event_timestamp),'Asia/Singapore')  date, user_pseudo_id
    ,geo.country country
    ,platform 
    ,func.getUserprop(user_properties,'device_id').string_value as device_id
    ,func.getParams(event_params,'current_abcode').string_value as ab_code
  --  ,event_timestamp
from `airbrush-1324.analytics_152810936.events_*` 
   --- `dataintegration-265403.analytics.dwd_dzp_events_function`('2025-02-28','2025-03-16','airbrush',false)
where
    event_name = 'abcode_enter_test' 
    and func.getParams(event_params,'current_abcode').string_value in  ('11072','11073','11074','11075','11076','11077')
      and _table_suffix between '20250402' and '20250421'
   and date(timestamp_micros(event_timestamp),'Asia/Singapore')  between  '2025-04-03' and'2025-04-20'
)
, eves as (
select  
    date(timestamp_micros(event_timestamp),'Asia/Singapore')   date
    ,platform,user_pseudo_id,geo.country country 
    ,event_name
    ,func.getUserprop(user_properties,'device_id').string_value as device_id 
    ,func.getParams(event_params,'free_times').string_value  free_times
    ,func.getParams(event_params,'remain_times').string_value  remain_times
    -- ,event_timestamp
    ,count(*)pv
from `airbrush-1324.analytics_152810936.events_*` 
  --  `dataintegration-265403.analytics.dwd_dzp_events_function`('2025-02-28','2025-03-16','airbrush',false) -- 这个表跑不动 
where 
    event_name   in ('new_free_saves_obtain','new_free_saves_consume','edit_enter','edit_save')
    and _table_suffix between'20250402' and '20250421'
   and date(timestamp_micros(event_timestamp),'Asia/Singapore')  between  '2025-04-03' and'2025-04-20'
group by 1,2,3,4,5,6,7,8
)
,fe as (   
 select 
    a.* --,ab_code
       , case 
             when ab_code in ('11072' ,'11075') then '对照组'
            when ab_code in ('11073' ,'11076') then '实验组A'
            when ab_code in ('11074' ,'11077') then '实验组B'
        end ab_code
        ,pv
        ,b.date enter_abtest_date
    from
        eves a
         join enter_test b on a.device_id= b.device_id
    where b.date  &lt;= a.date -- 事件发生的日期均 &gt;= 进入实验日期
)
-- 多少人下发了限免
-- 多少人使用了限免，使用了1 次和2次的比例，时间分布
select 
      ab_code --,free_times
        ,count(distinct case when event_name = 'edit_enter' then device_id end )  edit_enter
        ,count(distinct case when event_name = 'new_free_saves_obtain' then device_id end ) new_free_saves_obtain_uv 
        ,count(distinct case when event_name = 'new_free_saves_consume' then device_id end ) new_free_saves_consume_uv 
        ,count(distinct case when event_name = 'edit_save' then device_id end ) edit_save_uv 
        ,count(distinct case when event_name = 'new_free_saves_consume'  and remain_times ='1' then device_id end ) new_free_saves_consume1_uv 
        ,count(distinct case when event_name = 'new_free_saves_consume'  and remain_times ='0'  then device_id end ) new_free_saves_consume2_uv
   -- ,min(case when event_name ='edit_save' then cast(remain_times as int ) else null end ) edit_save_pv 
from     fe  
group by 1
order by 1</t>
    <phoneticPr fontId="5" type="noConversion"/>
  </si>
  <si>
    <t>edit_enter uv</t>
    <phoneticPr fontId="5" type="noConversion"/>
  </si>
  <si>
    <t>free_times</t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</si>
  <si>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'new_free_saves_obtain'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'new_free_saves_consume'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'edit_enter'</t>
    </r>
    <r>
      <rPr>
        <sz val="12"/>
        <color rgb="FF3C4043"/>
        <rFont val="Menlo"/>
        <family val="2"/>
      </rPr>
      <t>)</t>
    </r>
  </si>
  <si>
    <r>
      <t>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free_times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</si>
  <si>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edit_enter</t>
    </r>
  </si>
  <si>
    <t>day_diff</t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</si>
  <si>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</si>
  <si>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event_timestamp</t>
    </r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</si>
  <si>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</si>
  <si>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</si>
  <si>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</si>
  <si>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</si>
  <si>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enter_abtest_date</t>
    </r>
  </si>
  <si>
    <r>
      <t>,</t>
    </r>
    <r>
      <rPr>
        <sz val="12"/>
        <color rgb="FF1967D2"/>
        <rFont val="Menlo"/>
        <family val="2"/>
      </rPr>
      <t>rank</t>
    </r>
    <r>
      <rPr>
        <sz val="12"/>
        <color rgb="FF3C4043"/>
        <rFont val="Menlo"/>
        <family val="2"/>
      </rPr>
      <t>()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event_timestamp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save_rank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</si>
  <si>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</si>
  <si>
    <t>(空白)</t>
  </si>
  <si>
    <t>save_num</t>
  </si>
  <si>
    <r>
      <t>save_num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ab_code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enter_abtest_date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day_diff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</si>
  <si>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max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save_rank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save_num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</si>
  <si>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save_rank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2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</si>
  <si>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</si>
  <si>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</si>
  <si>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</si>
  <si>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t>保存1次或者2次的人</t>
    <phoneticPr fontId="5" type="noConversion"/>
  </si>
  <si>
    <t>4/24 上午更新</t>
    <phoneticPr fontId="5" type="noConversion"/>
  </si>
  <si>
    <t>save_uv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</si>
  <si>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</si>
  <si>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</si>
  <si>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'enter'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</si>
  <si>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</si>
  <si>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</si>
  <si>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</si>
  <si>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'source_module'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</si>
  <si>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'source_0'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</si>
  <si>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source_1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</si>
  <si>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'duration'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duration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</si>
  <si>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'SKU'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sku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</si>
  <si>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'order_id'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</si>
  <si>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</si>
  <si>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'w_subscription_enter'</t>
    </r>
  </si>
  <si>
    <r>
      <t>,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</si>
  <si>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13</t>
    </r>
  </si>
  <si>
    <r>
      <t>,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</si>
  <si>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</si>
  <si>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限制进入实验的人,且实验触发日期在进入实验之后</t>
    </r>
  </si>
  <si>
    <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</si>
  <si>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</si>
  <si>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&lt;&gt;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</si>
  <si>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)</t>
    </r>
    <r>
      <rPr>
        <sz val="12"/>
        <color rgb="FF000000"/>
        <rFont val="Menlo"/>
        <family val="2"/>
      </rPr>
      <t>a</t>
    </r>
  </si>
  <si>
    <r>
      <t>,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</si>
  <si>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</si>
  <si>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payment_price_usd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</si>
  <si>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</si>
  <si>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payment_price_usd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</si>
  <si>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</si>
  <si>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app_id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</si>
  <si>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'2025-04-02'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</si>
  <si>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</si>
  <si>
    <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</si>
  <si>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enter_abtest_uv</t>
    </r>
  </si>
  <si>
    <t>-- 付费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</si>
  <si>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'w_subscription_enter'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sub_enter_uv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</si>
  <si>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sub_click_uv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</si>
  <si>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</si>
  <si>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</si>
  <si>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</si>
  <si>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</si>
  <si>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</si>
  <si>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sub_success_to_paid_gmv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</si>
  <si>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enter_uv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</si>
  <si>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'save'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save_uv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</si>
  <si>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enter_pv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</si>
  <si>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'save'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pv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save_pv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</si>
  <si>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</si>
  <si>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</si>
  <si>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</si>
  <si>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a.device_id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b.standard_order_date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b.original_order_id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b.sku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b.order_status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</si>
  <si>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b.payment_price_usd</t>
    </r>
  </si>
  <si>
    <r>
      <t>,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</si>
  <si>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000000"/>
        <rFont val="Menlo"/>
        <family val="2"/>
      </rPr>
      <t>next_payment_price_usd</t>
    </r>
  </si>
  <si>
    <t>*</t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</si>
  <si>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</si>
  <si>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</si>
  <si>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a.order_id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b.order_id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b.sku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</si>
  <si>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a.sku</t>
    </r>
  </si>
  <si>
    <t>source_module</t>
  </si>
  <si>
    <t>source_0</t>
  </si>
  <si>
    <t>p_edit</t>
  </si>
  <si>
    <t>p_video</t>
  </si>
  <si>
    <t>p_camera</t>
  </si>
  <si>
    <t>new_free_saves</t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</si>
  <si>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'w_subscription_enter'</t>
    </r>
  </si>
  <si>
    <r>
      <t>,</t>
    </r>
    <r>
      <rPr>
        <sz val="12"/>
        <color rgb="FF000000"/>
        <rFont val="Menlo"/>
        <family val="2"/>
      </rPr>
      <t>next_payment_price_usd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--,a.source_0 ,a.source_1</t>
    </r>
  </si>
  <si>
    <t>求和项:sub_enter_uv</t>
  </si>
  <si>
    <t>求和项:sub_click_uv</t>
  </si>
  <si>
    <t>求和项:sub_success_uv</t>
  </si>
  <si>
    <t>求和项:sub_success_to_paid_uv</t>
  </si>
  <si>
    <t>求和项:sub_success_to_paid_gmv</t>
  </si>
  <si>
    <r>
      <t>,</t>
    </r>
    <r>
      <rPr>
        <sz val="12"/>
        <color rgb="FF1967D2"/>
        <rFont val="Menlo"/>
        <family val="2"/>
      </rPr>
      <t>case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</si>
  <si>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'p_camera'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'p_edit'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'p_video'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</si>
  <si>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'p_update_first_launch'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'p_onboarding'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'onboarding'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</si>
  <si>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'else'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</si>
  <si>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</si>
  <si>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'new_free_saves'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'all'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</si>
  <si>
    <t>all</t>
  </si>
  <si>
    <t>else</t>
  </si>
  <si>
    <t>onboarding</t>
  </si>
  <si>
    <t>求和项:enter_abtest_uv</t>
  </si>
  <si>
    <t>(全部)</t>
  </si>
  <si>
    <t>a.platform</t>
  </si>
  <si>
    <r>
      <t>,</t>
    </r>
    <r>
      <rPr>
        <sz val="12"/>
        <color rgb="FF000000"/>
        <rFont val="Menlo"/>
        <family val="2"/>
      </rPr>
      <t>ab_code</t>
    </r>
  </si>
  <si>
    <r>
      <t xml:space="preserve">,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</si>
  <si>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ab_code_typpe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</si>
  <si>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</si>
  <si>
    <t>ab_code_typpe</t>
  </si>
  <si>
    <r>
      <t>实验组</t>
    </r>
    <r>
      <rPr>
        <sz val="10"/>
        <color theme="1"/>
        <rFont val="Arial"/>
        <family val="2"/>
      </rPr>
      <t>A</t>
    </r>
  </si>
  <si>
    <r>
      <t>实验组</t>
    </r>
    <r>
      <rPr>
        <sz val="10"/>
        <color theme="1"/>
        <rFont val="Arial"/>
        <family val="2"/>
      </rPr>
      <t>B</t>
    </r>
  </si>
  <si>
    <t xml:space="preserve"> </t>
    <phoneticPr fontId="5" type="noConversion"/>
  </si>
  <si>
    <t>date</t>
  </si>
  <si>
    <t>(多项)</t>
  </si>
  <si>
    <t>平均值项:sub_success_to_paid_gmv</t>
  </si>
  <si>
    <t>对照组</t>
    <phoneticPr fontId="5" type="noConversion"/>
  </si>
  <si>
    <t>实验组A</t>
    <phoneticPr fontId="5" type="noConversion"/>
  </si>
  <si>
    <t>实验组B</t>
    <phoneticPr fontId="5" type="noConversion"/>
  </si>
  <si>
    <t>New user 汇总</t>
  </si>
  <si>
    <t>Old user 汇总</t>
  </si>
  <si>
    <t>13天</t>
    <phoneticPr fontId="5" type="noConversion"/>
  </si>
  <si>
    <t xml:space="preserve">广告收入 </t>
    <phoneticPr fontId="5" type="noConversion"/>
  </si>
  <si>
    <t>event_date</t>
  </si>
  <si>
    <t>-- 广告收入数据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</si>
  <si>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ads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</si>
  <si>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,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</si>
  <si>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platform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</si>
  <si>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max_impression_pv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max_impression_pv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</si>
  <si>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max_revenue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max_revenue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</si>
  <si>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`dataintegration-265403.advertisement.dws_dzp_ad_placement_user_info`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</si>
  <si>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</si>
  <si>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</si>
  <si>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,</t>
    </r>
    <r>
      <rPr>
        <sz val="12"/>
        <color rgb="FF000000"/>
        <rFont val="Menlo"/>
        <family val="2"/>
      </rP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</si>
  <si>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</si>
  <si>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t>-- ,func.getUserprop(user_properties,'device_id').string_value as device_id</t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</si>
  <si>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abcode</t>
    </r>
  </si>
  <si>
    <r>
      <t>`dataintegration-265403.analytics.dwd_dzp_events_function`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,</t>
    </r>
    <r>
      <rPr>
        <sz val="12"/>
        <color rgb="FF188038"/>
        <rFont val="Menlo"/>
        <family val="2"/>
      </rPr>
      <t>'2025-04-20'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false</t>
    </r>
    <r>
      <rPr>
        <sz val="12"/>
        <color rgb="FF3C4043"/>
        <rFont val="Menlo"/>
        <family val="2"/>
      </rPr>
      <t>)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</si>
  <si>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max_revenue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ads_bookings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</si>
  <si>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max_revenue</t>
    </r>
    <r>
      <rPr>
        <sz val="12"/>
        <color rgb="FF3C4043"/>
        <rFont val="Menlo"/>
        <family val="2"/>
      </rPr>
      <t>)/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max_impression_pv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)*</t>
    </r>
    <r>
      <rPr>
        <sz val="12"/>
        <color rgb="FFB06000"/>
        <rFont val="Menlo"/>
        <family val="2"/>
      </rPr>
      <t>1000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eCPM</t>
    </r>
  </si>
  <si>
    <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ads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b.platform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</si>
  <si>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b.event_date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a.event_date</t>
    </r>
  </si>
  <si>
    <t>平均值项:ads_bookings</t>
  </si>
  <si>
    <r>
      <t>b.event_date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a.abcode</t>
    </r>
  </si>
  <si>
    <t>美国</t>
    <phoneticPr fontId="5" type="noConversion"/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</si>
  <si>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'United States'</t>
    </r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</si>
  <si>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'United States'</t>
    </r>
  </si>
  <si>
    <t>--老用户次留存 与meepo日均次日回访率不一致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</si>
  <si>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</si>
  <si>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</si>
  <si>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,</t>
    </r>
  </si>
  <si>
    <r>
      <t>user_pseudo_id</t>
    </r>
    <r>
      <rPr>
        <sz val="12"/>
        <color rgb="FF202124"/>
        <rFont val="Menlo"/>
        <family val="2"/>
      </rPr>
      <t>,</t>
    </r>
  </si>
  <si>
    <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>,</t>
    </r>
  </si>
  <si>
    <r>
      <t>platform</t>
    </r>
    <r>
      <rPr>
        <sz val="12"/>
        <color rgb="FF202124"/>
        <rFont val="Menlo"/>
        <family val="2"/>
      </rPr>
      <t>,</t>
    </r>
  </si>
  <si>
    <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>,</t>
    </r>
  </si>
  <si>
    <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abcode</t>
    </r>
    <r>
      <rPr>
        <sz val="12"/>
        <color rgb="FF202124"/>
        <rFont val="Menlo"/>
        <family val="2"/>
      </rPr>
      <t>,</t>
    </r>
  </si>
  <si>
    <t>-- event_timestamp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</si>
  <si>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`dataintegration-265403.analytics.dwd_dzp_events_function`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,</t>
    </r>
    <r>
      <rPr>
        <sz val="12"/>
        <color rgb="FF188038"/>
        <rFont val="Menlo"/>
        <family val="2"/>
      </rPr>
      <t>'2025-04-20'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false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此处用false 速度会更快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</si>
  <si>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'United States'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</si>
  <si>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</si>
  <si>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,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</si>
  <si>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real_device_id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is_new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</si>
  <si>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`dataintegration-265403.dwd.dwd_dzp_behavior_active_device`</t>
    </r>
  </si>
  <si>
    <t>-- FROM `dataintegration-265403.stat.stat_active_advice_detail_d`</t>
  </si>
  <si>
    <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</si>
  <si>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'United States'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</si>
  <si>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'AirBrush'</t>
    </r>
  </si>
  <si>
    <r>
      <t>,</t>
    </r>
    <r>
      <rPr>
        <sz val="12"/>
        <color rgb="FF000000"/>
        <rFont val="Menlo"/>
        <family val="2"/>
      </rPr>
      <t>rs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</si>
  <si>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-- 取活跃用户中有进入实验的用户</t>
  </si>
  <si>
    <r>
      <t>fa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abcode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</si>
  <si>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fa</t>
    </r>
  </si>
  <si>
    <r>
      <t>join</t>
    </r>
    <r>
      <rPr>
        <sz val="12"/>
        <color rgb="FF202124"/>
        <rFont val="Menlo"/>
        <family val="2"/>
      </rPr>
      <t xml:space="preserve"> </t>
    </r>
  </si>
  <si>
    <r>
      <t>enter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fa.user_pseudo_id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e.event_date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fa.event_date_hk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</si>
  <si>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</si>
  <si>
    <r>
      <t>o.platform</t>
    </r>
    <r>
      <rPr>
        <sz val="12"/>
        <color rgb="FF202124"/>
        <rFont val="Menlo"/>
        <family val="2"/>
      </rPr>
      <t>,</t>
    </r>
  </si>
  <si>
    <r>
      <t>o.abcode</t>
    </r>
    <r>
      <rPr>
        <sz val="12"/>
        <color rgb="FF202124"/>
        <rFont val="Menlo"/>
        <family val="2"/>
      </rPr>
      <t>,</t>
    </r>
  </si>
  <si>
    <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o.is_new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'New user'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'Old user'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is_new</t>
    </r>
    <r>
      <rPr>
        <sz val="12"/>
        <color rgb="FF202124"/>
        <rFont val="Menlo"/>
        <family val="2"/>
      </rPr>
      <t>,</t>
    </r>
  </si>
  <si>
    <r>
      <t>o.event_date_hk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</si>
  <si>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enter_abtest_uv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</si>
  <si>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o.event_date_hk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re0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</si>
  <si>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DATE_DIFF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o.event_date_hk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re1</t>
    </r>
  </si>
  <si>
    <t>-- COUNT(DISTINCT CASE WHEN DATE_DIFF(a.event_date_hk, o.event_date, DAY) = 1 THEN o.device_id END) / COUNT(DISTINCT o.device_id) AS d1_retain_rate,</t>
  </si>
  <si>
    <t>-- COUNT(DISTINCT CASE WHEN DATE_DIFF(a.event_date_hk, o.event_date, DAY) = 1 THEN o.device_id END) / COUNT(DISTINCT CASE WHEN DATE_DIFF(a.event_date_hk, o.event_date, DAY) = 0 THEN o.device_id END) AS d1_retain_rate,</t>
  </si>
  <si>
    <t>-- COUNT(DISTINCT CASE WHEN DATE_DIFF(a.event_date_hk, o.event_date, DAY) = 7 THEN o.device_id END) AS re7,</t>
  </si>
  <si>
    <t>-- COUNT(DISTINCT CASE WHEN DATE_DIFF(a.event_date_hk, o.event_date, DAY) = 7 THEN o.device_id END) / COUNT(DISTINCT o.device_id) AS d7_retain_rate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</si>
  <si>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需要求留存的用户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</si>
  <si>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o.event_date_hk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</si>
  <si>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o.event_date_hk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'2025-04-19'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</si>
  <si>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</si>
  <si>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</si>
  <si>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保存渗透率</t>
    <phoneticPr fontId="5" type="noConversion"/>
  </si>
  <si>
    <t>enter to success uv cr</t>
    <phoneticPr fontId="5" type="noConversion"/>
  </si>
  <si>
    <t>new 次留</t>
    <phoneticPr fontId="5" type="noConversion"/>
  </si>
  <si>
    <t>老次留</t>
    <phoneticPr fontId="5" type="noConversion"/>
  </si>
  <si>
    <t>active</t>
    <phoneticPr fontId="5" type="noConversion"/>
  </si>
  <si>
    <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a.abcode</t>
    </r>
  </si>
  <si>
    <t>实验组 A</t>
    <phoneticPr fontId="5" type="noConversion"/>
  </si>
  <si>
    <t>实验组 B</t>
    <phoneticPr fontId="5" type="noConversion"/>
  </si>
  <si>
    <t>计数项:source_0</t>
  </si>
  <si>
    <t>sub enter to success uv cr</t>
    <phoneticPr fontId="5" type="noConversion"/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</si>
  <si>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</si>
  <si>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b.user_pseudo_id</t>
    </r>
  </si>
  <si>
    <t>限制美国</t>
    <phoneticPr fontId="5" type="noConversion"/>
  </si>
  <si>
    <t xml:space="preserve">美国 </t>
    <phoneticPr fontId="5" type="noConversion"/>
  </si>
  <si>
    <t>ios 4.4~ 4.13
Android 4.7~ 4.13</t>
    <phoneticPr fontId="5" type="noConversion"/>
  </si>
  <si>
    <t>new</t>
    <phoneticPr fontId="5" type="noConversion"/>
  </si>
  <si>
    <t>old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</si>
</sst>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6" formatCode="0.0%"/>
    <numFmt numFmtId="177" formatCode="0.000%"/>
    <numFmt numFmtId="178" formatCode="_(* #,##0_);_(* \(#,##0\);_(* &quot;-&quot;??_);_(@_)"/>
  </numFmts>
  <fonts count="1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rgb="FF1F2329"/>
      <name val="等线"/>
      <family val="4"/>
      <charset val="134"/>
      <scheme val="minor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80672"/>
      <name val="Menlo"/>
      <family val="2"/>
    </font>
    <font>
      <sz val="12"/>
      <color rgb="FFB06000"/>
      <name val="Menlo"/>
      <family val="2"/>
    </font>
    <font>
      <sz val="10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0F4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EE0E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EE0E3"/>
      </right>
      <top/>
      <bottom style="thin">
        <color indexed="6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0" fillId="0" borderId="0" xfId="0" applyNumberFormat="1">
      <alignment vertical="center"/>
    </xf>
    <xf numFmtId="0" fontId="3" fillId="2" borderId="2" xfId="0" applyNumberFormat="1" applyFont="1" applyFill="1" applyBorder="1">
      <alignment vertical="center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>
      <alignment vertical="center"/>
    </xf>
    <xf numFmtId="9" fontId="0" fillId="0" borderId="0" xfId="1" applyFont="1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3" fillId="2" borderId="0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2" borderId="6" xfId="0" applyFont="1" applyFill="1" applyBorder="1">
      <alignment vertical="center"/>
    </xf>
    <xf numFmtId="10" fontId="0" fillId="0" borderId="6" xfId="1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0" xfId="0" applyBorder="1">
      <alignment vertical="center"/>
    </xf>
    <xf numFmtId="10" fontId="0" fillId="0" borderId="0" xfId="1" applyNumberFormat="1" applyFont="1" applyBorder="1">
      <alignment vertical="center"/>
    </xf>
    <xf numFmtId="0" fontId="0" fillId="0" borderId="9" xfId="0" applyBorder="1">
      <alignment vertical="center"/>
    </xf>
    <xf numFmtId="0" fontId="6" fillId="3" borderId="11" xfId="0" applyFont="1" applyFill="1" applyBorder="1">
      <alignment vertical="center"/>
    </xf>
    <xf numFmtId="0" fontId="0" fillId="0" borderId="12" xfId="0" applyBorder="1">
      <alignment vertical="center"/>
    </xf>
    <xf numFmtId="10" fontId="0" fillId="0" borderId="12" xfId="1" applyNumberFormat="1" applyFont="1" applyBorder="1">
      <alignment vertical="center"/>
    </xf>
    <xf numFmtId="0" fontId="0" fillId="0" borderId="13" xfId="0" applyBorder="1">
      <alignment vertical="center"/>
    </xf>
    <xf numFmtId="9" fontId="0" fillId="0" borderId="0" xfId="0" applyNumberForma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NumberFormat="1" applyFill="1">
      <alignment vertical="center"/>
    </xf>
    <xf numFmtId="0" fontId="0" fillId="4" borderId="0" xfId="0" applyFill="1">
      <alignment vertical="center"/>
    </xf>
    <xf numFmtId="10" fontId="0" fillId="4" borderId="0" xfId="1" applyNumberFormat="1" applyFont="1" applyFill="1">
      <alignment vertical="center"/>
    </xf>
    <xf numFmtId="177" fontId="0" fillId="0" borderId="0" xfId="0" applyNumberForma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4" fillId="0" borderId="0" xfId="0" applyNumberFormat="1" applyFont="1">
      <alignment vertical="center"/>
    </xf>
    <xf numFmtId="0" fontId="14" fillId="0" borderId="0" xfId="0" applyFont="1">
      <alignment vertical="center"/>
    </xf>
    <xf numFmtId="43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3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178" fontId="0" fillId="0" borderId="0" xfId="2" applyNumberFormat="1" applyFont="1" applyAlignment="1">
      <alignment vertical="center" wrapText="1"/>
    </xf>
    <xf numFmtId="178" fontId="0" fillId="0" borderId="0" xfId="2" applyNumberFormat="1" applyFo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left" vertical="center"/>
    </xf>
    <xf numFmtId="178" fontId="0" fillId="0" borderId="0" xfId="2" applyNumberFormat="1" applyFont="1" applyBorder="1">
      <alignment vertical="center"/>
    </xf>
    <xf numFmtId="43" fontId="0" fillId="0" borderId="0" xfId="0" applyNumberFormat="1" applyBorder="1">
      <alignment vertical="center"/>
    </xf>
    <xf numFmtId="10" fontId="0" fillId="0" borderId="9" xfId="1" applyNumberFormat="1" applyFont="1" applyBorder="1">
      <alignment vertical="center"/>
    </xf>
    <xf numFmtId="0" fontId="0" fillId="0" borderId="15" xfId="0" applyBorder="1" applyAlignment="1">
      <alignment horizontal="left" vertical="center"/>
    </xf>
    <xf numFmtId="178" fontId="0" fillId="0" borderId="12" xfId="2" applyNumberFormat="1" applyFont="1" applyBorder="1">
      <alignment vertical="center"/>
    </xf>
    <xf numFmtId="43" fontId="0" fillId="0" borderId="12" xfId="0" applyNumberFormat="1" applyBorder="1">
      <alignment vertical="center"/>
    </xf>
    <xf numFmtId="178" fontId="0" fillId="0" borderId="16" xfId="2" applyNumberFormat="1" applyFont="1" applyBorder="1">
      <alignment vertical="center"/>
    </xf>
    <xf numFmtId="178" fontId="0" fillId="0" borderId="17" xfId="2" applyNumberFormat="1" applyFont="1" applyBorder="1">
      <alignment vertical="center"/>
    </xf>
    <xf numFmtId="43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178" fontId="0" fillId="0" borderId="14" xfId="2" applyNumberFormat="1" applyFont="1" applyBorder="1">
      <alignment vertical="center"/>
    </xf>
    <xf numFmtId="178" fontId="0" fillId="0" borderId="9" xfId="2" applyNumberFormat="1" applyFont="1" applyBorder="1">
      <alignment vertical="center"/>
    </xf>
    <xf numFmtId="178" fontId="0" fillId="0" borderId="15" xfId="2" applyNumberFormat="1" applyFont="1" applyBorder="1">
      <alignment vertical="center"/>
    </xf>
    <xf numFmtId="178" fontId="0" fillId="0" borderId="13" xfId="2" applyNumberFormat="1" applyFont="1" applyBorder="1">
      <alignment vertical="center"/>
    </xf>
    <xf numFmtId="0" fontId="11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0" fillId="0" borderId="4" xfId="0" applyBorder="1" applyAlignment="1">
      <alignment vertical="center" wrapText="1"/>
    </xf>
    <xf numFmtId="43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百分比" xfId="1" builtinId="5"/>
    <cellStyle name="常规" xfId="0" builtinId="0"/>
    <cellStyle name="千位分隔" xfId="2" builtinId="3"/>
  </cellStyles>
  <dxfs count="15">
    <dxf>
      <alignment wrapText="1" indent="0"/>
    </dxf>
    <dxf>
      <alignment wrapText="1" indent="0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178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汇总.xlsx]daily 收入 活跃与价值!数据透视表3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收入 活跃与价值'!$K$3:$K$4</c:f>
              <c:strCache>
                <c:ptCount val="1"/>
                <c:pt idx="0">
                  <c:v>11072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活跃与价值'!$J$5:$J$23</c:f>
              <c:strCache>
                <c:ptCount val="18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  <c:pt idx="17">
                  <c:v>2025/4/20</c:v>
                </c:pt>
              </c:strCache>
            </c:strRef>
          </c:cat>
          <c:val>
            <c:numRef>
              <c:f>'daily 收入 活跃与价值'!$K$5:$K$23</c:f>
              <c:numCache>
                <c:formatCode>_(* #,##0.00_);_(* \(#,##0.00\);_(* "-"??_);_(@_)</c:formatCode>
                <c:ptCount val="18"/>
                <c:pt idx="0">
                  <c:v>487</c:v>
                </c:pt>
                <c:pt idx="1">
                  <c:v>513</c:v>
                </c:pt>
                <c:pt idx="2">
                  <c:v>560</c:v>
                </c:pt>
                <c:pt idx="3">
                  <c:v>755</c:v>
                </c:pt>
                <c:pt idx="4">
                  <c:v>726</c:v>
                </c:pt>
                <c:pt idx="5">
                  <c:v>537</c:v>
                </c:pt>
                <c:pt idx="6">
                  <c:v>532</c:v>
                </c:pt>
                <c:pt idx="7">
                  <c:v>572</c:v>
                </c:pt>
                <c:pt idx="8">
                  <c:v>586</c:v>
                </c:pt>
                <c:pt idx="9">
                  <c:v>600</c:v>
                </c:pt>
                <c:pt idx="10">
                  <c:v>870</c:v>
                </c:pt>
                <c:pt idx="11">
                  <c:v>894</c:v>
                </c:pt>
                <c:pt idx="12">
                  <c:v>672</c:v>
                </c:pt>
                <c:pt idx="13">
                  <c:v>670</c:v>
                </c:pt>
                <c:pt idx="14">
                  <c:v>607</c:v>
                </c:pt>
                <c:pt idx="15">
                  <c:v>699</c:v>
                </c:pt>
                <c:pt idx="16">
                  <c:v>930</c:v>
                </c:pt>
                <c:pt idx="17">
                  <c:v>1163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E-3B43-9C18-6B613892533B}"/>
            </c:ext>
          </c:extLst>
        </c:ser>
        <c:ser>
          <c:idx val="1"/>
          <c:order val="1"/>
          <c:tx>
            <c:strRef>
              <c:f>'daily 收入 活跃与价值'!$L$3:$L$4</c:f>
              <c:strCache>
                <c:ptCount val="1"/>
                <c:pt idx="0">
                  <c:v>11073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活跃与价值'!$J$5:$J$23</c:f>
              <c:strCache>
                <c:ptCount val="18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  <c:pt idx="17">
                  <c:v>2025/4/20</c:v>
                </c:pt>
              </c:strCache>
            </c:strRef>
          </c:cat>
          <c:val>
            <c:numRef>
              <c:f>'daily 收入 活跃与价值'!$L$5:$L$23</c:f>
              <c:numCache>
                <c:formatCode>_(* #,##0.00_);_(* \(#,##0.00\);_(* "-"??_);_(@_)</c:formatCode>
                <c:ptCount val="18"/>
                <c:pt idx="0">
                  <c:v>376</c:v>
                </c:pt>
                <c:pt idx="1">
                  <c:v>402</c:v>
                </c:pt>
                <c:pt idx="2">
                  <c:v>463</c:v>
                </c:pt>
                <c:pt idx="3">
                  <c:v>590</c:v>
                </c:pt>
                <c:pt idx="4">
                  <c:v>613</c:v>
                </c:pt>
                <c:pt idx="5">
                  <c:v>509</c:v>
                </c:pt>
                <c:pt idx="6">
                  <c:v>474</c:v>
                </c:pt>
                <c:pt idx="7">
                  <c:v>455</c:v>
                </c:pt>
                <c:pt idx="8">
                  <c:v>473</c:v>
                </c:pt>
                <c:pt idx="9">
                  <c:v>498</c:v>
                </c:pt>
                <c:pt idx="10">
                  <c:v>712</c:v>
                </c:pt>
                <c:pt idx="11">
                  <c:v>658</c:v>
                </c:pt>
                <c:pt idx="12">
                  <c:v>511</c:v>
                </c:pt>
                <c:pt idx="13">
                  <c:v>493</c:v>
                </c:pt>
                <c:pt idx="14">
                  <c:v>513</c:v>
                </c:pt>
                <c:pt idx="15">
                  <c:v>547</c:v>
                </c:pt>
                <c:pt idx="16">
                  <c:v>777</c:v>
                </c:pt>
                <c:pt idx="17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0E-3B43-9C18-6B613892533B}"/>
            </c:ext>
          </c:extLst>
        </c:ser>
        <c:ser>
          <c:idx val="2"/>
          <c:order val="2"/>
          <c:tx>
            <c:strRef>
              <c:f>'daily 收入 活跃与价值'!$M$3:$M$4</c:f>
              <c:strCache>
                <c:ptCount val="1"/>
                <c:pt idx="0">
                  <c:v>11074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活跃与价值'!$J$5:$J$23</c:f>
              <c:strCache>
                <c:ptCount val="18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  <c:pt idx="17">
                  <c:v>2025/4/20</c:v>
                </c:pt>
              </c:strCache>
            </c:strRef>
          </c:cat>
          <c:val>
            <c:numRef>
              <c:f>'daily 收入 活跃与价值'!$M$5:$M$23</c:f>
              <c:numCache>
                <c:formatCode>_(* #,##0.00_);_(* \(#,##0.00\);_(* "-"??_);_(@_)</c:formatCode>
                <c:ptCount val="18"/>
                <c:pt idx="0">
                  <c:v>370</c:v>
                </c:pt>
                <c:pt idx="1">
                  <c:v>414</c:v>
                </c:pt>
                <c:pt idx="2">
                  <c:v>456</c:v>
                </c:pt>
                <c:pt idx="3">
                  <c:v>637</c:v>
                </c:pt>
                <c:pt idx="4">
                  <c:v>640</c:v>
                </c:pt>
                <c:pt idx="5">
                  <c:v>540</c:v>
                </c:pt>
                <c:pt idx="6">
                  <c:v>513</c:v>
                </c:pt>
                <c:pt idx="7">
                  <c:v>491</c:v>
                </c:pt>
                <c:pt idx="8">
                  <c:v>528</c:v>
                </c:pt>
                <c:pt idx="9">
                  <c:v>480</c:v>
                </c:pt>
                <c:pt idx="10">
                  <c:v>754</c:v>
                </c:pt>
                <c:pt idx="11">
                  <c:v>698</c:v>
                </c:pt>
                <c:pt idx="12">
                  <c:v>568</c:v>
                </c:pt>
                <c:pt idx="13">
                  <c:v>499</c:v>
                </c:pt>
                <c:pt idx="14">
                  <c:v>529</c:v>
                </c:pt>
                <c:pt idx="15">
                  <c:v>640</c:v>
                </c:pt>
                <c:pt idx="16">
                  <c:v>733</c:v>
                </c:pt>
                <c:pt idx="17">
                  <c:v>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0E-3B43-9C18-6B6138925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731360"/>
        <c:axId val="1774695696"/>
      </c:lineChart>
      <c:catAx>
        <c:axId val="177473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695696"/>
        <c:crosses val="autoZero"/>
        <c:auto val="1"/>
        <c:lblAlgn val="ctr"/>
        <c:lblOffset val="100"/>
        <c:noMultiLvlLbl val="0"/>
      </c:catAx>
      <c:valAx>
        <c:axId val="17746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473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汇总.xlsx]daily 收入 活跃与价值!数据透视表8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收入 活跃与价值'!$AL$3:$AL$5</c:f>
              <c:strCache>
                <c:ptCount val="1"/>
                <c:pt idx="0">
                  <c:v>New user - 11072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活跃与价值'!$AL$6:$AL$23</c:f>
              <c:numCache>
                <c:formatCode>General</c:formatCode>
                <c:ptCount val="17"/>
                <c:pt idx="0">
                  <c:v>2058</c:v>
                </c:pt>
                <c:pt idx="1">
                  <c:v>2180</c:v>
                </c:pt>
                <c:pt idx="2">
                  <c:v>2360</c:v>
                </c:pt>
                <c:pt idx="3">
                  <c:v>3067</c:v>
                </c:pt>
                <c:pt idx="4">
                  <c:v>2945</c:v>
                </c:pt>
                <c:pt idx="5">
                  <c:v>2187</c:v>
                </c:pt>
                <c:pt idx="6">
                  <c:v>2151</c:v>
                </c:pt>
                <c:pt idx="7">
                  <c:v>2183</c:v>
                </c:pt>
                <c:pt idx="8">
                  <c:v>2243</c:v>
                </c:pt>
                <c:pt idx="9">
                  <c:v>2292</c:v>
                </c:pt>
                <c:pt idx="10">
                  <c:v>3085</c:v>
                </c:pt>
                <c:pt idx="11">
                  <c:v>3165</c:v>
                </c:pt>
                <c:pt idx="12">
                  <c:v>2436</c:v>
                </c:pt>
                <c:pt idx="13">
                  <c:v>2354</c:v>
                </c:pt>
                <c:pt idx="14">
                  <c:v>2269</c:v>
                </c:pt>
                <c:pt idx="15">
                  <c:v>2343</c:v>
                </c:pt>
                <c:pt idx="16">
                  <c:v>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7-3542-8D17-BDCB8E0C6B35}"/>
            </c:ext>
          </c:extLst>
        </c:ser>
        <c:ser>
          <c:idx val="1"/>
          <c:order val="1"/>
          <c:tx>
            <c:strRef>
              <c:f>'daily 收入 活跃与价值'!$AM$3:$AM$5</c:f>
              <c:strCache>
                <c:ptCount val="1"/>
                <c:pt idx="0">
                  <c:v>New user - 11073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活跃与价值'!$AM$6:$AM$23</c:f>
              <c:numCache>
                <c:formatCode>General</c:formatCode>
                <c:ptCount val="17"/>
                <c:pt idx="0">
                  <c:v>1990</c:v>
                </c:pt>
                <c:pt idx="1">
                  <c:v>2191</c:v>
                </c:pt>
                <c:pt idx="2">
                  <c:v>2385</c:v>
                </c:pt>
                <c:pt idx="3">
                  <c:v>3094</c:v>
                </c:pt>
                <c:pt idx="4">
                  <c:v>2978</c:v>
                </c:pt>
                <c:pt idx="5">
                  <c:v>2421</c:v>
                </c:pt>
                <c:pt idx="6">
                  <c:v>2200</c:v>
                </c:pt>
                <c:pt idx="7">
                  <c:v>2163</c:v>
                </c:pt>
                <c:pt idx="8">
                  <c:v>2175</c:v>
                </c:pt>
                <c:pt idx="9">
                  <c:v>2416</c:v>
                </c:pt>
                <c:pt idx="10">
                  <c:v>3119</c:v>
                </c:pt>
                <c:pt idx="11">
                  <c:v>3069</c:v>
                </c:pt>
                <c:pt idx="12">
                  <c:v>2426</c:v>
                </c:pt>
                <c:pt idx="13">
                  <c:v>2332</c:v>
                </c:pt>
                <c:pt idx="14">
                  <c:v>2294</c:v>
                </c:pt>
                <c:pt idx="15">
                  <c:v>2536</c:v>
                </c:pt>
                <c:pt idx="16">
                  <c:v>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7-3542-8D17-BDCB8E0C6B35}"/>
            </c:ext>
          </c:extLst>
        </c:ser>
        <c:ser>
          <c:idx val="2"/>
          <c:order val="2"/>
          <c:tx>
            <c:strRef>
              <c:f>'daily 收入 活跃与价值'!$AN$3:$AN$5</c:f>
              <c:strCache>
                <c:ptCount val="1"/>
                <c:pt idx="0">
                  <c:v>New user - 11074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活跃与价值'!$AN$6:$AN$23</c:f>
              <c:numCache>
                <c:formatCode>General</c:formatCode>
                <c:ptCount val="17"/>
                <c:pt idx="0">
                  <c:v>2081</c:v>
                </c:pt>
                <c:pt idx="1">
                  <c:v>2138</c:v>
                </c:pt>
                <c:pt idx="2">
                  <c:v>2342</c:v>
                </c:pt>
                <c:pt idx="3">
                  <c:v>3014</c:v>
                </c:pt>
                <c:pt idx="4">
                  <c:v>2966</c:v>
                </c:pt>
                <c:pt idx="5">
                  <c:v>2386</c:v>
                </c:pt>
                <c:pt idx="6">
                  <c:v>2188</c:v>
                </c:pt>
                <c:pt idx="7">
                  <c:v>2194</c:v>
                </c:pt>
                <c:pt idx="8">
                  <c:v>2247</c:v>
                </c:pt>
                <c:pt idx="9">
                  <c:v>2342</c:v>
                </c:pt>
                <c:pt idx="10">
                  <c:v>3101</c:v>
                </c:pt>
                <c:pt idx="11">
                  <c:v>2986</c:v>
                </c:pt>
                <c:pt idx="12">
                  <c:v>2377</c:v>
                </c:pt>
                <c:pt idx="13">
                  <c:v>2301</c:v>
                </c:pt>
                <c:pt idx="14">
                  <c:v>2282</c:v>
                </c:pt>
                <c:pt idx="15">
                  <c:v>2428</c:v>
                </c:pt>
                <c:pt idx="16">
                  <c:v>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F7-3542-8D17-BDCB8E0C6B35}"/>
            </c:ext>
          </c:extLst>
        </c:ser>
        <c:ser>
          <c:idx val="3"/>
          <c:order val="3"/>
          <c:tx>
            <c:strRef>
              <c:f>'daily 收入 活跃与价值'!$AO$3:$AO$5</c:f>
              <c:strCache>
                <c:ptCount val="1"/>
                <c:pt idx="0">
                  <c:v>New user - 11075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活跃与价值'!$AO$6:$AO$23</c:f>
              <c:numCache>
                <c:formatCode>General</c:formatCode>
                <c:ptCount val="17"/>
                <c:pt idx="0">
                  <c:v>134</c:v>
                </c:pt>
                <c:pt idx="1">
                  <c:v>867</c:v>
                </c:pt>
                <c:pt idx="2">
                  <c:v>1226</c:v>
                </c:pt>
                <c:pt idx="3">
                  <c:v>1600</c:v>
                </c:pt>
                <c:pt idx="4">
                  <c:v>2598</c:v>
                </c:pt>
                <c:pt idx="5">
                  <c:v>3158</c:v>
                </c:pt>
                <c:pt idx="6">
                  <c:v>3005</c:v>
                </c:pt>
                <c:pt idx="7">
                  <c:v>3227</c:v>
                </c:pt>
                <c:pt idx="8">
                  <c:v>3187</c:v>
                </c:pt>
                <c:pt idx="9">
                  <c:v>2869</c:v>
                </c:pt>
                <c:pt idx="10">
                  <c:v>3472</c:v>
                </c:pt>
                <c:pt idx="11">
                  <c:v>3471</c:v>
                </c:pt>
                <c:pt idx="12">
                  <c:v>2950</c:v>
                </c:pt>
                <c:pt idx="13">
                  <c:v>2746</c:v>
                </c:pt>
                <c:pt idx="14">
                  <c:v>3026</c:v>
                </c:pt>
                <c:pt idx="15">
                  <c:v>3108</c:v>
                </c:pt>
                <c:pt idx="16">
                  <c:v>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F7-3542-8D17-BDCB8E0C6B35}"/>
            </c:ext>
          </c:extLst>
        </c:ser>
        <c:ser>
          <c:idx val="4"/>
          <c:order val="4"/>
          <c:tx>
            <c:strRef>
              <c:f>'daily 收入 活跃与价值'!$AP$3:$AP$5</c:f>
              <c:strCache>
                <c:ptCount val="1"/>
                <c:pt idx="0">
                  <c:v>New user - 11076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活跃与价值'!$AP$6:$AP$23</c:f>
              <c:numCache>
                <c:formatCode>General</c:formatCode>
                <c:ptCount val="17"/>
                <c:pt idx="0">
                  <c:v>139</c:v>
                </c:pt>
                <c:pt idx="1">
                  <c:v>908</c:v>
                </c:pt>
                <c:pt idx="2">
                  <c:v>1173</c:v>
                </c:pt>
                <c:pt idx="3">
                  <c:v>1596</c:v>
                </c:pt>
                <c:pt idx="4">
                  <c:v>2717</c:v>
                </c:pt>
                <c:pt idx="5">
                  <c:v>3201</c:v>
                </c:pt>
                <c:pt idx="6">
                  <c:v>2897</c:v>
                </c:pt>
                <c:pt idx="7">
                  <c:v>3134</c:v>
                </c:pt>
                <c:pt idx="8">
                  <c:v>3009</c:v>
                </c:pt>
                <c:pt idx="9">
                  <c:v>2888</c:v>
                </c:pt>
                <c:pt idx="10">
                  <c:v>3301</c:v>
                </c:pt>
                <c:pt idx="11">
                  <c:v>3591</c:v>
                </c:pt>
                <c:pt idx="12">
                  <c:v>2953</c:v>
                </c:pt>
                <c:pt idx="13">
                  <c:v>2826</c:v>
                </c:pt>
                <c:pt idx="14">
                  <c:v>2981</c:v>
                </c:pt>
                <c:pt idx="15">
                  <c:v>2994</c:v>
                </c:pt>
                <c:pt idx="16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F7-3542-8D17-BDCB8E0C6B35}"/>
            </c:ext>
          </c:extLst>
        </c:ser>
        <c:ser>
          <c:idx val="5"/>
          <c:order val="5"/>
          <c:tx>
            <c:strRef>
              <c:f>'daily 收入 活跃与价值'!$AQ$3:$AQ$5</c:f>
              <c:strCache>
                <c:ptCount val="1"/>
                <c:pt idx="0">
                  <c:v>New user - 11077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活跃与价值'!$AQ$6:$AQ$23</c:f>
              <c:numCache>
                <c:formatCode>General</c:formatCode>
                <c:ptCount val="17"/>
                <c:pt idx="0">
                  <c:v>154</c:v>
                </c:pt>
                <c:pt idx="1">
                  <c:v>845</c:v>
                </c:pt>
                <c:pt idx="2">
                  <c:v>1192</c:v>
                </c:pt>
                <c:pt idx="3">
                  <c:v>1632</c:v>
                </c:pt>
                <c:pt idx="4">
                  <c:v>2626</c:v>
                </c:pt>
                <c:pt idx="5">
                  <c:v>3147</c:v>
                </c:pt>
                <c:pt idx="6">
                  <c:v>2854</c:v>
                </c:pt>
                <c:pt idx="7">
                  <c:v>3259</c:v>
                </c:pt>
                <c:pt idx="8">
                  <c:v>3023</c:v>
                </c:pt>
                <c:pt idx="9">
                  <c:v>2820</c:v>
                </c:pt>
                <c:pt idx="10">
                  <c:v>3488</c:v>
                </c:pt>
                <c:pt idx="11">
                  <c:v>3506</c:v>
                </c:pt>
                <c:pt idx="12">
                  <c:v>2926</c:v>
                </c:pt>
                <c:pt idx="13">
                  <c:v>2727</c:v>
                </c:pt>
                <c:pt idx="14">
                  <c:v>3014</c:v>
                </c:pt>
                <c:pt idx="15">
                  <c:v>3046</c:v>
                </c:pt>
                <c:pt idx="16">
                  <c:v>3564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F7-3542-8D17-BDCB8E0C6B35}"/>
            </c:ext>
          </c:extLst>
        </c:ser>
        <c:ser>
          <c:idx val="6"/>
          <c:order val="6"/>
          <c:tx>
            <c:strRef>
              <c:f>'daily 收入 活跃与价值'!$AS$3:$AS$5</c:f>
              <c:strCache>
                <c:ptCount val="1"/>
                <c:pt idx="0">
                  <c:v>Old user - 11072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活跃与价值'!$AS$6:$AS$23</c:f>
              <c:numCache>
                <c:formatCode>General</c:formatCode>
                <c:ptCount val="17"/>
                <c:pt idx="0">
                  <c:v>1593</c:v>
                </c:pt>
                <c:pt idx="1">
                  <c:v>2569</c:v>
                </c:pt>
                <c:pt idx="2">
                  <c:v>3229</c:v>
                </c:pt>
                <c:pt idx="3">
                  <c:v>4555</c:v>
                </c:pt>
                <c:pt idx="4">
                  <c:v>5147</c:v>
                </c:pt>
                <c:pt idx="5">
                  <c:v>4759</c:v>
                </c:pt>
                <c:pt idx="6">
                  <c:v>4605</c:v>
                </c:pt>
                <c:pt idx="7">
                  <c:v>5507</c:v>
                </c:pt>
                <c:pt idx="8">
                  <c:v>6419</c:v>
                </c:pt>
                <c:pt idx="9">
                  <c:v>7400</c:v>
                </c:pt>
                <c:pt idx="10">
                  <c:v>9366</c:v>
                </c:pt>
                <c:pt idx="11">
                  <c:v>9452</c:v>
                </c:pt>
                <c:pt idx="12">
                  <c:v>8073</c:v>
                </c:pt>
                <c:pt idx="13">
                  <c:v>7944</c:v>
                </c:pt>
                <c:pt idx="14">
                  <c:v>8244</c:v>
                </c:pt>
                <c:pt idx="15">
                  <c:v>8779</c:v>
                </c:pt>
                <c:pt idx="16">
                  <c:v>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F7-3542-8D17-BDCB8E0C6B35}"/>
            </c:ext>
          </c:extLst>
        </c:ser>
        <c:ser>
          <c:idx val="7"/>
          <c:order val="7"/>
          <c:tx>
            <c:strRef>
              <c:f>'daily 收入 活跃与价值'!$AT$3:$AT$5</c:f>
              <c:strCache>
                <c:ptCount val="1"/>
                <c:pt idx="0">
                  <c:v>Old user - 11073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活跃与价值'!$AT$6:$AT$23</c:f>
              <c:numCache>
                <c:formatCode>General</c:formatCode>
                <c:ptCount val="17"/>
                <c:pt idx="0">
                  <c:v>1596</c:v>
                </c:pt>
                <c:pt idx="1">
                  <c:v>2564</c:v>
                </c:pt>
                <c:pt idx="2">
                  <c:v>3432</c:v>
                </c:pt>
                <c:pt idx="3">
                  <c:v>4715</c:v>
                </c:pt>
                <c:pt idx="4">
                  <c:v>5442</c:v>
                </c:pt>
                <c:pt idx="5">
                  <c:v>5070</c:v>
                </c:pt>
                <c:pt idx="6">
                  <c:v>5160</c:v>
                </c:pt>
                <c:pt idx="7">
                  <c:v>5883</c:v>
                </c:pt>
                <c:pt idx="8">
                  <c:v>6821</c:v>
                </c:pt>
                <c:pt idx="9">
                  <c:v>7838</c:v>
                </c:pt>
                <c:pt idx="10">
                  <c:v>9954</c:v>
                </c:pt>
                <c:pt idx="11">
                  <c:v>10082</c:v>
                </c:pt>
                <c:pt idx="12">
                  <c:v>8863</c:v>
                </c:pt>
                <c:pt idx="13">
                  <c:v>8530</c:v>
                </c:pt>
                <c:pt idx="14">
                  <c:v>8618</c:v>
                </c:pt>
                <c:pt idx="15">
                  <c:v>9464</c:v>
                </c:pt>
                <c:pt idx="16">
                  <c:v>10783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F7-3542-8D17-BDCB8E0C6B35}"/>
            </c:ext>
          </c:extLst>
        </c:ser>
        <c:ser>
          <c:idx val="8"/>
          <c:order val="8"/>
          <c:tx>
            <c:strRef>
              <c:f>'daily 收入 活跃与价值'!$AU$3:$AU$5</c:f>
              <c:strCache>
                <c:ptCount val="1"/>
                <c:pt idx="0">
                  <c:v>Old user - 11074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活跃与价值'!$AU$6:$AU$23</c:f>
              <c:numCache>
                <c:formatCode>General</c:formatCode>
                <c:ptCount val="17"/>
                <c:pt idx="0">
                  <c:v>1597</c:v>
                </c:pt>
                <c:pt idx="1">
                  <c:v>2590</c:v>
                </c:pt>
                <c:pt idx="2">
                  <c:v>3180</c:v>
                </c:pt>
                <c:pt idx="3">
                  <c:v>4652</c:v>
                </c:pt>
                <c:pt idx="4">
                  <c:v>5296</c:v>
                </c:pt>
                <c:pt idx="5">
                  <c:v>4968</c:v>
                </c:pt>
                <c:pt idx="6">
                  <c:v>4949</c:v>
                </c:pt>
                <c:pt idx="7">
                  <c:v>5680</c:v>
                </c:pt>
                <c:pt idx="8">
                  <c:v>6643</c:v>
                </c:pt>
                <c:pt idx="9">
                  <c:v>7500</c:v>
                </c:pt>
                <c:pt idx="10">
                  <c:v>10008</c:v>
                </c:pt>
                <c:pt idx="11">
                  <c:v>10038</c:v>
                </c:pt>
                <c:pt idx="12">
                  <c:v>8465</c:v>
                </c:pt>
                <c:pt idx="13">
                  <c:v>8355</c:v>
                </c:pt>
                <c:pt idx="14">
                  <c:v>8469</c:v>
                </c:pt>
                <c:pt idx="15">
                  <c:v>9227</c:v>
                </c:pt>
                <c:pt idx="16">
                  <c:v>10283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F7-3542-8D17-BDCB8E0C6B35}"/>
            </c:ext>
          </c:extLst>
        </c:ser>
        <c:ser>
          <c:idx val="9"/>
          <c:order val="9"/>
          <c:tx>
            <c:strRef>
              <c:f>'daily 收入 活跃与价值'!$AV$3:$AV$5</c:f>
              <c:strCache>
                <c:ptCount val="1"/>
                <c:pt idx="0">
                  <c:v>Old user - 11075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活跃与价值'!$AV$6:$AV$23</c:f>
              <c:numCache>
                <c:formatCode>General</c:formatCode>
                <c:ptCount val="17"/>
                <c:pt idx="0">
                  <c:v>4</c:v>
                </c:pt>
                <c:pt idx="1">
                  <c:v>114</c:v>
                </c:pt>
                <c:pt idx="2">
                  <c:v>334</c:v>
                </c:pt>
                <c:pt idx="3">
                  <c:v>536</c:v>
                </c:pt>
                <c:pt idx="4">
                  <c:v>906</c:v>
                </c:pt>
                <c:pt idx="5">
                  <c:v>1371</c:v>
                </c:pt>
                <c:pt idx="6">
                  <c:v>1679</c:v>
                </c:pt>
                <c:pt idx="7">
                  <c:v>2016</c:v>
                </c:pt>
                <c:pt idx="8">
                  <c:v>2097</c:v>
                </c:pt>
                <c:pt idx="9">
                  <c:v>2207</c:v>
                </c:pt>
                <c:pt idx="10">
                  <c:v>2622</c:v>
                </c:pt>
                <c:pt idx="11">
                  <c:v>2753</c:v>
                </c:pt>
                <c:pt idx="12">
                  <c:v>2641</c:v>
                </c:pt>
                <c:pt idx="13">
                  <c:v>2698</c:v>
                </c:pt>
                <c:pt idx="14">
                  <c:v>2835</c:v>
                </c:pt>
                <c:pt idx="15">
                  <c:v>2938</c:v>
                </c:pt>
                <c:pt idx="16">
                  <c:v>3287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F7-3542-8D17-BDCB8E0C6B35}"/>
            </c:ext>
          </c:extLst>
        </c:ser>
        <c:ser>
          <c:idx val="10"/>
          <c:order val="10"/>
          <c:tx>
            <c:strRef>
              <c:f>'daily 收入 活跃与价值'!$AW$3:$AW$5</c:f>
              <c:strCache>
                <c:ptCount val="1"/>
                <c:pt idx="0">
                  <c:v>Old user - 11076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活跃与价值'!$AW$6:$AW$23</c:f>
              <c:numCache>
                <c:formatCode>General</c:formatCode>
                <c:ptCount val="17"/>
                <c:pt idx="0">
                  <c:v>12</c:v>
                </c:pt>
                <c:pt idx="1">
                  <c:v>130</c:v>
                </c:pt>
                <c:pt idx="2">
                  <c:v>430</c:v>
                </c:pt>
                <c:pt idx="3">
                  <c:v>669</c:v>
                </c:pt>
                <c:pt idx="4">
                  <c:v>1020</c:v>
                </c:pt>
                <c:pt idx="5">
                  <c:v>1527</c:v>
                </c:pt>
                <c:pt idx="6">
                  <c:v>1946</c:v>
                </c:pt>
                <c:pt idx="7">
                  <c:v>2189</c:v>
                </c:pt>
                <c:pt idx="8">
                  <c:v>2348</c:v>
                </c:pt>
                <c:pt idx="9">
                  <c:v>2537</c:v>
                </c:pt>
                <c:pt idx="10">
                  <c:v>2933</c:v>
                </c:pt>
                <c:pt idx="11">
                  <c:v>3103</c:v>
                </c:pt>
                <c:pt idx="12">
                  <c:v>2975</c:v>
                </c:pt>
                <c:pt idx="13">
                  <c:v>3082</c:v>
                </c:pt>
                <c:pt idx="14">
                  <c:v>3250</c:v>
                </c:pt>
                <c:pt idx="15">
                  <c:v>3383</c:v>
                </c:pt>
                <c:pt idx="16">
                  <c:v>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F7-3542-8D17-BDCB8E0C6B35}"/>
            </c:ext>
          </c:extLst>
        </c:ser>
        <c:ser>
          <c:idx val="11"/>
          <c:order val="11"/>
          <c:tx>
            <c:strRef>
              <c:f>'daily 收入 活跃与价值'!$AX$3:$AX$5</c:f>
              <c:strCache>
                <c:ptCount val="1"/>
                <c:pt idx="0">
                  <c:v>Old user - 11077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收入 活跃与价值'!$AK$6:$AK$23</c:f>
              <c:strCache>
                <c:ptCount val="17"/>
                <c:pt idx="0">
                  <c:v>2025/4/3</c:v>
                </c:pt>
                <c:pt idx="1">
                  <c:v>2025/4/4</c:v>
                </c:pt>
                <c:pt idx="2">
                  <c:v>2025/4/5</c:v>
                </c:pt>
                <c:pt idx="3">
                  <c:v>2025/4/6</c:v>
                </c:pt>
                <c:pt idx="4">
                  <c:v>2025/4/7</c:v>
                </c:pt>
                <c:pt idx="5">
                  <c:v>2025/4/8</c:v>
                </c:pt>
                <c:pt idx="6">
                  <c:v>2025/4/9</c:v>
                </c:pt>
                <c:pt idx="7">
                  <c:v>2025/4/10</c:v>
                </c:pt>
                <c:pt idx="8">
                  <c:v>2025/4/11</c:v>
                </c:pt>
                <c:pt idx="9">
                  <c:v>2025/4/12</c:v>
                </c:pt>
                <c:pt idx="10">
                  <c:v>2025/4/13</c:v>
                </c:pt>
                <c:pt idx="11">
                  <c:v>2025/4/14</c:v>
                </c:pt>
                <c:pt idx="12">
                  <c:v>2025/4/15</c:v>
                </c:pt>
                <c:pt idx="13">
                  <c:v>2025/4/16</c:v>
                </c:pt>
                <c:pt idx="14">
                  <c:v>2025/4/17</c:v>
                </c:pt>
                <c:pt idx="15">
                  <c:v>2025/4/18</c:v>
                </c:pt>
                <c:pt idx="16">
                  <c:v>2025/4/19</c:v>
                </c:pt>
              </c:strCache>
            </c:strRef>
          </c:cat>
          <c:val>
            <c:numRef>
              <c:f>'daily 收入 活跃与价值'!$AX$6:$AX$23</c:f>
              <c:numCache>
                <c:formatCode>General</c:formatCode>
                <c:ptCount val="17"/>
                <c:pt idx="0">
                  <c:v>11</c:v>
                </c:pt>
                <c:pt idx="1">
                  <c:v>130</c:v>
                </c:pt>
                <c:pt idx="2">
                  <c:v>384</c:v>
                </c:pt>
                <c:pt idx="3">
                  <c:v>646</c:v>
                </c:pt>
                <c:pt idx="4">
                  <c:v>966</c:v>
                </c:pt>
                <c:pt idx="5">
                  <c:v>1433</c:v>
                </c:pt>
                <c:pt idx="6">
                  <c:v>1841</c:v>
                </c:pt>
                <c:pt idx="7">
                  <c:v>2122</c:v>
                </c:pt>
                <c:pt idx="8">
                  <c:v>2272</c:v>
                </c:pt>
                <c:pt idx="9">
                  <c:v>2384</c:v>
                </c:pt>
                <c:pt idx="10">
                  <c:v>2808</c:v>
                </c:pt>
                <c:pt idx="11">
                  <c:v>3004</c:v>
                </c:pt>
                <c:pt idx="12">
                  <c:v>2794</c:v>
                </c:pt>
                <c:pt idx="13">
                  <c:v>2754</c:v>
                </c:pt>
                <c:pt idx="14">
                  <c:v>2977</c:v>
                </c:pt>
                <c:pt idx="15">
                  <c:v>3199</c:v>
                </c:pt>
                <c:pt idx="16">
                  <c:v>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F7-3542-8D17-BDCB8E0C6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895919"/>
        <c:axId val="139897599"/>
      </c:lineChart>
      <c:catAx>
        <c:axId val="13989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97599"/>
        <c:crosses val="autoZero"/>
        <c:auto val="1"/>
        <c:lblAlgn val="ctr"/>
        <c:lblOffset val="100"/>
        <c:noMultiLvlLbl val="0"/>
      </c:catAx>
      <c:valAx>
        <c:axId val="13989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9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615950</xdr:colOff>
      <xdr:row>23</xdr:row>
      <xdr:rowOff>82550</xdr:rowOff>
    </xdr:from>
    <xdr:to>
      <xdr:col>15</xdr:col>
      <xdr:colOff>304800</xdr:colOff>
      <xdr:row>36</xdr:row>
      <xdr:rowOff>184150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A85411-0D7A-5C43-80CD-12A64CCEC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755650</xdr:colOff>
      <xdr:row>25</xdr:row>
      <xdr:rowOff>57150</xdr:rowOff>
    </xdr:from>
    <xdr:to>
      <xdr:col>42</xdr:col>
      <xdr:colOff>285750</xdr:colOff>
      <xdr:row>38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A3CDD96-2F46-6142-9255-ED4F53407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68.737581597219" createdVersion="6" refreshedVersion="6" minRefreshableVersion="3" recordCount="204" xr:uid="{AA5961A8-CF56-FF49-A4D8-BBBE745EF365}">
  <cacheSource type="worksheet">
    <worksheetSource ref="A1:G205" sheet="act 次留"/>
  </cacheSource>
  <cacheFields count="7">
    <cacheField name="platform" numFmtId="0">
      <sharedItems count="2">
        <s v="ANDROID"/>
        <s v="IOS"/>
      </sharedItems>
    </cacheField>
    <cacheField name="ab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is_new" numFmtId="0">
      <sharedItems count="2">
        <s v="New user"/>
        <s v="Old user"/>
      </sharedItems>
    </cacheField>
    <cacheField name="event_date_hk" numFmtId="14">
      <sharedItems containsSemiMixedTypes="0" containsNonDate="0" containsDate="1" containsString="0" minDate="2025-04-03T00:00:00" maxDate="2025-04-20T00:00:00" count="17">
        <d v="2025-04-12T00:00:00"/>
        <d v="2025-04-13T00:00:00"/>
        <d v="2025-04-17T00:00:00"/>
        <d v="2025-04-14T00:00:00"/>
        <d v="2025-04-10T00:00:00"/>
        <d v="2025-04-06T00:00:00"/>
        <d v="2025-04-08T00:00:00"/>
        <d v="2025-04-03T00:00:00"/>
        <d v="2025-04-11T00:00:00"/>
        <d v="2025-04-07T00:00:00"/>
        <d v="2025-04-04T00:00:00"/>
        <d v="2025-04-05T00:00:00"/>
        <d v="2025-04-16T00:00:00"/>
        <d v="2025-04-15T00:00:00"/>
        <d v="2025-04-09T00:00:00"/>
        <d v="2025-04-18T00:00:00"/>
        <d v="2025-04-19T00:00:00"/>
      </sharedItems>
    </cacheField>
    <cacheField name="enter_abtest_uv" numFmtId="0">
      <sharedItems containsSemiMixedTypes="0" containsString="0" containsNumber="1" containsInteger="1" minValue="4" maxValue="10783"/>
    </cacheField>
    <cacheField name="re0" numFmtId="0">
      <sharedItems containsSemiMixedTypes="0" containsString="0" containsNumber="1" containsInteger="1" minValue="4" maxValue="10783"/>
    </cacheField>
    <cacheField name="re1" numFmtId="0">
      <sharedItems containsSemiMixedTypes="0" containsString="0" containsNumber="1" containsInteger="1" minValue="2" maxValue="30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0.455252199077" createdVersion="6" refreshedVersion="6" minRefreshableVersion="3" recordCount="623" xr:uid="{8EB0576A-3C06-A741-9104-3C87549C7A26}">
  <cacheSource type="worksheet">
    <worksheetSource ref="A1:C624" sheet="累计保存次数用户占比"/>
  </cacheSource>
  <cacheFields count="3">
    <cacheField name="ab_code" numFmtId="0">
      <sharedItems count="3">
        <s v="实验组A"/>
        <s v="实验组B"/>
        <s v="对照组"/>
      </sharedItems>
    </cacheField>
    <cacheField name="edit_save_pv" numFmtId="0">
      <sharedItems containsSemiMixedTypes="0" containsString="0" containsNumber="1" containsInteger="1" minValue="0" maxValue="3024" count="31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3"/>
        <n v="124"/>
        <n v="126"/>
        <n v="127"/>
        <n v="128"/>
        <n v="130"/>
        <n v="131"/>
        <n v="132"/>
        <n v="135"/>
        <n v="136"/>
        <n v="137"/>
        <n v="138"/>
        <n v="139"/>
        <n v="140"/>
        <n v="142"/>
        <n v="143"/>
        <n v="144"/>
        <n v="146"/>
        <n v="147"/>
        <n v="152"/>
        <n v="153"/>
        <n v="156"/>
        <n v="157"/>
        <n v="158"/>
        <n v="160"/>
        <n v="161"/>
        <n v="162"/>
        <n v="163"/>
        <n v="165"/>
        <n v="166"/>
        <n v="167"/>
        <n v="172"/>
        <n v="175"/>
        <n v="178"/>
        <n v="181"/>
        <n v="182"/>
        <n v="185"/>
        <n v="190"/>
        <n v="192"/>
        <n v="194"/>
        <n v="197"/>
        <n v="202"/>
        <n v="204"/>
        <n v="206"/>
        <n v="210"/>
        <n v="213"/>
        <n v="215"/>
        <n v="218"/>
        <n v="220"/>
        <n v="222"/>
        <n v="224"/>
        <n v="227"/>
        <n v="228"/>
        <n v="230"/>
        <n v="233"/>
        <n v="236"/>
        <n v="238"/>
        <n v="244"/>
        <n v="247"/>
        <n v="262"/>
        <n v="263"/>
        <n v="288"/>
        <n v="303"/>
        <n v="330"/>
        <n v="331"/>
        <n v="333"/>
        <n v="356"/>
        <n v="361"/>
        <n v="362"/>
        <n v="366"/>
        <n v="394"/>
        <n v="395"/>
        <n v="414"/>
        <n v="428"/>
        <n v="476"/>
        <n v="480"/>
        <n v="566"/>
        <n v="743"/>
        <n v="750"/>
        <n v="909"/>
        <n v="1585"/>
        <n v="1632"/>
        <n v="121"/>
        <n v="122"/>
        <n v="125"/>
        <n v="129"/>
        <n v="134"/>
        <n v="141"/>
        <n v="145"/>
        <n v="148"/>
        <n v="149"/>
        <n v="150"/>
        <n v="154"/>
        <n v="159"/>
        <n v="164"/>
        <n v="171"/>
        <n v="174"/>
        <n v="176"/>
        <n v="180"/>
        <n v="187"/>
        <n v="189"/>
        <n v="195"/>
        <n v="196"/>
        <n v="209"/>
        <n v="211"/>
        <n v="212"/>
        <n v="214"/>
        <n v="216"/>
        <n v="217"/>
        <n v="226"/>
        <n v="232"/>
        <n v="237"/>
        <n v="239"/>
        <n v="246"/>
        <n v="251"/>
        <n v="256"/>
        <n v="259"/>
        <n v="270"/>
        <n v="286"/>
        <n v="299"/>
        <n v="309"/>
        <n v="316"/>
        <n v="327"/>
        <n v="336"/>
        <n v="338"/>
        <n v="347"/>
        <n v="352"/>
        <n v="354"/>
        <n v="479"/>
        <n v="491"/>
        <n v="497"/>
        <n v="511"/>
        <n v="525"/>
        <n v="546"/>
        <n v="592"/>
        <n v="714"/>
        <n v="736"/>
        <n v="776"/>
        <n v="864"/>
        <n v="1007"/>
        <n v="1029"/>
        <n v="2169"/>
        <n v="2709"/>
        <n v="2912"/>
        <n v="3024"/>
        <n v="133"/>
        <n v="155"/>
        <n v="169"/>
        <n v="179"/>
        <n v="183"/>
        <n v="184"/>
        <n v="186"/>
        <n v="193"/>
        <n v="200"/>
        <n v="201"/>
        <n v="207"/>
        <n v="225"/>
        <n v="231"/>
        <n v="243"/>
        <n v="254"/>
        <n v="257"/>
        <n v="261"/>
        <n v="269"/>
        <n v="273"/>
        <n v="280"/>
        <n v="281"/>
        <n v="282"/>
        <n v="293"/>
        <n v="296"/>
        <n v="306"/>
        <n v="307"/>
        <n v="314"/>
        <n v="322"/>
        <n v="325"/>
        <n v="335"/>
        <n v="364"/>
        <n v="365"/>
        <n v="372"/>
        <n v="386"/>
        <n v="413"/>
        <n v="446"/>
        <n v="453"/>
        <n v="462"/>
        <n v="519"/>
        <n v="573"/>
        <n v="865"/>
        <n v="960"/>
        <n v="1227"/>
        <n v="1464"/>
      </sharedItems>
    </cacheField>
    <cacheField name="uv" numFmtId="0">
      <sharedItems containsSemiMixedTypes="0" containsString="0" containsNumber="1" containsInteger="1" minValue="1" maxValue="748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0.767298148145" createdVersion="6" refreshedVersion="6" minRefreshableVersion="3" recordCount="107" xr:uid="{56933051-CC90-9140-B0CB-A0825511651D}">
  <cacheSource type="worksheet">
    <worksheetSource ref="B1:E1048576" sheet="第N天使用完2次的用户数"/>
  </cacheSource>
  <cacheFields count="4">
    <cacheField name="save_num" numFmtId="0">
      <sharedItems containsString="0" containsBlank="1" containsNumber="1" containsInteger="1" minValue="1" maxValue="2" count="3">
        <n v="1"/>
        <n v="2"/>
        <m/>
      </sharedItems>
    </cacheField>
    <cacheField name="ab_code" numFmtId="0">
      <sharedItems containsBlank="1" count="4">
        <s v="实验组A"/>
        <s v="实验组B"/>
        <s v="对照组"/>
        <m/>
      </sharedItems>
    </cacheField>
    <cacheField name="day_diff" numFmtId="0">
      <sharedItems containsString="0" containsBlank="1" containsNumber="1" containsInteger="1" minValue="0" maxValue="17" count="19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m/>
      </sharedItems>
    </cacheField>
    <cacheField name="uv" numFmtId="0">
      <sharedItems containsString="0" containsBlank="1" containsNumber="1" containsInteger="1" minValue="2" maxValue="552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1.448416319443" createdVersion="6" refreshedVersion="6" minRefreshableVersion="3" recordCount="34" xr:uid="{68E2F812-3F54-8244-8BDA-202F70F3CEE0}">
  <cacheSource type="worksheet">
    <worksheetSource ref="AR1:BB35" sheet="4.24 更新收入"/>
  </cacheSource>
  <cacheFields count="11">
    <cacheField name="platform" numFmtId="0">
      <sharedItems/>
    </cacheField>
    <cacheField name="ab_code" numFmtId="0">
      <sharedItems containsSemiMixedTypes="0" containsString="0" containsNumber="1" containsInteger="1" minValue="11072" maxValue="11077"/>
    </cacheField>
    <cacheField name="ab_code_typpe" numFmtId="0">
      <sharedItems count="3">
        <s v="对照组"/>
        <s v="实验组A"/>
        <s v="实验组B"/>
      </sharedItems>
    </cacheField>
    <cacheField name="source_module" numFmtId="0">
      <sharedItems count="5">
        <s v="onboarding"/>
        <s v="p_camera"/>
        <s v="p_edit"/>
        <s v="p_video"/>
        <s v="else"/>
      </sharedItems>
    </cacheField>
    <cacheField name="source_0" numFmtId="0">
      <sharedItems count="2">
        <s v="all"/>
        <s v="new_free_saves"/>
      </sharedItems>
    </cacheField>
    <cacheField name="enter_abtest_uv" numFmtId="0">
      <sharedItems containsSemiMixedTypes="0" containsString="0" containsNumber="1" containsInteger="1" minValue="61" maxValue="95282"/>
    </cacheField>
    <cacheField name="sub_enter_uv" numFmtId="0">
      <sharedItems containsSemiMixedTypes="0" containsString="0" containsNumber="1" containsInteger="1" minValue="61" maxValue="95264"/>
    </cacheField>
    <cacheField name="sub_click_uv" numFmtId="0">
      <sharedItems containsSemiMixedTypes="0" containsString="0" containsNumber="1" containsInteger="1" minValue="10" maxValue="14190"/>
    </cacheField>
    <cacheField name="sub_success_uv" numFmtId="0">
      <sharedItems containsSemiMixedTypes="0" containsString="0" containsNumber="1" containsInteger="1" minValue="0" maxValue="7052"/>
    </cacheField>
    <cacheField name="sub_success_to_paid_uv" numFmtId="0">
      <sharedItems containsSemiMixedTypes="0" containsString="0" containsNumber="1" containsInteger="1" minValue="0" maxValue="1577"/>
    </cacheField>
    <cacheField name="sub_success_to_paid_gmv" numFmtId="0">
      <sharedItems containsSemiMixedTypes="0" containsString="0" containsNumber="1" minValue="0" maxValue="57988.628151735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1.659862037035" createdVersion="6" refreshedVersion="6" minRefreshableVersion="3" recordCount="105" xr:uid="{448619EC-6BD7-C34B-979B-4DAF20E85C84}">
  <cacheSource type="worksheet">
    <worksheetSource ref="A1:G106" sheet="daily 收入 活跃与价值"/>
  </cacheSource>
  <cacheFields count="7">
    <cacheField name="date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platform" numFmtId="0">
      <sharedItems count="2">
        <s v="IOS"/>
        <s v="ANDROID"/>
      </sharedItems>
    </cacheField>
    <cacheField name="ab_code" numFmtId="0">
      <sharedItems containsSemiMixedTypes="0" containsString="0" containsNumber="1" containsInteger="1" minValue="11072" maxValue="11077" count="6">
        <n v="11072"/>
        <n v="11073"/>
        <n v="11074"/>
        <n v="11075"/>
        <n v="11076"/>
        <n v="11077"/>
      </sharedItems>
    </cacheField>
    <cacheField name="enter_abtest_uv" numFmtId="0">
      <sharedItems containsSemiMixedTypes="0" containsString="0" containsNumber="1" containsInteger="1" minValue="6" maxValue="1163"/>
    </cacheField>
    <cacheField name="sub_success_uv" numFmtId="0">
      <sharedItems containsSemiMixedTypes="0" containsString="0" containsNumber="1" containsInteger="1" minValue="6" maxValue="1153"/>
    </cacheField>
    <cacheField name="sub_success_to_paid_uv" numFmtId="0">
      <sharedItems containsSemiMixedTypes="0" containsString="0" containsNumber="1" containsInteger="1" minValue="2" maxValue="290"/>
    </cacheField>
    <cacheField name="sub_success_to_paid_gmv" numFmtId="178">
      <sharedItems containsSemiMixedTypes="0" containsString="0" containsNumber="1" minValue="17.565368894285299" maxValue="10649.46473016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1.663789467595" createdVersion="6" refreshedVersion="6" minRefreshableVersion="3" recordCount="108" xr:uid="{96D47FD0-C6F2-9C49-ABD2-7C88B03A2F82}">
  <cacheSource type="worksheet">
    <worksheetSource ref="A1:G1048576" sheet="daily 收入 活跃与价值"/>
  </cacheSource>
  <cacheFields count="7">
    <cacheField name="date" numFmtId="0">
      <sharedItems containsNonDate="0" containsDate="1" containsString="0" containsBlank="1" minDate="2025-04-03T00:00:00" maxDate="2025-04-21T00:00:00" count="19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m/>
      </sharedItems>
    </cacheField>
    <cacheField name="platform" numFmtId="0">
      <sharedItems containsBlank="1" count="3">
        <s v="IOS"/>
        <s v="ANDROID"/>
        <m/>
      </sharedItems>
    </cacheField>
    <cacheField name="ab_code" numFmtId="0">
      <sharedItems containsString="0" containsBlank="1" containsNumber="1" containsInteger="1" minValue="11072" maxValue="11077" count="7">
        <n v="11072"/>
        <n v="11073"/>
        <n v="11074"/>
        <n v="11075"/>
        <n v="11076"/>
        <n v="11077"/>
        <m/>
      </sharedItems>
    </cacheField>
    <cacheField name="enter_abtest_uv" numFmtId="0">
      <sharedItems containsString="0" containsBlank="1" containsNumber="1" containsInteger="1" minValue="6" maxValue="1163"/>
    </cacheField>
    <cacheField name="sub_success_uv" numFmtId="0">
      <sharedItems containsString="0" containsBlank="1" containsNumber="1" containsInteger="1" minValue="6" maxValue="1153"/>
    </cacheField>
    <cacheField name="sub_success_to_paid_uv" numFmtId="0">
      <sharedItems containsString="0" containsBlank="1" containsNumber="1" containsInteger="1" minValue="2" maxValue="290"/>
    </cacheField>
    <cacheField name="sub_success_to_paid_gmv" numFmtId="178">
      <sharedItems containsString="0" containsBlank="1" containsNumber="1" minValue="17.565368894285299" maxValue="10649.46473016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1.734840046294" createdVersion="6" refreshedVersion="6" minRefreshableVersion="3" recordCount="108" xr:uid="{50E7DED0-E031-E84B-853C-9C10AEA66DF0}">
  <cacheSource type="worksheet">
    <worksheetSource ref="BJ1:BO109" sheet="daily 收入 活跃与价值"/>
  </cacheSource>
  <cacheFields count="6">
    <cacheField name="event_date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platform" numFmtId="0">
      <sharedItems count="2">
        <s v="ANDROID"/>
        <s v="IOS"/>
      </sharedItems>
    </cacheField>
    <cacheField name="abcode" numFmtId="0">
      <sharedItems containsSemiMixedTypes="0" containsString="0" containsNumber="1" containsInteger="1" minValue="11072" maxValue="11077" count="6">
        <n v="11075"/>
        <n v="11076"/>
        <n v="11077"/>
        <n v="11073"/>
        <n v="11074"/>
        <n v="11072"/>
      </sharedItems>
    </cacheField>
    <cacheField name="ads_bookings" numFmtId="0">
      <sharedItems containsSemiMixedTypes="0" containsString="0" containsNumber="1" minValue="0.24717500000000001" maxValue="136.05860200000001"/>
    </cacheField>
    <cacheField name="max_impression_pv" numFmtId="0">
      <sharedItems containsSemiMixedTypes="0" containsString="0" containsNumber="1" containsInteger="1" minValue="1370" maxValue="281901"/>
    </cacheField>
    <cacheField name="eCPM" numFmtId="0">
      <sharedItems containsSemiMixedTypes="0" containsString="0" containsNumber="1" minValue="6.4384999999999998E-2" maxValue="0.623068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2.432454398149" createdVersion="6" refreshedVersion="6" minRefreshableVersion="3" recordCount="202" xr:uid="{751C9E88-A563-A848-9936-8D8EE91210E1}">
  <cacheSource type="worksheet">
    <worksheetSource ref="AD3:AJ205" sheet="美国"/>
  </cacheSource>
  <cacheFields count="7">
    <cacheField name="platform" numFmtId="0">
      <sharedItems/>
    </cacheField>
    <cacheField name="ab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is_new" numFmtId="0">
      <sharedItems count="2">
        <s v="New user"/>
        <s v="Old user"/>
      </sharedItems>
    </cacheField>
    <cacheField name="event_date_hk" numFmtId="14">
      <sharedItems containsSemiMixedTypes="0" containsNonDate="0" containsDate="1" containsString="0" minDate="2025-04-03T00:00:00" maxDate="2025-04-20T00:00:00"/>
    </cacheField>
    <cacheField name="enter_abtest_uv" numFmtId="0">
      <sharedItems containsSemiMixedTypes="0" containsString="0" containsNumber="1" containsInteger="1" minValue="1" maxValue="2826"/>
    </cacheField>
    <cacheField name="re0" numFmtId="0">
      <sharedItems containsSemiMixedTypes="0" containsString="0" containsNumber="1" containsInteger="1" minValue="1" maxValue="2826"/>
    </cacheField>
    <cacheField name="re1" numFmtId="0">
      <sharedItems containsSemiMixedTypes="0" containsString="0" containsNumber="1" containsInteger="1" minValue="0" maxValue="6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x v="0"/>
    <x v="0"/>
    <x v="0"/>
    <n v="2869"/>
    <n v="2869"/>
    <n v="394"/>
  </r>
  <r>
    <x v="0"/>
    <x v="0"/>
    <x v="0"/>
    <x v="1"/>
    <n v="3472"/>
    <n v="3472"/>
    <n v="495"/>
  </r>
  <r>
    <x v="0"/>
    <x v="0"/>
    <x v="1"/>
    <x v="2"/>
    <n v="2835"/>
    <n v="2835"/>
    <n v="762"/>
  </r>
  <r>
    <x v="0"/>
    <x v="0"/>
    <x v="1"/>
    <x v="3"/>
    <n v="2753"/>
    <n v="2753"/>
    <n v="728"/>
  </r>
  <r>
    <x v="0"/>
    <x v="0"/>
    <x v="0"/>
    <x v="3"/>
    <n v="3471"/>
    <n v="3471"/>
    <n v="433"/>
  </r>
  <r>
    <x v="0"/>
    <x v="0"/>
    <x v="1"/>
    <x v="1"/>
    <n v="2622"/>
    <n v="2622"/>
    <n v="765"/>
  </r>
  <r>
    <x v="0"/>
    <x v="0"/>
    <x v="1"/>
    <x v="4"/>
    <n v="2016"/>
    <n v="2016"/>
    <n v="515"/>
  </r>
  <r>
    <x v="0"/>
    <x v="0"/>
    <x v="0"/>
    <x v="5"/>
    <n v="1600"/>
    <n v="1600"/>
    <n v="196"/>
  </r>
  <r>
    <x v="0"/>
    <x v="0"/>
    <x v="0"/>
    <x v="4"/>
    <n v="3227"/>
    <n v="3227"/>
    <n v="387"/>
  </r>
  <r>
    <x v="0"/>
    <x v="0"/>
    <x v="1"/>
    <x v="6"/>
    <n v="1371"/>
    <n v="1371"/>
    <n v="330"/>
  </r>
  <r>
    <x v="0"/>
    <x v="0"/>
    <x v="1"/>
    <x v="7"/>
    <n v="4"/>
    <n v="4"/>
    <n v="2"/>
  </r>
  <r>
    <x v="0"/>
    <x v="0"/>
    <x v="1"/>
    <x v="8"/>
    <n v="2097"/>
    <n v="2097"/>
    <n v="570"/>
  </r>
  <r>
    <x v="0"/>
    <x v="0"/>
    <x v="1"/>
    <x v="9"/>
    <n v="906"/>
    <n v="906"/>
    <n v="216"/>
  </r>
  <r>
    <x v="0"/>
    <x v="0"/>
    <x v="0"/>
    <x v="10"/>
    <n v="867"/>
    <n v="867"/>
    <n v="104"/>
  </r>
  <r>
    <x v="0"/>
    <x v="0"/>
    <x v="0"/>
    <x v="8"/>
    <n v="3187"/>
    <n v="3187"/>
    <n v="411"/>
  </r>
  <r>
    <x v="0"/>
    <x v="0"/>
    <x v="0"/>
    <x v="11"/>
    <n v="1226"/>
    <n v="1226"/>
    <n v="144"/>
  </r>
  <r>
    <x v="0"/>
    <x v="0"/>
    <x v="0"/>
    <x v="12"/>
    <n v="2746"/>
    <n v="2746"/>
    <n v="366"/>
  </r>
  <r>
    <x v="0"/>
    <x v="0"/>
    <x v="1"/>
    <x v="13"/>
    <n v="2641"/>
    <n v="2641"/>
    <n v="726"/>
  </r>
  <r>
    <x v="0"/>
    <x v="0"/>
    <x v="0"/>
    <x v="9"/>
    <n v="2598"/>
    <n v="2598"/>
    <n v="341"/>
  </r>
  <r>
    <x v="0"/>
    <x v="0"/>
    <x v="1"/>
    <x v="14"/>
    <n v="1679"/>
    <n v="1679"/>
    <n v="439"/>
  </r>
  <r>
    <x v="0"/>
    <x v="0"/>
    <x v="0"/>
    <x v="15"/>
    <n v="3108"/>
    <n v="3108"/>
    <n v="421"/>
  </r>
  <r>
    <x v="0"/>
    <x v="0"/>
    <x v="1"/>
    <x v="12"/>
    <n v="2698"/>
    <n v="2698"/>
    <n v="751"/>
  </r>
  <r>
    <x v="0"/>
    <x v="0"/>
    <x v="0"/>
    <x v="16"/>
    <n v="3625"/>
    <n v="3625"/>
    <n v="521"/>
  </r>
  <r>
    <x v="0"/>
    <x v="0"/>
    <x v="0"/>
    <x v="7"/>
    <n v="134"/>
    <n v="134"/>
    <n v="17"/>
  </r>
  <r>
    <x v="0"/>
    <x v="0"/>
    <x v="1"/>
    <x v="16"/>
    <n v="3287"/>
    <n v="3287"/>
    <n v="1005"/>
  </r>
  <r>
    <x v="0"/>
    <x v="0"/>
    <x v="1"/>
    <x v="15"/>
    <n v="2938"/>
    <n v="2938"/>
    <n v="827"/>
  </r>
  <r>
    <x v="0"/>
    <x v="0"/>
    <x v="1"/>
    <x v="0"/>
    <n v="2207"/>
    <n v="2207"/>
    <n v="612"/>
  </r>
  <r>
    <x v="0"/>
    <x v="0"/>
    <x v="1"/>
    <x v="11"/>
    <n v="334"/>
    <n v="334"/>
    <n v="72"/>
  </r>
  <r>
    <x v="0"/>
    <x v="0"/>
    <x v="0"/>
    <x v="6"/>
    <n v="3158"/>
    <n v="3158"/>
    <n v="388"/>
  </r>
  <r>
    <x v="0"/>
    <x v="0"/>
    <x v="0"/>
    <x v="13"/>
    <n v="2950"/>
    <n v="2950"/>
    <n v="380"/>
  </r>
  <r>
    <x v="0"/>
    <x v="0"/>
    <x v="1"/>
    <x v="5"/>
    <n v="536"/>
    <n v="536"/>
    <n v="128"/>
  </r>
  <r>
    <x v="0"/>
    <x v="0"/>
    <x v="1"/>
    <x v="10"/>
    <n v="114"/>
    <n v="114"/>
    <n v="24"/>
  </r>
  <r>
    <x v="0"/>
    <x v="0"/>
    <x v="0"/>
    <x v="14"/>
    <n v="3005"/>
    <n v="3005"/>
    <n v="371"/>
  </r>
  <r>
    <x v="0"/>
    <x v="0"/>
    <x v="0"/>
    <x v="2"/>
    <n v="3026"/>
    <n v="3026"/>
    <n v="382"/>
  </r>
  <r>
    <x v="0"/>
    <x v="1"/>
    <x v="1"/>
    <x v="10"/>
    <n v="130"/>
    <n v="130"/>
    <n v="38"/>
  </r>
  <r>
    <x v="0"/>
    <x v="1"/>
    <x v="1"/>
    <x v="2"/>
    <n v="3250"/>
    <n v="3250"/>
    <n v="886"/>
  </r>
  <r>
    <x v="0"/>
    <x v="1"/>
    <x v="0"/>
    <x v="7"/>
    <n v="139"/>
    <n v="139"/>
    <n v="33"/>
  </r>
  <r>
    <x v="0"/>
    <x v="1"/>
    <x v="0"/>
    <x v="15"/>
    <n v="2994"/>
    <n v="2994"/>
    <n v="513"/>
  </r>
  <r>
    <x v="0"/>
    <x v="1"/>
    <x v="0"/>
    <x v="16"/>
    <n v="3509"/>
    <n v="3509"/>
    <n v="535"/>
  </r>
  <r>
    <x v="0"/>
    <x v="1"/>
    <x v="1"/>
    <x v="4"/>
    <n v="2189"/>
    <n v="2189"/>
    <n v="569"/>
  </r>
  <r>
    <x v="0"/>
    <x v="1"/>
    <x v="1"/>
    <x v="6"/>
    <n v="1527"/>
    <n v="1527"/>
    <n v="384"/>
  </r>
  <r>
    <x v="0"/>
    <x v="1"/>
    <x v="0"/>
    <x v="1"/>
    <n v="3301"/>
    <n v="3301"/>
    <n v="558"/>
  </r>
  <r>
    <x v="0"/>
    <x v="1"/>
    <x v="1"/>
    <x v="9"/>
    <n v="1020"/>
    <n v="1020"/>
    <n v="266"/>
  </r>
  <r>
    <x v="0"/>
    <x v="1"/>
    <x v="1"/>
    <x v="11"/>
    <n v="430"/>
    <n v="430"/>
    <n v="128"/>
  </r>
  <r>
    <x v="0"/>
    <x v="1"/>
    <x v="0"/>
    <x v="3"/>
    <n v="3591"/>
    <n v="3591"/>
    <n v="510"/>
  </r>
  <r>
    <x v="0"/>
    <x v="1"/>
    <x v="0"/>
    <x v="0"/>
    <n v="2888"/>
    <n v="2888"/>
    <n v="466"/>
  </r>
  <r>
    <x v="0"/>
    <x v="1"/>
    <x v="0"/>
    <x v="6"/>
    <n v="3201"/>
    <n v="3201"/>
    <n v="489"/>
  </r>
  <r>
    <x v="0"/>
    <x v="1"/>
    <x v="1"/>
    <x v="3"/>
    <n v="3103"/>
    <n v="3103"/>
    <n v="846"/>
  </r>
  <r>
    <x v="0"/>
    <x v="1"/>
    <x v="1"/>
    <x v="0"/>
    <n v="2537"/>
    <n v="2537"/>
    <n v="740"/>
  </r>
  <r>
    <x v="0"/>
    <x v="1"/>
    <x v="1"/>
    <x v="1"/>
    <n v="2933"/>
    <n v="2933"/>
    <n v="824"/>
  </r>
  <r>
    <x v="0"/>
    <x v="1"/>
    <x v="0"/>
    <x v="14"/>
    <n v="2897"/>
    <n v="2897"/>
    <n v="471"/>
  </r>
  <r>
    <x v="0"/>
    <x v="1"/>
    <x v="0"/>
    <x v="8"/>
    <n v="3009"/>
    <n v="3009"/>
    <n v="467"/>
  </r>
  <r>
    <x v="0"/>
    <x v="1"/>
    <x v="1"/>
    <x v="8"/>
    <n v="2348"/>
    <n v="2348"/>
    <n v="627"/>
  </r>
  <r>
    <x v="0"/>
    <x v="1"/>
    <x v="1"/>
    <x v="5"/>
    <n v="669"/>
    <n v="669"/>
    <n v="186"/>
  </r>
  <r>
    <x v="0"/>
    <x v="1"/>
    <x v="1"/>
    <x v="14"/>
    <n v="1946"/>
    <n v="1946"/>
    <n v="514"/>
  </r>
  <r>
    <x v="0"/>
    <x v="1"/>
    <x v="0"/>
    <x v="10"/>
    <n v="908"/>
    <n v="908"/>
    <n v="140"/>
  </r>
  <r>
    <x v="0"/>
    <x v="1"/>
    <x v="1"/>
    <x v="7"/>
    <n v="12"/>
    <n v="12"/>
    <n v="4"/>
  </r>
  <r>
    <x v="0"/>
    <x v="1"/>
    <x v="0"/>
    <x v="2"/>
    <n v="2981"/>
    <n v="2981"/>
    <n v="455"/>
  </r>
  <r>
    <x v="0"/>
    <x v="1"/>
    <x v="0"/>
    <x v="4"/>
    <n v="3134"/>
    <n v="3134"/>
    <n v="469"/>
  </r>
  <r>
    <x v="0"/>
    <x v="1"/>
    <x v="1"/>
    <x v="16"/>
    <n v="3609"/>
    <n v="3609"/>
    <n v="1068"/>
  </r>
  <r>
    <x v="0"/>
    <x v="1"/>
    <x v="0"/>
    <x v="13"/>
    <n v="2953"/>
    <n v="2953"/>
    <n v="474"/>
  </r>
  <r>
    <x v="0"/>
    <x v="1"/>
    <x v="0"/>
    <x v="9"/>
    <n v="2717"/>
    <n v="2717"/>
    <n v="435"/>
  </r>
  <r>
    <x v="0"/>
    <x v="1"/>
    <x v="0"/>
    <x v="11"/>
    <n v="1173"/>
    <n v="1173"/>
    <n v="183"/>
  </r>
  <r>
    <x v="0"/>
    <x v="1"/>
    <x v="0"/>
    <x v="12"/>
    <n v="2826"/>
    <n v="2826"/>
    <n v="469"/>
  </r>
  <r>
    <x v="0"/>
    <x v="1"/>
    <x v="1"/>
    <x v="12"/>
    <n v="3082"/>
    <n v="3082"/>
    <n v="872"/>
  </r>
  <r>
    <x v="0"/>
    <x v="1"/>
    <x v="1"/>
    <x v="13"/>
    <n v="2975"/>
    <n v="2975"/>
    <n v="828"/>
  </r>
  <r>
    <x v="0"/>
    <x v="1"/>
    <x v="1"/>
    <x v="15"/>
    <n v="3383"/>
    <n v="3383"/>
    <n v="974"/>
  </r>
  <r>
    <x v="0"/>
    <x v="1"/>
    <x v="0"/>
    <x v="5"/>
    <n v="1596"/>
    <n v="1596"/>
    <n v="247"/>
  </r>
  <r>
    <x v="0"/>
    <x v="2"/>
    <x v="1"/>
    <x v="13"/>
    <n v="2794"/>
    <n v="2794"/>
    <n v="697"/>
  </r>
  <r>
    <x v="0"/>
    <x v="2"/>
    <x v="0"/>
    <x v="9"/>
    <n v="2626"/>
    <n v="2626"/>
    <n v="371"/>
  </r>
  <r>
    <x v="0"/>
    <x v="2"/>
    <x v="1"/>
    <x v="7"/>
    <n v="11"/>
    <n v="11"/>
    <n v="7"/>
  </r>
  <r>
    <x v="0"/>
    <x v="2"/>
    <x v="1"/>
    <x v="0"/>
    <n v="2384"/>
    <n v="2384"/>
    <n v="695"/>
  </r>
  <r>
    <x v="0"/>
    <x v="2"/>
    <x v="0"/>
    <x v="12"/>
    <n v="2727"/>
    <n v="2727"/>
    <n v="409"/>
  </r>
  <r>
    <x v="0"/>
    <x v="2"/>
    <x v="1"/>
    <x v="1"/>
    <n v="2808"/>
    <n v="2808"/>
    <n v="771"/>
  </r>
  <r>
    <x v="0"/>
    <x v="2"/>
    <x v="1"/>
    <x v="11"/>
    <n v="384"/>
    <n v="384"/>
    <n v="120"/>
  </r>
  <r>
    <x v="0"/>
    <x v="2"/>
    <x v="0"/>
    <x v="5"/>
    <n v="1632"/>
    <n v="1632"/>
    <n v="238"/>
  </r>
  <r>
    <x v="0"/>
    <x v="2"/>
    <x v="1"/>
    <x v="9"/>
    <n v="966"/>
    <n v="966"/>
    <n v="221"/>
  </r>
  <r>
    <x v="0"/>
    <x v="2"/>
    <x v="1"/>
    <x v="4"/>
    <n v="2122"/>
    <n v="2122"/>
    <n v="561"/>
  </r>
  <r>
    <x v="0"/>
    <x v="2"/>
    <x v="0"/>
    <x v="8"/>
    <n v="3023"/>
    <n v="3023"/>
    <n v="439"/>
  </r>
  <r>
    <x v="0"/>
    <x v="2"/>
    <x v="1"/>
    <x v="3"/>
    <n v="3004"/>
    <n v="3004"/>
    <n v="748"/>
  </r>
  <r>
    <x v="0"/>
    <x v="2"/>
    <x v="1"/>
    <x v="8"/>
    <n v="2272"/>
    <n v="2272"/>
    <n v="624"/>
  </r>
  <r>
    <x v="0"/>
    <x v="2"/>
    <x v="0"/>
    <x v="4"/>
    <n v="3259"/>
    <n v="3259"/>
    <n v="405"/>
  </r>
  <r>
    <x v="0"/>
    <x v="2"/>
    <x v="0"/>
    <x v="2"/>
    <n v="3014"/>
    <n v="3014"/>
    <n v="451"/>
  </r>
  <r>
    <x v="0"/>
    <x v="2"/>
    <x v="1"/>
    <x v="5"/>
    <n v="646"/>
    <n v="646"/>
    <n v="165"/>
  </r>
  <r>
    <x v="0"/>
    <x v="2"/>
    <x v="1"/>
    <x v="12"/>
    <n v="2754"/>
    <n v="2754"/>
    <n v="757"/>
  </r>
  <r>
    <x v="0"/>
    <x v="2"/>
    <x v="0"/>
    <x v="14"/>
    <n v="2854"/>
    <n v="2854"/>
    <n v="453"/>
  </r>
  <r>
    <x v="0"/>
    <x v="2"/>
    <x v="0"/>
    <x v="6"/>
    <n v="3147"/>
    <n v="3147"/>
    <n v="432"/>
  </r>
  <r>
    <x v="0"/>
    <x v="2"/>
    <x v="0"/>
    <x v="13"/>
    <n v="2926"/>
    <n v="2926"/>
    <n v="409"/>
  </r>
  <r>
    <x v="0"/>
    <x v="2"/>
    <x v="1"/>
    <x v="15"/>
    <n v="3199"/>
    <n v="3199"/>
    <n v="916"/>
  </r>
  <r>
    <x v="0"/>
    <x v="2"/>
    <x v="0"/>
    <x v="7"/>
    <n v="154"/>
    <n v="154"/>
    <n v="32"/>
  </r>
  <r>
    <x v="0"/>
    <x v="2"/>
    <x v="0"/>
    <x v="15"/>
    <n v="3046"/>
    <n v="3046"/>
    <n v="470"/>
  </r>
  <r>
    <x v="0"/>
    <x v="2"/>
    <x v="0"/>
    <x v="16"/>
    <n v="3564"/>
    <n v="3564"/>
    <n v="602"/>
  </r>
  <r>
    <x v="0"/>
    <x v="2"/>
    <x v="0"/>
    <x v="10"/>
    <n v="845"/>
    <n v="845"/>
    <n v="121"/>
  </r>
  <r>
    <x v="0"/>
    <x v="2"/>
    <x v="1"/>
    <x v="14"/>
    <n v="1841"/>
    <n v="1841"/>
    <n v="464"/>
  </r>
  <r>
    <x v="0"/>
    <x v="2"/>
    <x v="1"/>
    <x v="6"/>
    <n v="1433"/>
    <n v="1433"/>
    <n v="371"/>
  </r>
  <r>
    <x v="0"/>
    <x v="2"/>
    <x v="1"/>
    <x v="2"/>
    <n v="2977"/>
    <n v="2977"/>
    <n v="881"/>
  </r>
  <r>
    <x v="0"/>
    <x v="2"/>
    <x v="0"/>
    <x v="1"/>
    <n v="3488"/>
    <n v="3488"/>
    <n v="537"/>
  </r>
  <r>
    <x v="0"/>
    <x v="2"/>
    <x v="1"/>
    <x v="10"/>
    <n v="130"/>
    <n v="130"/>
    <n v="49"/>
  </r>
  <r>
    <x v="0"/>
    <x v="2"/>
    <x v="0"/>
    <x v="11"/>
    <n v="1192"/>
    <n v="1192"/>
    <n v="148"/>
  </r>
  <r>
    <x v="0"/>
    <x v="2"/>
    <x v="0"/>
    <x v="3"/>
    <n v="3506"/>
    <n v="3506"/>
    <n v="490"/>
  </r>
  <r>
    <x v="0"/>
    <x v="2"/>
    <x v="0"/>
    <x v="0"/>
    <n v="2820"/>
    <n v="2820"/>
    <n v="472"/>
  </r>
  <r>
    <x v="0"/>
    <x v="2"/>
    <x v="1"/>
    <x v="16"/>
    <n v="3494"/>
    <n v="3494"/>
    <n v="1015"/>
  </r>
  <r>
    <x v="1"/>
    <x v="3"/>
    <x v="1"/>
    <x v="3"/>
    <n v="9452"/>
    <n v="9452"/>
    <n v="2009"/>
  </r>
  <r>
    <x v="1"/>
    <x v="3"/>
    <x v="1"/>
    <x v="11"/>
    <n v="3229"/>
    <n v="3229"/>
    <n v="728"/>
  </r>
  <r>
    <x v="1"/>
    <x v="3"/>
    <x v="0"/>
    <x v="8"/>
    <n v="2243"/>
    <n v="2243"/>
    <n v="344"/>
  </r>
  <r>
    <x v="1"/>
    <x v="3"/>
    <x v="1"/>
    <x v="12"/>
    <n v="7944"/>
    <n v="7944"/>
    <n v="1868"/>
  </r>
  <r>
    <x v="1"/>
    <x v="3"/>
    <x v="0"/>
    <x v="2"/>
    <n v="2269"/>
    <n v="2269"/>
    <n v="341"/>
  </r>
  <r>
    <x v="1"/>
    <x v="3"/>
    <x v="0"/>
    <x v="6"/>
    <n v="2187"/>
    <n v="2187"/>
    <n v="299"/>
  </r>
  <r>
    <x v="1"/>
    <x v="3"/>
    <x v="1"/>
    <x v="8"/>
    <n v="6419"/>
    <n v="6419"/>
    <n v="1638"/>
  </r>
  <r>
    <x v="1"/>
    <x v="3"/>
    <x v="0"/>
    <x v="7"/>
    <n v="2058"/>
    <n v="2058"/>
    <n v="343"/>
  </r>
  <r>
    <x v="1"/>
    <x v="3"/>
    <x v="1"/>
    <x v="0"/>
    <n v="7400"/>
    <n v="7400"/>
    <n v="1930"/>
  </r>
  <r>
    <x v="1"/>
    <x v="3"/>
    <x v="0"/>
    <x v="3"/>
    <n v="3165"/>
    <n v="3165"/>
    <n v="441"/>
  </r>
  <r>
    <x v="1"/>
    <x v="3"/>
    <x v="0"/>
    <x v="1"/>
    <n v="3085"/>
    <n v="3085"/>
    <n v="471"/>
  </r>
  <r>
    <x v="1"/>
    <x v="3"/>
    <x v="1"/>
    <x v="15"/>
    <n v="8779"/>
    <n v="8779"/>
    <n v="2298"/>
  </r>
  <r>
    <x v="1"/>
    <x v="3"/>
    <x v="0"/>
    <x v="5"/>
    <n v="3067"/>
    <n v="3067"/>
    <n v="483"/>
  </r>
  <r>
    <x v="1"/>
    <x v="3"/>
    <x v="1"/>
    <x v="13"/>
    <n v="8073"/>
    <n v="8073"/>
    <n v="1823"/>
  </r>
  <r>
    <x v="1"/>
    <x v="3"/>
    <x v="0"/>
    <x v="4"/>
    <n v="2183"/>
    <n v="2183"/>
    <n v="352"/>
  </r>
  <r>
    <x v="1"/>
    <x v="3"/>
    <x v="0"/>
    <x v="16"/>
    <n v="2748"/>
    <n v="2748"/>
    <n v="480"/>
  </r>
  <r>
    <x v="1"/>
    <x v="3"/>
    <x v="0"/>
    <x v="0"/>
    <n v="2292"/>
    <n v="2292"/>
    <n v="394"/>
  </r>
  <r>
    <x v="1"/>
    <x v="3"/>
    <x v="0"/>
    <x v="14"/>
    <n v="2151"/>
    <n v="2151"/>
    <n v="357"/>
  </r>
  <r>
    <x v="1"/>
    <x v="3"/>
    <x v="0"/>
    <x v="15"/>
    <n v="2343"/>
    <n v="2343"/>
    <n v="373"/>
  </r>
  <r>
    <x v="1"/>
    <x v="3"/>
    <x v="1"/>
    <x v="7"/>
    <n v="1593"/>
    <n v="1593"/>
    <n v="216"/>
  </r>
  <r>
    <x v="1"/>
    <x v="3"/>
    <x v="0"/>
    <x v="9"/>
    <n v="2945"/>
    <n v="2945"/>
    <n v="409"/>
  </r>
  <r>
    <x v="1"/>
    <x v="3"/>
    <x v="1"/>
    <x v="6"/>
    <n v="4759"/>
    <n v="4759"/>
    <n v="1034"/>
  </r>
  <r>
    <x v="1"/>
    <x v="3"/>
    <x v="1"/>
    <x v="9"/>
    <n v="5147"/>
    <n v="5147"/>
    <n v="1155"/>
  </r>
  <r>
    <x v="1"/>
    <x v="3"/>
    <x v="1"/>
    <x v="5"/>
    <n v="4555"/>
    <n v="4555"/>
    <n v="1084"/>
  </r>
  <r>
    <x v="1"/>
    <x v="3"/>
    <x v="1"/>
    <x v="14"/>
    <n v="4605"/>
    <n v="4605"/>
    <n v="1067"/>
  </r>
  <r>
    <x v="1"/>
    <x v="3"/>
    <x v="1"/>
    <x v="2"/>
    <n v="8244"/>
    <n v="8244"/>
    <n v="1965"/>
  </r>
  <r>
    <x v="1"/>
    <x v="3"/>
    <x v="0"/>
    <x v="11"/>
    <n v="2360"/>
    <n v="2360"/>
    <n v="365"/>
  </r>
  <r>
    <x v="1"/>
    <x v="3"/>
    <x v="0"/>
    <x v="13"/>
    <n v="2436"/>
    <n v="2436"/>
    <n v="381"/>
  </r>
  <r>
    <x v="1"/>
    <x v="3"/>
    <x v="1"/>
    <x v="16"/>
    <n v="9929"/>
    <n v="9929"/>
    <n v="2833"/>
  </r>
  <r>
    <x v="1"/>
    <x v="3"/>
    <x v="0"/>
    <x v="12"/>
    <n v="2354"/>
    <n v="2354"/>
    <n v="373"/>
  </r>
  <r>
    <x v="1"/>
    <x v="3"/>
    <x v="0"/>
    <x v="10"/>
    <n v="2180"/>
    <n v="2180"/>
    <n v="360"/>
  </r>
  <r>
    <x v="1"/>
    <x v="3"/>
    <x v="1"/>
    <x v="4"/>
    <n v="5507"/>
    <n v="5507"/>
    <n v="1426"/>
  </r>
  <r>
    <x v="1"/>
    <x v="3"/>
    <x v="1"/>
    <x v="1"/>
    <n v="9366"/>
    <n v="9366"/>
    <n v="2241"/>
  </r>
  <r>
    <x v="1"/>
    <x v="3"/>
    <x v="1"/>
    <x v="10"/>
    <n v="2569"/>
    <n v="2569"/>
    <n v="498"/>
  </r>
  <r>
    <x v="1"/>
    <x v="4"/>
    <x v="1"/>
    <x v="10"/>
    <n v="2564"/>
    <n v="2564"/>
    <n v="585"/>
  </r>
  <r>
    <x v="1"/>
    <x v="4"/>
    <x v="1"/>
    <x v="6"/>
    <n v="5070"/>
    <n v="5070"/>
    <n v="1142"/>
  </r>
  <r>
    <x v="1"/>
    <x v="4"/>
    <x v="0"/>
    <x v="16"/>
    <n v="2887"/>
    <n v="2887"/>
    <n v="607"/>
  </r>
  <r>
    <x v="1"/>
    <x v="4"/>
    <x v="0"/>
    <x v="12"/>
    <n v="2332"/>
    <n v="2332"/>
    <n v="399"/>
  </r>
  <r>
    <x v="1"/>
    <x v="4"/>
    <x v="0"/>
    <x v="13"/>
    <n v="2426"/>
    <n v="2426"/>
    <n v="448"/>
  </r>
  <r>
    <x v="1"/>
    <x v="4"/>
    <x v="1"/>
    <x v="11"/>
    <n v="3432"/>
    <n v="3432"/>
    <n v="784"/>
  </r>
  <r>
    <x v="1"/>
    <x v="4"/>
    <x v="0"/>
    <x v="7"/>
    <n v="1990"/>
    <n v="1990"/>
    <n v="356"/>
  </r>
  <r>
    <x v="1"/>
    <x v="4"/>
    <x v="0"/>
    <x v="5"/>
    <n v="3094"/>
    <n v="3094"/>
    <n v="579"/>
  </r>
  <r>
    <x v="1"/>
    <x v="4"/>
    <x v="0"/>
    <x v="4"/>
    <n v="2163"/>
    <n v="2163"/>
    <n v="430"/>
  </r>
  <r>
    <x v="1"/>
    <x v="4"/>
    <x v="1"/>
    <x v="9"/>
    <n v="5442"/>
    <n v="5442"/>
    <n v="1215"/>
  </r>
  <r>
    <x v="1"/>
    <x v="4"/>
    <x v="1"/>
    <x v="5"/>
    <n v="4715"/>
    <n v="4715"/>
    <n v="1110"/>
  </r>
  <r>
    <x v="1"/>
    <x v="4"/>
    <x v="1"/>
    <x v="15"/>
    <n v="9464"/>
    <n v="9464"/>
    <n v="2523"/>
  </r>
  <r>
    <x v="1"/>
    <x v="4"/>
    <x v="1"/>
    <x v="13"/>
    <n v="8863"/>
    <n v="8863"/>
    <n v="2068"/>
  </r>
  <r>
    <x v="1"/>
    <x v="4"/>
    <x v="0"/>
    <x v="14"/>
    <n v="2200"/>
    <n v="2200"/>
    <n v="412"/>
  </r>
  <r>
    <x v="1"/>
    <x v="4"/>
    <x v="1"/>
    <x v="4"/>
    <n v="5883"/>
    <n v="5883"/>
    <n v="1488"/>
  </r>
  <r>
    <x v="1"/>
    <x v="4"/>
    <x v="0"/>
    <x v="0"/>
    <n v="2416"/>
    <n v="2416"/>
    <n v="482"/>
  </r>
  <r>
    <x v="1"/>
    <x v="4"/>
    <x v="1"/>
    <x v="12"/>
    <n v="8530"/>
    <n v="8530"/>
    <n v="2073"/>
  </r>
  <r>
    <x v="1"/>
    <x v="4"/>
    <x v="0"/>
    <x v="1"/>
    <n v="3119"/>
    <n v="3119"/>
    <n v="611"/>
  </r>
  <r>
    <x v="1"/>
    <x v="4"/>
    <x v="0"/>
    <x v="8"/>
    <n v="2175"/>
    <n v="2175"/>
    <n v="422"/>
  </r>
  <r>
    <x v="1"/>
    <x v="4"/>
    <x v="1"/>
    <x v="7"/>
    <n v="1596"/>
    <n v="1596"/>
    <n v="221"/>
  </r>
  <r>
    <x v="1"/>
    <x v="4"/>
    <x v="0"/>
    <x v="3"/>
    <n v="3069"/>
    <n v="3069"/>
    <n v="504"/>
  </r>
  <r>
    <x v="1"/>
    <x v="4"/>
    <x v="1"/>
    <x v="2"/>
    <n v="8618"/>
    <n v="8618"/>
    <n v="2145"/>
  </r>
  <r>
    <x v="1"/>
    <x v="4"/>
    <x v="1"/>
    <x v="3"/>
    <n v="10082"/>
    <n v="10082"/>
    <n v="2255"/>
  </r>
  <r>
    <x v="1"/>
    <x v="4"/>
    <x v="1"/>
    <x v="14"/>
    <n v="5160"/>
    <n v="5160"/>
    <n v="1232"/>
  </r>
  <r>
    <x v="1"/>
    <x v="4"/>
    <x v="1"/>
    <x v="0"/>
    <n v="7838"/>
    <n v="7838"/>
    <n v="2082"/>
  </r>
  <r>
    <x v="1"/>
    <x v="4"/>
    <x v="1"/>
    <x v="1"/>
    <n v="9954"/>
    <n v="9954"/>
    <n v="2391"/>
  </r>
  <r>
    <x v="1"/>
    <x v="4"/>
    <x v="0"/>
    <x v="15"/>
    <n v="2536"/>
    <n v="2536"/>
    <n v="496"/>
  </r>
  <r>
    <x v="1"/>
    <x v="4"/>
    <x v="1"/>
    <x v="16"/>
    <n v="10783"/>
    <n v="10783"/>
    <n v="3062"/>
  </r>
  <r>
    <x v="1"/>
    <x v="4"/>
    <x v="0"/>
    <x v="10"/>
    <n v="2191"/>
    <n v="2191"/>
    <n v="413"/>
  </r>
  <r>
    <x v="1"/>
    <x v="4"/>
    <x v="0"/>
    <x v="11"/>
    <n v="2385"/>
    <n v="2385"/>
    <n v="497"/>
  </r>
  <r>
    <x v="1"/>
    <x v="4"/>
    <x v="0"/>
    <x v="2"/>
    <n v="2294"/>
    <n v="2294"/>
    <n v="413"/>
  </r>
  <r>
    <x v="1"/>
    <x v="4"/>
    <x v="1"/>
    <x v="8"/>
    <n v="6821"/>
    <n v="6821"/>
    <n v="1765"/>
  </r>
  <r>
    <x v="1"/>
    <x v="4"/>
    <x v="0"/>
    <x v="9"/>
    <n v="2978"/>
    <n v="2978"/>
    <n v="473"/>
  </r>
  <r>
    <x v="1"/>
    <x v="4"/>
    <x v="0"/>
    <x v="6"/>
    <n v="2421"/>
    <n v="2421"/>
    <n v="417"/>
  </r>
  <r>
    <x v="1"/>
    <x v="5"/>
    <x v="1"/>
    <x v="13"/>
    <n v="8465"/>
    <n v="8465"/>
    <n v="2049"/>
  </r>
  <r>
    <x v="1"/>
    <x v="5"/>
    <x v="0"/>
    <x v="9"/>
    <n v="2966"/>
    <n v="2966"/>
    <n v="504"/>
  </r>
  <r>
    <x v="1"/>
    <x v="5"/>
    <x v="1"/>
    <x v="6"/>
    <n v="4968"/>
    <n v="4968"/>
    <n v="1053"/>
  </r>
  <r>
    <x v="1"/>
    <x v="5"/>
    <x v="1"/>
    <x v="5"/>
    <n v="4652"/>
    <n v="4652"/>
    <n v="1057"/>
  </r>
  <r>
    <x v="1"/>
    <x v="5"/>
    <x v="1"/>
    <x v="3"/>
    <n v="10038"/>
    <n v="10038"/>
    <n v="2235"/>
  </r>
  <r>
    <x v="1"/>
    <x v="5"/>
    <x v="0"/>
    <x v="7"/>
    <n v="2081"/>
    <n v="2081"/>
    <n v="361"/>
  </r>
  <r>
    <x v="1"/>
    <x v="5"/>
    <x v="0"/>
    <x v="5"/>
    <n v="3014"/>
    <n v="3014"/>
    <n v="518"/>
  </r>
  <r>
    <x v="1"/>
    <x v="5"/>
    <x v="0"/>
    <x v="15"/>
    <n v="2428"/>
    <n v="2428"/>
    <n v="445"/>
  </r>
  <r>
    <x v="1"/>
    <x v="5"/>
    <x v="1"/>
    <x v="11"/>
    <n v="3180"/>
    <n v="3180"/>
    <n v="716"/>
  </r>
  <r>
    <x v="1"/>
    <x v="5"/>
    <x v="1"/>
    <x v="10"/>
    <n v="2590"/>
    <n v="2590"/>
    <n v="539"/>
  </r>
  <r>
    <x v="1"/>
    <x v="5"/>
    <x v="0"/>
    <x v="3"/>
    <n v="2986"/>
    <n v="2986"/>
    <n v="475"/>
  </r>
  <r>
    <x v="1"/>
    <x v="5"/>
    <x v="0"/>
    <x v="14"/>
    <n v="2188"/>
    <n v="2188"/>
    <n v="401"/>
  </r>
  <r>
    <x v="1"/>
    <x v="5"/>
    <x v="0"/>
    <x v="13"/>
    <n v="2377"/>
    <n v="2377"/>
    <n v="396"/>
  </r>
  <r>
    <x v="1"/>
    <x v="5"/>
    <x v="1"/>
    <x v="16"/>
    <n v="10283"/>
    <n v="10283"/>
    <n v="2886"/>
  </r>
  <r>
    <x v="1"/>
    <x v="5"/>
    <x v="0"/>
    <x v="12"/>
    <n v="2301"/>
    <n v="2301"/>
    <n v="403"/>
  </r>
  <r>
    <x v="1"/>
    <x v="5"/>
    <x v="0"/>
    <x v="8"/>
    <n v="2247"/>
    <n v="2247"/>
    <n v="378"/>
  </r>
  <r>
    <x v="1"/>
    <x v="5"/>
    <x v="1"/>
    <x v="2"/>
    <n v="8469"/>
    <n v="8469"/>
    <n v="2080"/>
  </r>
  <r>
    <x v="1"/>
    <x v="5"/>
    <x v="1"/>
    <x v="12"/>
    <n v="8355"/>
    <n v="8355"/>
    <n v="1967"/>
  </r>
  <r>
    <x v="1"/>
    <x v="5"/>
    <x v="1"/>
    <x v="15"/>
    <n v="9227"/>
    <n v="9227"/>
    <n v="2394"/>
  </r>
  <r>
    <x v="1"/>
    <x v="5"/>
    <x v="0"/>
    <x v="16"/>
    <n v="2795"/>
    <n v="2795"/>
    <n v="522"/>
  </r>
  <r>
    <x v="1"/>
    <x v="5"/>
    <x v="1"/>
    <x v="9"/>
    <n v="5296"/>
    <n v="5296"/>
    <n v="1136"/>
  </r>
  <r>
    <x v="1"/>
    <x v="5"/>
    <x v="1"/>
    <x v="8"/>
    <n v="6643"/>
    <n v="6643"/>
    <n v="1637"/>
  </r>
  <r>
    <x v="1"/>
    <x v="5"/>
    <x v="1"/>
    <x v="0"/>
    <n v="7500"/>
    <n v="7500"/>
    <n v="2105"/>
  </r>
  <r>
    <x v="1"/>
    <x v="5"/>
    <x v="1"/>
    <x v="1"/>
    <n v="10008"/>
    <n v="10008"/>
    <n v="2341"/>
  </r>
  <r>
    <x v="1"/>
    <x v="5"/>
    <x v="0"/>
    <x v="10"/>
    <n v="2138"/>
    <n v="2138"/>
    <n v="359"/>
  </r>
  <r>
    <x v="1"/>
    <x v="5"/>
    <x v="0"/>
    <x v="1"/>
    <n v="3101"/>
    <n v="3101"/>
    <n v="601"/>
  </r>
  <r>
    <x v="1"/>
    <x v="5"/>
    <x v="1"/>
    <x v="7"/>
    <n v="1597"/>
    <n v="1597"/>
    <n v="233"/>
  </r>
  <r>
    <x v="1"/>
    <x v="5"/>
    <x v="0"/>
    <x v="4"/>
    <n v="2194"/>
    <n v="2194"/>
    <n v="383"/>
  </r>
  <r>
    <x v="1"/>
    <x v="5"/>
    <x v="0"/>
    <x v="2"/>
    <n v="2282"/>
    <n v="2282"/>
    <n v="438"/>
  </r>
  <r>
    <x v="1"/>
    <x v="5"/>
    <x v="1"/>
    <x v="4"/>
    <n v="5680"/>
    <n v="5680"/>
    <n v="1418"/>
  </r>
  <r>
    <x v="1"/>
    <x v="5"/>
    <x v="1"/>
    <x v="14"/>
    <n v="4949"/>
    <n v="4949"/>
    <n v="1102"/>
  </r>
  <r>
    <x v="1"/>
    <x v="5"/>
    <x v="0"/>
    <x v="0"/>
    <n v="2342"/>
    <n v="2342"/>
    <n v="428"/>
  </r>
  <r>
    <x v="1"/>
    <x v="5"/>
    <x v="0"/>
    <x v="11"/>
    <n v="2342"/>
    <n v="2342"/>
    <n v="464"/>
  </r>
  <r>
    <x v="1"/>
    <x v="5"/>
    <x v="0"/>
    <x v="6"/>
    <n v="2386"/>
    <n v="2386"/>
    <n v="3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x v="0"/>
    <x v="0"/>
    <n v="48624"/>
  </r>
  <r>
    <x v="0"/>
    <x v="1"/>
    <n v="42297"/>
  </r>
  <r>
    <x v="0"/>
    <x v="2"/>
    <n v="29497"/>
  </r>
  <r>
    <x v="0"/>
    <x v="3"/>
    <n v="10950"/>
  </r>
  <r>
    <x v="0"/>
    <x v="4"/>
    <n v="6743"/>
  </r>
  <r>
    <x v="0"/>
    <x v="5"/>
    <n v="4202"/>
  </r>
  <r>
    <x v="0"/>
    <x v="6"/>
    <n v="3109"/>
  </r>
  <r>
    <x v="0"/>
    <x v="7"/>
    <n v="2131"/>
  </r>
  <r>
    <x v="0"/>
    <x v="8"/>
    <n v="1915"/>
  </r>
  <r>
    <x v="0"/>
    <x v="9"/>
    <n v="1348"/>
  </r>
  <r>
    <x v="0"/>
    <x v="10"/>
    <n v="1182"/>
  </r>
  <r>
    <x v="0"/>
    <x v="11"/>
    <n v="891"/>
  </r>
  <r>
    <x v="0"/>
    <x v="12"/>
    <n v="766"/>
  </r>
  <r>
    <x v="0"/>
    <x v="13"/>
    <n v="596"/>
  </r>
  <r>
    <x v="0"/>
    <x v="14"/>
    <n v="576"/>
  </r>
  <r>
    <x v="0"/>
    <x v="15"/>
    <n v="475"/>
  </r>
  <r>
    <x v="0"/>
    <x v="16"/>
    <n v="429"/>
  </r>
  <r>
    <x v="0"/>
    <x v="17"/>
    <n v="348"/>
  </r>
  <r>
    <x v="0"/>
    <x v="18"/>
    <n v="337"/>
  </r>
  <r>
    <x v="0"/>
    <x v="19"/>
    <n v="267"/>
  </r>
  <r>
    <x v="0"/>
    <x v="20"/>
    <n v="277"/>
  </r>
  <r>
    <x v="0"/>
    <x v="21"/>
    <n v="212"/>
  </r>
  <r>
    <x v="0"/>
    <x v="22"/>
    <n v="213"/>
  </r>
  <r>
    <x v="0"/>
    <x v="23"/>
    <n v="168"/>
  </r>
  <r>
    <x v="0"/>
    <x v="24"/>
    <n v="139"/>
  </r>
  <r>
    <x v="0"/>
    <x v="25"/>
    <n v="131"/>
  </r>
  <r>
    <x v="0"/>
    <x v="26"/>
    <n v="129"/>
  </r>
  <r>
    <x v="0"/>
    <x v="27"/>
    <n v="120"/>
  </r>
  <r>
    <x v="0"/>
    <x v="28"/>
    <n v="102"/>
  </r>
  <r>
    <x v="0"/>
    <x v="29"/>
    <n v="82"/>
  </r>
  <r>
    <x v="0"/>
    <x v="30"/>
    <n v="90"/>
  </r>
  <r>
    <x v="0"/>
    <x v="31"/>
    <n v="84"/>
  </r>
  <r>
    <x v="0"/>
    <x v="32"/>
    <n v="70"/>
  </r>
  <r>
    <x v="0"/>
    <x v="33"/>
    <n v="63"/>
  </r>
  <r>
    <x v="0"/>
    <x v="34"/>
    <n v="65"/>
  </r>
  <r>
    <x v="0"/>
    <x v="35"/>
    <n v="62"/>
  </r>
  <r>
    <x v="0"/>
    <x v="36"/>
    <n v="47"/>
  </r>
  <r>
    <x v="0"/>
    <x v="37"/>
    <n v="55"/>
  </r>
  <r>
    <x v="0"/>
    <x v="38"/>
    <n v="50"/>
  </r>
  <r>
    <x v="0"/>
    <x v="39"/>
    <n v="37"/>
  </r>
  <r>
    <x v="0"/>
    <x v="40"/>
    <n v="53"/>
  </r>
  <r>
    <x v="0"/>
    <x v="41"/>
    <n v="45"/>
  </r>
  <r>
    <x v="0"/>
    <x v="42"/>
    <n v="37"/>
  </r>
  <r>
    <x v="0"/>
    <x v="43"/>
    <n v="29"/>
  </r>
  <r>
    <x v="0"/>
    <x v="44"/>
    <n v="28"/>
  </r>
  <r>
    <x v="0"/>
    <x v="45"/>
    <n v="42"/>
  </r>
  <r>
    <x v="0"/>
    <x v="46"/>
    <n v="24"/>
  </r>
  <r>
    <x v="0"/>
    <x v="47"/>
    <n v="26"/>
  </r>
  <r>
    <x v="0"/>
    <x v="48"/>
    <n v="27"/>
  </r>
  <r>
    <x v="0"/>
    <x v="49"/>
    <n v="21"/>
  </r>
  <r>
    <x v="0"/>
    <x v="50"/>
    <n v="15"/>
  </r>
  <r>
    <x v="0"/>
    <x v="51"/>
    <n v="17"/>
  </r>
  <r>
    <x v="0"/>
    <x v="52"/>
    <n v="17"/>
  </r>
  <r>
    <x v="0"/>
    <x v="53"/>
    <n v="20"/>
  </r>
  <r>
    <x v="0"/>
    <x v="54"/>
    <n v="26"/>
  </r>
  <r>
    <x v="0"/>
    <x v="55"/>
    <n v="19"/>
  </r>
  <r>
    <x v="0"/>
    <x v="56"/>
    <n v="21"/>
  </r>
  <r>
    <x v="0"/>
    <x v="57"/>
    <n v="17"/>
  </r>
  <r>
    <x v="0"/>
    <x v="58"/>
    <n v="18"/>
  </r>
  <r>
    <x v="0"/>
    <x v="59"/>
    <n v="13"/>
  </r>
  <r>
    <x v="0"/>
    <x v="60"/>
    <n v="9"/>
  </r>
  <r>
    <x v="0"/>
    <x v="61"/>
    <n v="8"/>
  </r>
  <r>
    <x v="0"/>
    <x v="62"/>
    <n v="11"/>
  </r>
  <r>
    <x v="0"/>
    <x v="63"/>
    <n v="8"/>
  </r>
  <r>
    <x v="0"/>
    <x v="64"/>
    <n v="13"/>
  </r>
  <r>
    <x v="0"/>
    <x v="65"/>
    <n v="9"/>
  </r>
  <r>
    <x v="0"/>
    <x v="66"/>
    <n v="14"/>
  </r>
  <r>
    <x v="0"/>
    <x v="67"/>
    <n v="5"/>
  </r>
  <r>
    <x v="0"/>
    <x v="68"/>
    <n v="10"/>
  </r>
  <r>
    <x v="0"/>
    <x v="69"/>
    <n v="11"/>
  </r>
  <r>
    <x v="0"/>
    <x v="70"/>
    <n v="8"/>
  </r>
  <r>
    <x v="0"/>
    <x v="71"/>
    <n v="6"/>
  </r>
  <r>
    <x v="0"/>
    <x v="72"/>
    <n v="9"/>
  </r>
  <r>
    <x v="0"/>
    <x v="73"/>
    <n v="3"/>
  </r>
  <r>
    <x v="0"/>
    <x v="74"/>
    <n v="8"/>
  </r>
  <r>
    <x v="0"/>
    <x v="75"/>
    <n v="3"/>
  </r>
  <r>
    <x v="0"/>
    <x v="76"/>
    <n v="6"/>
  </r>
  <r>
    <x v="0"/>
    <x v="77"/>
    <n v="5"/>
  </r>
  <r>
    <x v="0"/>
    <x v="78"/>
    <n v="6"/>
  </r>
  <r>
    <x v="0"/>
    <x v="79"/>
    <n v="5"/>
  </r>
  <r>
    <x v="0"/>
    <x v="80"/>
    <n v="5"/>
  </r>
  <r>
    <x v="0"/>
    <x v="81"/>
    <n v="3"/>
  </r>
  <r>
    <x v="0"/>
    <x v="82"/>
    <n v="5"/>
  </r>
  <r>
    <x v="0"/>
    <x v="83"/>
    <n v="4"/>
  </r>
  <r>
    <x v="0"/>
    <x v="84"/>
    <n v="7"/>
  </r>
  <r>
    <x v="0"/>
    <x v="85"/>
    <n v="5"/>
  </r>
  <r>
    <x v="0"/>
    <x v="86"/>
    <n v="8"/>
  </r>
  <r>
    <x v="0"/>
    <x v="87"/>
    <n v="4"/>
  </r>
  <r>
    <x v="0"/>
    <x v="88"/>
    <n v="5"/>
  </r>
  <r>
    <x v="0"/>
    <x v="89"/>
    <n v="4"/>
  </r>
  <r>
    <x v="0"/>
    <x v="90"/>
    <n v="8"/>
  </r>
  <r>
    <x v="0"/>
    <x v="91"/>
    <n v="2"/>
  </r>
  <r>
    <x v="0"/>
    <x v="92"/>
    <n v="5"/>
  </r>
  <r>
    <x v="0"/>
    <x v="93"/>
    <n v="1"/>
  </r>
  <r>
    <x v="0"/>
    <x v="94"/>
    <n v="2"/>
  </r>
  <r>
    <x v="0"/>
    <x v="95"/>
    <n v="3"/>
  </r>
  <r>
    <x v="0"/>
    <x v="96"/>
    <n v="2"/>
  </r>
  <r>
    <x v="0"/>
    <x v="97"/>
    <n v="2"/>
  </r>
  <r>
    <x v="0"/>
    <x v="98"/>
    <n v="2"/>
  </r>
  <r>
    <x v="0"/>
    <x v="99"/>
    <n v="2"/>
  </r>
  <r>
    <x v="0"/>
    <x v="100"/>
    <n v="3"/>
  </r>
  <r>
    <x v="0"/>
    <x v="101"/>
    <n v="1"/>
  </r>
  <r>
    <x v="0"/>
    <x v="102"/>
    <n v="6"/>
  </r>
  <r>
    <x v="0"/>
    <x v="103"/>
    <n v="2"/>
  </r>
  <r>
    <x v="0"/>
    <x v="104"/>
    <n v="2"/>
  </r>
  <r>
    <x v="0"/>
    <x v="105"/>
    <n v="2"/>
  </r>
  <r>
    <x v="0"/>
    <x v="106"/>
    <n v="4"/>
  </r>
  <r>
    <x v="0"/>
    <x v="107"/>
    <n v="1"/>
  </r>
  <r>
    <x v="0"/>
    <x v="108"/>
    <n v="2"/>
  </r>
  <r>
    <x v="0"/>
    <x v="109"/>
    <n v="2"/>
  </r>
  <r>
    <x v="0"/>
    <x v="110"/>
    <n v="2"/>
  </r>
  <r>
    <x v="0"/>
    <x v="111"/>
    <n v="1"/>
  </r>
  <r>
    <x v="0"/>
    <x v="112"/>
    <n v="3"/>
  </r>
  <r>
    <x v="0"/>
    <x v="113"/>
    <n v="1"/>
  </r>
  <r>
    <x v="0"/>
    <x v="114"/>
    <n v="3"/>
  </r>
  <r>
    <x v="0"/>
    <x v="115"/>
    <n v="1"/>
  </r>
  <r>
    <x v="0"/>
    <x v="116"/>
    <n v="4"/>
  </r>
  <r>
    <x v="0"/>
    <x v="117"/>
    <n v="2"/>
  </r>
  <r>
    <x v="0"/>
    <x v="118"/>
    <n v="3"/>
  </r>
  <r>
    <x v="0"/>
    <x v="119"/>
    <n v="1"/>
  </r>
  <r>
    <x v="0"/>
    <x v="120"/>
    <n v="1"/>
  </r>
  <r>
    <x v="0"/>
    <x v="121"/>
    <n v="5"/>
  </r>
  <r>
    <x v="0"/>
    <x v="122"/>
    <n v="2"/>
  </r>
  <r>
    <x v="0"/>
    <x v="123"/>
    <n v="2"/>
  </r>
  <r>
    <x v="0"/>
    <x v="124"/>
    <n v="3"/>
  </r>
  <r>
    <x v="0"/>
    <x v="125"/>
    <n v="1"/>
  </r>
  <r>
    <x v="0"/>
    <x v="126"/>
    <n v="3"/>
  </r>
  <r>
    <x v="0"/>
    <x v="127"/>
    <n v="2"/>
  </r>
  <r>
    <x v="0"/>
    <x v="128"/>
    <n v="4"/>
  </r>
  <r>
    <x v="0"/>
    <x v="129"/>
    <n v="1"/>
  </r>
  <r>
    <x v="0"/>
    <x v="130"/>
    <n v="1"/>
  </r>
  <r>
    <x v="0"/>
    <x v="131"/>
    <n v="1"/>
  </r>
  <r>
    <x v="0"/>
    <x v="132"/>
    <n v="3"/>
  </r>
  <r>
    <x v="0"/>
    <x v="133"/>
    <n v="2"/>
  </r>
  <r>
    <x v="0"/>
    <x v="134"/>
    <n v="1"/>
  </r>
  <r>
    <x v="0"/>
    <x v="135"/>
    <n v="3"/>
  </r>
  <r>
    <x v="0"/>
    <x v="136"/>
    <n v="1"/>
  </r>
  <r>
    <x v="0"/>
    <x v="137"/>
    <n v="1"/>
  </r>
  <r>
    <x v="0"/>
    <x v="138"/>
    <n v="1"/>
  </r>
  <r>
    <x v="0"/>
    <x v="139"/>
    <n v="1"/>
  </r>
  <r>
    <x v="0"/>
    <x v="140"/>
    <n v="1"/>
  </r>
  <r>
    <x v="0"/>
    <x v="141"/>
    <n v="1"/>
  </r>
  <r>
    <x v="0"/>
    <x v="142"/>
    <n v="2"/>
  </r>
  <r>
    <x v="0"/>
    <x v="143"/>
    <n v="1"/>
  </r>
  <r>
    <x v="0"/>
    <x v="144"/>
    <n v="1"/>
  </r>
  <r>
    <x v="0"/>
    <x v="145"/>
    <n v="1"/>
  </r>
  <r>
    <x v="0"/>
    <x v="146"/>
    <n v="1"/>
  </r>
  <r>
    <x v="0"/>
    <x v="147"/>
    <n v="1"/>
  </r>
  <r>
    <x v="0"/>
    <x v="148"/>
    <n v="1"/>
  </r>
  <r>
    <x v="0"/>
    <x v="149"/>
    <n v="2"/>
  </r>
  <r>
    <x v="0"/>
    <x v="150"/>
    <n v="1"/>
  </r>
  <r>
    <x v="0"/>
    <x v="151"/>
    <n v="1"/>
  </r>
  <r>
    <x v="0"/>
    <x v="152"/>
    <n v="1"/>
  </r>
  <r>
    <x v="0"/>
    <x v="153"/>
    <n v="1"/>
  </r>
  <r>
    <x v="0"/>
    <x v="154"/>
    <n v="1"/>
  </r>
  <r>
    <x v="0"/>
    <x v="155"/>
    <n v="1"/>
  </r>
  <r>
    <x v="0"/>
    <x v="156"/>
    <n v="1"/>
  </r>
  <r>
    <x v="0"/>
    <x v="157"/>
    <n v="1"/>
  </r>
  <r>
    <x v="0"/>
    <x v="158"/>
    <n v="2"/>
  </r>
  <r>
    <x v="0"/>
    <x v="159"/>
    <n v="1"/>
  </r>
  <r>
    <x v="0"/>
    <x v="160"/>
    <n v="2"/>
  </r>
  <r>
    <x v="0"/>
    <x v="161"/>
    <n v="1"/>
  </r>
  <r>
    <x v="0"/>
    <x v="162"/>
    <n v="1"/>
  </r>
  <r>
    <x v="0"/>
    <x v="163"/>
    <n v="1"/>
  </r>
  <r>
    <x v="0"/>
    <x v="164"/>
    <n v="1"/>
  </r>
  <r>
    <x v="0"/>
    <x v="165"/>
    <n v="1"/>
  </r>
  <r>
    <x v="0"/>
    <x v="166"/>
    <n v="1"/>
  </r>
  <r>
    <x v="0"/>
    <x v="167"/>
    <n v="1"/>
  </r>
  <r>
    <x v="0"/>
    <x v="168"/>
    <n v="1"/>
  </r>
  <r>
    <x v="0"/>
    <x v="169"/>
    <n v="1"/>
  </r>
  <r>
    <x v="0"/>
    <x v="170"/>
    <n v="1"/>
  </r>
  <r>
    <x v="0"/>
    <x v="171"/>
    <n v="1"/>
  </r>
  <r>
    <x v="0"/>
    <x v="172"/>
    <n v="1"/>
  </r>
  <r>
    <x v="0"/>
    <x v="173"/>
    <n v="1"/>
  </r>
  <r>
    <x v="0"/>
    <x v="174"/>
    <n v="1"/>
  </r>
  <r>
    <x v="0"/>
    <x v="175"/>
    <n v="1"/>
  </r>
  <r>
    <x v="0"/>
    <x v="176"/>
    <n v="1"/>
  </r>
  <r>
    <x v="0"/>
    <x v="177"/>
    <n v="1"/>
  </r>
  <r>
    <x v="0"/>
    <x v="178"/>
    <n v="2"/>
  </r>
  <r>
    <x v="0"/>
    <x v="179"/>
    <n v="2"/>
  </r>
  <r>
    <x v="0"/>
    <x v="180"/>
    <n v="1"/>
  </r>
  <r>
    <x v="0"/>
    <x v="181"/>
    <n v="1"/>
  </r>
  <r>
    <x v="0"/>
    <x v="182"/>
    <n v="1"/>
  </r>
  <r>
    <x v="0"/>
    <x v="183"/>
    <n v="1"/>
  </r>
  <r>
    <x v="0"/>
    <x v="184"/>
    <n v="1"/>
  </r>
  <r>
    <x v="0"/>
    <x v="185"/>
    <n v="1"/>
  </r>
  <r>
    <x v="0"/>
    <x v="186"/>
    <n v="1"/>
  </r>
  <r>
    <x v="0"/>
    <x v="187"/>
    <n v="1"/>
  </r>
  <r>
    <x v="0"/>
    <x v="188"/>
    <n v="1"/>
  </r>
  <r>
    <x v="0"/>
    <x v="189"/>
    <n v="1"/>
  </r>
  <r>
    <x v="0"/>
    <x v="190"/>
    <n v="1"/>
  </r>
  <r>
    <x v="0"/>
    <x v="191"/>
    <n v="1"/>
  </r>
  <r>
    <x v="0"/>
    <x v="192"/>
    <n v="1"/>
  </r>
  <r>
    <x v="0"/>
    <x v="193"/>
    <n v="1"/>
  </r>
  <r>
    <x v="0"/>
    <x v="194"/>
    <n v="1"/>
  </r>
  <r>
    <x v="0"/>
    <x v="195"/>
    <n v="1"/>
  </r>
  <r>
    <x v="0"/>
    <x v="196"/>
    <n v="1"/>
  </r>
  <r>
    <x v="0"/>
    <x v="197"/>
    <n v="1"/>
  </r>
  <r>
    <x v="0"/>
    <x v="198"/>
    <n v="1"/>
  </r>
  <r>
    <x v="0"/>
    <x v="199"/>
    <n v="1"/>
  </r>
  <r>
    <x v="0"/>
    <x v="200"/>
    <n v="1"/>
  </r>
  <r>
    <x v="0"/>
    <x v="201"/>
    <n v="1"/>
  </r>
  <r>
    <x v="0"/>
    <x v="202"/>
    <n v="1"/>
  </r>
  <r>
    <x v="1"/>
    <x v="0"/>
    <n v="55736"/>
  </r>
  <r>
    <x v="1"/>
    <x v="1"/>
    <n v="40519"/>
  </r>
  <r>
    <x v="1"/>
    <x v="2"/>
    <n v="24277"/>
  </r>
  <r>
    <x v="1"/>
    <x v="3"/>
    <n v="10344"/>
  </r>
  <r>
    <x v="1"/>
    <x v="4"/>
    <n v="6475"/>
  </r>
  <r>
    <x v="1"/>
    <x v="5"/>
    <n v="4176"/>
  </r>
  <r>
    <x v="1"/>
    <x v="6"/>
    <n v="3084"/>
  </r>
  <r>
    <x v="1"/>
    <x v="7"/>
    <n v="2181"/>
  </r>
  <r>
    <x v="1"/>
    <x v="8"/>
    <n v="1849"/>
  </r>
  <r>
    <x v="1"/>
    <x v="9"/>
    <n v="1390"/>
  </r>
  <r>
    <x v="1"/>
    <x v="10"/>
    <n v="1153"/>
  </r>
  <r>
    <x v="1"/>
    <x v="11"/>
    <n v="869"/>
  </r>
  <r>
    <x v="1"/>
    <x v="12"/>
    <n v="760"/>
  </r>
  <r>
    <x v="1"/>
    <x v="13"/>
    <n v="623"/>
  </r>
  <r>
    <x v="1"/>
    <x v="14"/>
    <n v="590"/>
  </r>
  <r>
    <x v="1"/>
    <x v="15"/>
    <n v="488"/>
  </r>
  <r>
    <x v="1"/>
    <x v="16"/>
    <n v="421"/>
  </r>
  <r>
    <x v="1"/>
    <x v="17"/>
    <n v="367"/>
  </r>
  <r>
    <x v="1"/>
    <x v="18"/>
    <n v="301"/>
  </r>
  <r>
    <x v="1"/>
    <x v="19"/>
    <n v="274"/>
  </r>
  <r>
    <x v="1"/>
    <x v="20"/>
    <n v="270"/>
  </r>
  <r>
    <x v="1"/>
    <x v="21"/>
    <n v="206"/>
  </r>
  <r>
    <x v="1"/>
    <x v="22"/>
    <n v="198"/>
  </r>
  <r>
    <x v="1"/>
    <x v="23"/>
    <n v="163"/>
  </r>
  <r>
    <x v="1"/>
    <x v="24"/>
    <n v="162"/>
  </r>
  <r>
    <x v="1"/>
    <x v="25"/>
    <n v="124"/>
  </r>
  <r>
    <x v="1"/>
    <x v="26"/>
    <n v="159"/>
  </r>
  <r>
    <x v="1"/>
    <x v="27"/>
    <n v="119"/>
  </r>
  <r>
    <x v="1"/>
    <x v="28"/>
    <n v="97"/>
  </r>
  <r>
    <x v="1"/>
    <x v="29"/>
    <n v="86"/>
  </r>
  <r>
    <x v="1"/>
    <x v="30"/>
    <n v="91"/>
  </r>
  <r>
    <x v="1"/>
    <x v="31"/>
    <n v="90"/>
  </r>
  <r>
    <x v="1"/>
    <x v="32"/>
    <n v="65"/>
  </r>
  <r>
    <x v="1"/>
    <x v="33"/>
    <n v="69"/>
  </r>
  <r>
    <x v="1"/>
    <x v="34"/>
    <n v="67"/>
  </r>
  <r>
    <x v="1"/>
    <x v="35"/>
    <n v="61"/>
  </r>
  <r>
    <x v="1"/>
    <x v="36"/>
    <n v="60"/>
  </r>
  <r>
    <x v="1"/>
    <x v="37"/>
    <n v="37"/>
  </r>
  <r>
    <x v="1"/>
    <x v="38"/>
    <n v="40"/>
  </r>
  <r>
    <x v="1"/>
    <x v="39"/>
    <n v="48"/>
  </r>
  <r>
    <x v="1"/>
    <x v="40"/>
    <n v="39"/>
  </r>
  <r>
    <x v="1"/>
    <x v="41"/>
    <n v="33"/>
  </r>
  <r>
    <x v="1"/>
    <x v="42"/>
    <n v="35"/>
  </r>
  <r>
    <x v="1"/>
    <x v="43"/>
    <n v="30"/>
  </r>
  <r>
    <x v="1"/>
    <x v="44"/>
    <n v="31"/>
  </r>
  <r>
    <x v="1"/>
    <x v="45"/>
    <n v="28"/>
  </r>
  <r>
    <x v="1"/>
    <x v="46"/>
    <n v="30"/>
  </r>
  <r>
    <x v="1"/>
    <x v="47"/>
    <n v="18"/>
  </r>
  <r>
    <x v="1"/>
    <x v="48"/>
    <n v="25"/>
  </r>
  <r>
    <x v="1"/>
    <x v="49"/>
    <n v="14"/>
  </r>
  <r>
    <x v="1"/>
    <x v="50"/>
    <n v="22"/>
  </r>
  <r>
    <x v="1"/>
    <x v="51"/>
    <n v="28"/>
  </r>
  <r>
    <x v="1"/>
    <x v="52"/>
    <n v="16"/>
  </r>
  <r>
    <x v="1"/>
    <x v="53"/>
    <n v="15"/>
  </r>
  <r>
    <x v="1"/>
    <x v="54"/>
    <n v="23"/>
  </r>
  <r>
    <x v="1"/>
    <x v="55"/>
    <n v="17"/>
  </r>
  <r>
    <x v="1"/>
    <x v="56"/>
    <n v="15"/>
  </r>
  <r>
    <x v="1"/>
    <x v="57"/>
    <n v="9"/>
  </r>
  <r>
    <x v="1"/>
    <x v="58"/>
    <n v="15"/>
  </r>
  <r>
    <x v="1"/>
    <x v="59"/>
    <n v="14"/>
  </r>
  <r>
    <x v="1"/>
    <x v="60"/>
    <n v="18"/>
  </r>
  <r>
    <x v="1"/>
    <x v="61"/>
    <n v="11"/>
  </r>
  <r>
    <x v="1"/>
    <x v="62"/>
    <n v="16"/>
  </r>
  <r>
    <x v="1"/>
    <x v="63"/>
    <n v="20"/>
  </r>
  <r>
    <x v="1"/>
    <x v="64"/>
    <n v="18"/>
  </r>
  <r>
    <x v="1"/>
    <x v="65"/>
    <n v="13"/>
  </r>
  <r>
    <x v="1"/>
    <x v="66"/>
    <n v="8"/>
  </r>
  <r>
    <x v="1"/>
    <x v="67"/>
    <n v="5"/>
  </r>
  <r>
    <x v="1"/>
    <x v="68"/>
    <n v="6"/>
  </r>
  <r>
    <x v="1"/>
    <x v="69"/>
    <n v="11"/>
  </r>
  <r>
    <x v="1"/>
    <x v="70"/>
    <n v="7"/>
  </r>
  <r>
    <x v="1"/>
    <x v="71"/>
    <n v="15"/>
  </r>
  <r>
    <x v="1"/>
    <x v="72"/>
    <n v="6"/>
  </r>
  <r>
    <x v="1"/>
    <x v="73"/>
    <n v="7"/>
  </r>
  <r>
    <x v="1"/>
    <x v="74"/>
    <n v="15"/>
  </r>
  <r>
    <x v="1"/>
    <x v="75"/>
    <n v="5"/>
  </r>
  <r>
    <x v="1"/>
    <x v="76"/>
    <n v="6"/>
  </r>
  <r>
    <x v="1"/>
    <x v="77"/>
    <n v="6"/>
  </r>
  <r>
    <x v="1"/>
    <x v="78"/>
    <n v="5"/>
  </r>
  <r>
    <x v="1"/>
    <x v="79"/>
    <n v="8"/>
  </r>
  <r>
    <x v="1"/>
    <x v="80"/>
    <n v="8"/>
  </r>
  <r>
    <x v="1"/>
    <x v="81"/>
    <n v="6"/>
  </r>
  <r>
    <x v="1"/>
    <x v="82"/>
    <n v="6"/>
  </r>
  <r>
    <x v="1"/>
    <x v="83"/>
    <n v="3"/>
  </r>
  <r>
    <x v="1"/>
    <x v="84"/>
    <n v="5"/>
  </r>
  <r>
    <x v="1"/>
    <x v="85"/>
    <n v="2"/>
  </r>
  <r>
    <x v="1"/>
    <x v="86"/>
    <n v="6"/>
  </r>
  <r>
    <x v="1"/>
    <x v="87"/>
    <n v="1"/>
  </r>
  <r>
    <x v="1"/>
    <x v="88"/>
    <n v="9"/>
  </r>
  <r>
    <x v="1"/>
    <x v="89"/>
    <n v="2"/>
  </r>
  <r>
    <x v="1"/>
    <x v="90"/>
    <n v="7"/>
  </r>
  <r>
    <x v="1"/>
    <x v="91"/>
    <n v="4"/>
  </r>
  <r>
    <x v="1"/>
    <x v="92"/>
    <n v="2"/>
  </r>
  <r>
    <x v="1"/>
    <x v="93"/>
    <n v="9"/>
  </r>
  <r>
    <x v="1"/>
    <x v="94"/>
    <n v="3"/>
  </r>
  <r>
    <x v="1"/>
    <x v="95"/>
    <n v="5"/>
  </r>
  <r>
    <x v="1"/>
    <x v="96"/>
    <n v="3"/>
  </r>
  <r>
    <x v="1"/>
    <x v="97"/>
    <n v="4"/>
  </r>
  <r>
    <x v="1"/>
    <x v="98"/>
    <n v="2"/>
  </r>
  <r>
    <x v="1"/>
    <x v="99"/>
    <n v="5"/>
  </r>
  <r>
    <x v="1"/>
    <x v="100"/>
    <n v="3"/>
  </r>
  <r>
    <x v="1"/>
    <x v="101"/>
    <n v="2"/>
  </r>
  <r>
    <x v="1"/>
    <x v="102"/>
    <n v="2"/>
  </r>
  <r>
    <x v="1"/>
    <x v="103"/>
    <n v="2"/>
  </r>
  <r>
    <x v="1"/>
    <x v="104"/>
    <n v="1"/>
  </r>
  <r>
    <x v="1"/>
    <x v="105"/>
    <n v="2"/>
  </r>
  <r>
    <x v="1"/>
    <x v="106"/>
    <n v="6"/>
  </r>
  <r>
    <x v="1"/>
    <x v="107"/>
    <n v="2"/>
  </r>
  <r>
    <x v="1"/>
    <x v="108"/>
    <n v="4"/>
  </r>
  <r>
    <x v="1"/>
    <x v="109"/>
    <n v="1"/>
  </r>
  <r>
    <x v="1"/>
    <x v="110"/>
    <n v="2"/>
  </r>
  <r>
    <x v="1"/>
    <x v="111"/>
    <n v="2"/>
  </r>
  <r>
    <x v="1"/>
    <x v="113"/>
    <n v="1"/>
  </r>
  <r>
    <x v="1"/>
    <x v="114"/>
    <n v="2"/>
  </r>
  <r>
    <x v="1"/>
    <x v="115"/>
    <n v="1"/>
  </r>
  <r>
    <x v="1"/>
    <x v="116"/>
    <n v="3"/>
  </r>
  <r>
    <x v="1"/>
    <x v="117"/>
    <n v="1"/>
  </r>
  <r>
    <x v="1"/>
    <x v="118"/>
    <n v="1"/>
  </r>
  <r>
    <x v="1"/>
    <x v="119"/>
    <n v="1"/>
  </r>
  <r>
    <x v="1"/>
    <x v="120"/>
    <n v="4"/>
  </r>
  <r>
    <x v="1"/>
    <x v="203"/>
    <n v="5"/>
  </r>
  <r>
    <x v="1"/>
    <x v="204"/>
    <n v="1"/>
  </r>
  <r>
    <x v="1"/>
    <x v="121"/>
    <n v="3"/>
  </r>
  <r>
    <x v="1"/>
    <x v="205"/>
    <n v="1"/>
  </r>
  <r>
    <x v="1"/>
    <x v="123"/>
    <n v="1"/>
  </r>
  <r>
    <x v="1"/>
    <x v="125"/>
    <n v="2"/>
  </r>
  <r>
    <x v="1"/>
    <x v="206"/>
    <n v="4"/>
  </r>
  <r>
    <x v="1"/>
    <x v="126"/>
    <n v="2"/>
  </r>
  <r>
    <x v="1"/>
    <x v="127"/>
    <n v="1"/>
  </r>
  <r>
    <x v="1"/>
    <x v="128"/>
    <n v="1"/>
  </r>
  <r>
    <x v="1"/>
    <x v="207"/>
    <n v="2"/>
  </r>
  <r>
    <x v="1"/>
    <x v="129"/>
    <n v="3"/>
  </r>
  <r>
    <x v="1"/>
    <x v="130"/>
    <n v="3"/>
  </r>
  <r>
    <x v="1"/>
    <x v="131"/>
    <n v="2"/>
  </r>
  <r>
    <x v="1"/>
    <x v="134"/>
    <n v="1"/>
  </r>
  <r>
    <x v="1"/>
    <x v="208"/>
    <n v="1"/>
  </r>
  <r>
    <x v="1"/>
    <x v="135"/>
    <n v="1"/>
  </r>
  <r>
    <x v="1"/>
    <x v="136"/>
    <n v="2"/>
  </r>
  <r>
    <x v="1"/>
    <x v="137"/>
    <n v="1"/>
  </r>
  <r>
    <x v="1"/>
    <x v="209"/>
    <n v="2"/>
  </r>
  <r>
    <x v="1"/>
    <x v="139"/>
    <n v="1"/>
  </r>
  <r>
    <x v="1"/>
    <x v="210"/>
    <n v="1"/>
  </r>
  <r>
    <x v="1"/>
    <x v="211"/>
    <n v="2"/>
  </r>
  <r>
    <x v="1"/>
    <x v="212"/>
    <n v="1"/>
  </r>
  <r>
    <x v="1"/>
    <x v="140"/>
    <n v="2"/>
  </r>
  <r>
    <x v="1"/>
    <x v="141"/>
    <n v="1"/>
  </r>
  <r>
    <x v="1"/>
    <x v="213"/>
    <n v="1"/>
  </r>
  <r>
    <x v="1"/>
    <x v="142"/>
    <n v="1"/>
  </r>
  <r>
    <x v="1"/>
    <x v="214"/>
    <n v="1"/>
  </r>
  <r>
    <x v="1"/>
    <x v="145"/>
    <n v="1"/>
  </r>
  <r>
    <x v="1"/>
    <x v="146"/>
    <n v="1"/>
  </r>
  <r>
    <x v="1"/>
    <x v="215"/>
    <n v="1"/>
  </r>
  <r>
    <x v="1"/>
    <x v="149"/>
    <n v="1"/>
  </r>
  <r>
    <x v="1"/>
    <x v="151"/>
    <n v="2"/>
  </r>
  <r>
    <x v="1"/>
    <x v="216"/>
    <n v="1"/>
  </r>
  <r>
    <x v="1"/>
    <x v="152"/>
    <n v="1"/>
  </r>
  <r>
    <x v="1"/>
    <x v="217"/>
    <n v="1"/>
  </r>
  <r>
    <x v="1"/>
    <x v="218"/>
    <n v="2"/>
  </r>
  <r>
    <x v="1"/>
    <x v="154"/>
    <n v="1"/>
  </r>
  <r>
    <x v="1"/>
    <x v="219"/>
    <n v="1"/>
  </r>
  <r>
    <x v="1"/>
    <x v="155"/>
    <n v="2"/>
  </r>
  <r>
    <x v="1"/>
    <x v="220"/>
    <n v="1"/>
  </r>
  <r>
    <x v="1"/>
    <x v="221"/>
    <n v="1"/>
  </r>
  <r>
    <x v="1"/>
    <x v="222"/>
    <n v="3"/>
  </r>
  <r>
    <x v="1"/>
    <x v="223"/>
    <n v="2"/>
  </r>
  <r>
    <x v="1"/>
    <x v="161"/>
    <n v="1"/>
  </r>
  <r>
    <x v="1"/>
    <x v="162"/>
    <n v="1"/>
  </r>
  <r>
    <x v="1"/>
    <x v="224"/>
    <n v="1"/>
  </r>
  <r>
    <x v="1"/>
    <x v="225"/>
    <n v="1"/>
  </r>
  <r>
    <x v="1"/>
    <x v="226"/>
    <n v="1"/>
  </r>
  <r>
    <x v="1"/>
    <x v="227"/>
    <n v="1"/>
  </r>
  <r>
    <x v="1"/>
    <x v="228"/>
    <n v="1"/>
  </r>
  <r>
    <x v="1"/>
    <x v="229"/>
    <n v="1"/>
  </r>
  <r>
    <x v="1"/>
    <x v="230"/>
    <n v="1"/>
  </r>
  <r>
    <x v="1"/>
    <x v="231"/>
    <n v="3"/>
  </r>
  <r>
    <x v="1"/>
    <x v="175"/>
    <n v="1"/>
  </r>
  <r>
    <x v="1"/>
    <x v="232"/>
    <n v="1"/>
  </r>
  <r>
    <x v="1"/>
    <x v="233"/>
    <n v="1"/>
  </r>
  <r>
    <x v="1"/>
    <x v="234"/>
    <n v="1"/>
  </r>
  <r>
    <x v="1"/>
    <x v="235"/>
    <n v="1"/>
  </r>
  <r>
    <x v="1"/>
    <x v="236"/>
    <n v="1"/>
  </r>
  <r>
    <x v="1"/>
    <x v="237"/>
    <n v="1"/>
  </r>
  <r>
    <x v="1"/>
    <x v="238"/>
    <n v="1"/>
  </r>
  <r>
    <x v="1"/>
    <x v="239"/>
    <n v="1"/>
  </r>
  <r>
    <x v="1"/>
    <x v="240"/>
    <n v="1"/>
  </r>
  <r>
    <x v="1"/>
    <x v="241"/>
    <n v="1"/>
  </r>
  <r>
    <x v="1"/>
    <x v="242"/>
    <n v="1"/>
  </r>
  <r>
    <x v="1"/>
    <x v="243"/>
    <n v="1"/>
  </r>
  <r>
    <x v="1"/>
    <x v="244"/>
    <n v="1"/>
  </r>
  <r>
    <x v="1"/>
    <x v="245"/>
    <n v="1"/>
  </r>
  <r>
    <x v="1"/>
    <x v="246"/>
    <n v="1"/>
  </r>
  <r>
    <x v="1"/>
    <x v="247"/>
    <n v="1"/>
  </r>
  <r>
    <x v="1"/>
    <x v="248"/>
    <n v="1"/>
  </r>
  <r>
    <x v="1"/>
    <x v="187"/>
    <n v="1"/>
  </r>
  <r>
    <x v="1"/>
    <x v="249"/>
    <n v="1"/>
  </r>
  <r>
    <x v="1"/>
    <x v="250"/>
    <n v="1"/>
  </r>
  <r>
    <x v="1"/>
    <x v="251"/>
    <n v="1"/>
  </r>
  <r>
    <x v="1"/>
    <x v="252"/>
    <n v="1"/>
  </r>
  <r>
    <x v="1"/>
    <x v="253"/>
    <n v="1"/>
  </r>
  <r>
    <x v="1"/>
    <x v="254"/>
    <n v="1"/>
  </r>
  <r>
    <x v="1"/>
    <x v="255"/>
    <n v="1"/>
  </r>
  <r>
    <x v="1"/>
    <x v="256"/>
    <n v="1"/>
  </r>
  <r>
    <x v="1"/>
    <x v="257"/>
    <n v="1"/>
  </r>
  <r>
    <x v="1"/>
    <x v="258"/>
    <n v="1"/>
  </r>
  <r>
    <x v="1"/>
    <x v="259"/>
    <n v="1"/>
  </r>
  <r>
    <x v="1"/>
    <x v="260"/>
    <n v="1"/>
  </r>
  <r>
    <x v="1"/>
    <x v="261"/>
    <n v="1"/>
  </r>
  <r>
    <x v="1"/>
    <x v="262"/>
    <n v="1"/>
  </r>
  <r>
    <x v="1"/>
    <x v="263"/>
    <n v="1"/>
  </r>
  <r>
    <x v="1"/>
    <x v="264"/>
    <n v="1"/>
  </r>
  <r>
    <x v="1"/>
    <x v="265"/>
    <n v="1"/>
  </r>
  <r>
    <x v="2"/>
    <x v="0"/>
    <n v="74830"/>
  </r>
  <r>
    <x v="2"/>
    <x v="1"/>
    <n v="33747"/>
  </r>
  <r>
    <x v="2"/>
    <x v="2"/>
    <n v="15437"/>
  </r>
  <r>
    <x v="2"/>
    <x v="3"/>
    <n v="8536"/>
  </r>
  <r>
    <x v="2"/>
    <x v="4"/>
    <n v="5775"/>
  </r>
  <r>
    <x v="2"/>
    <x v="5"/>
    <n v="3933"/>
  </r>
  <r>
    <x v="2"/>
    <x v="6"/>
    <n v="2834"/>
  </r>
  <r>
    <x v="2"/>
    <x v="7"/>
    <n v="2174"/>
  </r>
  <r>
    <x v="2"/>
    <x v="8"/>
    <n v="1743"/>
  </r>
  <r>
    <x v="2"/>
    <x v="9"/>
    <n v="1291"/>
  </r>
  <r>
    <x v="2"/>
    <x v="10"/>
    <n v="1131"/>
  </r>
  <r>
    <x v="2"/>
    <x v="11"/>
    <n v="943"/>
  </r>
  <r>
    <x v="2"/>
    <x v="12"/>
    <n v="790"/>
  </r>
  <r>
    <x v="2"/>
    <x v="13"/>
    <n v="634"/>
  </r>
  <r>
    <x v="2"/>
    <x v="14"/>
    <n v="582"/>
  </r>
  <r>
    <x v="2"/>
    <x v="15"/>
    <n v="455"/>
  </r>
  <r>
    <x v="2"/>
    <x v="16"/>
    <n v="445"/>
  </r>
  <r>
    <x v="2"/>
    <x v="17"/>
    <n v="349"/>
  </r>
  <r>
    <x v="2"/>
    <x v="18"/>
    <n v="336"/>
  </r>
  <r>
    <x v="2"/>
    <x v="19"/>
    <n v="265"/>
  </r>
  <r>
    <x v="2"/>
    <x v="20"/>
    <n v="244"/>
  </r>
  <r>
    <x v="2"/>
    <x v="21"/>
    <n v="191"/>
  </r>
  <r>
    <x v="2"/>
    <x v="22"/>
    <n v="210"/>
  </r>
  <r>
    <x v="2"/>
    <x v="23"/>
    <n v="162"/>
  </r>
  <r>
    <x v="2"/>
    <x v="24"/>
    <n v="171"/>
  </r>
  <r>
    <x v="2"/>
    <x v="25"/>
    <n v="140"/>
  </r>
  <r>
    <x v="2"/>
    <x v="26"/>
    <n v="146"/>
  </r>
  <r>
    <x v="2"/>
    <x v="27"/>
    <n v="116"/>
  </r>
  <r>
    <x v="2"/>
    <x v="28"/>
    <n v="108"/>
  </r>
  <r>
    <x v="2"/>
    <x v="29"/>
    <n v="98"/>
  </r>
  <r>
    <x v="2"/>
    <x v="30"/>
    <n v="94"/>
  </r>
  <r>
    <x v="2"/>
    <x v="31"/>
    <n v="89"/>
  </r>
  <r>
    <x v="2"/>
    <x v="32"/>
    <n v="86"/>
  </r>
  <r>
    <x v="2"/>
    <x v="33"/>
    <n v="65"/>
  </r>
  <r>
    <x v="2"/>
    <x v="34"/>
    <n v="59"/>
  </r>
  <r>
    <x v="2"/>
    <x v="35"/>
    <n v="58"/>
  </r>
  <r>
    <x v="2"/>
    <x v="36"/>
    <n v="59"/>
  </r>
  <r>
    <x v="2"/>
    <x v="37"/>
    <n v="45"/>
  </r>
  <r>
    <x v="2"/>
    <x v="38"/>
    <n v="60"/>
  </r>
  <r>
    <x v="2"/>
    <x v="39"/>
    <n v="38"/>
  </r>
  <r>
    <x v="2"/>
    <x v="40"/>
    <n v="42"/>
  </r>
  <r>
    <x v="2"/>
    <x v="41"/>
    <n v="35"/>
  </r>
  <r>
    <x v="2"/>
    <x v="42"/>
    <n v="44"/>
  </r>
  <r>
    <x v="2"/>
    <x v="43"/>
    <n v="19"/>
  </r>
  <r>
    <x v="2"/>
    <x v="44"/>
    <n v="37"/>
  </r>
  <r>
    <x v="2"/>
    <x v="45"/>
    <n v="43"/>
  </r>
  <r>
    <x v="2"/>
    <x v="46"/>
    <n v="32"/>
  </r>
  <r>
    <x v="2"/>
    <x v="47"/>
    <n v="23"/>
  </r>
  <r>
    <x v="2"/>
    <x v="48"/>
    <n v="24"/>
  </r>
  <r>
    <x v="2"/>
    <x v="49"/>
    <n v="22"/>
  </r>
  <r>
    <x v="2"/>
    <x v="50"/>
    <n v="25"/>
  </r>
  <r>
    <x v="2"/>
    <x v="51"/>
    <n v="20"/>
  </r>
  <r>
    <x v="2"/>
    <x v="52"/>
    <n v="19"/>
  </r>
  <r>
    <x v="2"/>
    <x v="53"/>
    <n v="14"/>
  </r>
  <r>
    <x v="2"/>
    <x v="54"/>
    <n v="20"/>
  </r>
  <r>
    <x v="2"/>
    <x v="55"/>
    <n v="22"/>
  </r>
  <r>
    <x v="2"/>
    <x v="56"/>
    <n v="16"/>
  </r>
  <r>
    <x v="2"/>
    <x v="57"/>
    <n v="16"/>
  </r>
  <r>
    <x v="2"/>
    <x v="58"/>
    <n v="17"/>
  </r>
  <r>
    <x v="2"/>
    <x v="59"/>
    <n v="5"/>
  </r>
  <r>
    <x v="2"/>
    <x v="60"/>
    <n v="13"/>
  </r>
  <r>
    <x v="2"/>
    <x v="61"/>
    <n v="16"/>
  </r>
  <r>
    <x v="2"/>
    <x v="62"/>
    <n v="14"/>
  </r>
  <r>
    <x v="2"/>
    <x v="63"/>
    <n v="12"/>
  </r>
  <r>
    <x v="2"/>
    <x v="64"/>
    <n v="8"/>
  </r>
  <r>
    <x v="2"/>
    <x v="65"/>
    <n v="9"/>
  </r>
  <r>
    <x v="2"/>
    <x v="66"/>
    <n v="5"/>
  </r>
  <r>
    <x v="2"/>
    <x v="67"/>
    <n v="7"/>
  </r>
  <r>
    <x v="2"/>
    <x v="68"/>
    <n v="9"/>
  </r>
  <r>
    <x v="2"/>
    <x v="69"/>
    <n v="9"/>
  </r>
  <r>
    <x v="2"/>
    <x v="70"/>
    <n v="6"/>
  </r>
  <r>
    <x v="2"/>
    <x v="71"/>
    <n v="7"/>
  </r>
  <r>
    <x v="2"/>
    <x v="72"/>
    <n v="12"/>
  </r>
  <r>
    <x v="2"/>
    <x v="73"/>
    <n v="12"/>
  </r>
  <r>
    <x v="2"/>
    <x v="74"/>
    <n v="13"/>
  </r>
  <r>
    <x v="2"/>
    <x v="75"/>
    <n v="8"/>
  </r>
  <r>
    <x v="2"/>
    <x v="76"/>
    <n v="13"/>
  </r>
  <r>
    <x v="2"/>
    <x v="77"/>
    <n v="9"/>
  </r>
  <r>
    <x v="2"/>
    <x v="78"/>
    <n v="7"/>
  </r>
  <r>
    <x v="2"/>
    <x v="79"/>
    <n v="11"/>
  </r>
  <r>
    <x v="2"/>
    <x v="80"/>
    <n v="5"/>
  </r>
  <r>
    <x v="2"/>
    <x v="81"/>
    <n v="7"/>
  </r>
  <r>
    <x v="2"/>
    <x v="82"/>
    <n v="7"/>
  </r>
  <r>
    <x v="2"/>
    <x v="83"/>
    <n v="2"/>
  </r>
  <r>
    <x v="2"/>
    <x v="84"/>
    <n v="7"/>
  </r>
  <r>
    <x v="2"/>
    <x v="85"/>
    <n v="3"/>
  </r>
  <r>
    <x v="2"/>
    <x v="86"/>
    <n v="2"/>
  </r>
  <r>
    <x v="2"/>
    <x v="87"/>
    <n v="4"/>
  </r>
  <r>
    <x v="2"/>
    <x v="88"/>
    <n v="2"/>
  </r>
  <r>
    <x v="2"/>
    <x v="89"/>
    <n v="3"/>
  </r>
  <r>
    <x v="2"/>
    <x v="90"/>
    <n v="6"/>
  </r>
  <r>
    <x v="2"/>
    <x v="91"/>
    <n v="8"/>
  </r>
  <r>
    <x v="2"/>
    <x v="92"/>
    <n v="4"/>
  </r>
  <r>
    <x v="2"/>
    <x v="93"/>
    <n v="2"/>
  </r>
  <r>
    <x v="2"/>
    <x v="94"/>
    <n v="6"/>
  </r>
  <r>
    <x v="2"/>
    <x v="95"/>
    <n v="3"/>
  </r>
  <r>
    <x v="2"/>
    <x v="96"/>
    <n v="2"/>
  </r>
  <r>
    <x v="2"/>
    <x v="97"/>
    <n v="3"/>
  </r>
  <r>
    <x v="2"/>
    <x v="98"/>
    <n v="2"/>
  </r>
  <r>
    <x v="2"/>
    <x v="99"/>
    <n v="3"/>
  </r>
  <r>
    <x v="2"/>
    <x v="100"/>
    <n v="2"/>
  </r>
  <r>
    <x v="2"/>
    <x v="101"/>
    <n v="5"/>
  </r>
  <r>
    <x v="2"/>
    <x v="102"/>
    <n v="5"/>
  </r>
  <r>
    <x v="2"/>
    <x v="103"/>
    <n v="3"/>
  </r>
  <r>
    <x v="2"/>
    <x v="104"/>
    <n v="3"/>
  </r>
  <r>
    <x v="2"/>
    <x v="105"/>
    <n v="2"/>
  </r>
  <r>
    <x v="2"/>
    <x v="106"/>
    <n v="2"/>
  </r>
  <r>
    <x v="2"/>
    <x v="107"/>
    <n v="5"/>
  </r>
  <r>
    <x v="2"/>
    <x v="108"/>
    <n v="3"/>
  </r>
  <r>
    <x v="2"/>
    <x v="109"/>
    <n v="2"/>
  </r>
  <r>
    <x v="2"/>
    <x v="110"/>
    <n v="2"/>
  </r>
  <r>
    <x v="2"/>
    <x v="111"/>
    <n v="2"/>
  </r>
  <r>
    <x v="2"/>
    <x v="112"/>
    <n v="4"/>
  </r>
  <r>
    <x v="2"/>
    <x v="113"/>
    <n v="1"/>
  </r>
  <r>
    <x v="2"/>
    <x v="114"/>
    <n v="3"/>
  </r>
  <r>
    <x v="2"/>
    <x v="115"/>
    <n v="4"/>
  </r>
  <r>
    <x v="2"/>
    <x v="117"/>
    <n v="2"/>
  </r>
  <r>
    <x v="2"/>
    <x v="118"/>
    <n v="1"/>
  </r>
  <r>
    <x v="2"/>
    <x v="119"/>
    <n v="1"/>
  </r>
  <r>
    <x v="2"/>
    <x v="120"/>
    <n v="8"/>
  </r>
  <r>
    <x v="2"/>
    <x v="203"/>
    <n v="2"/>
  </r>
  <r>
    <x v="2"/>
    <x v="204"/>
    <n v="2"/>
  </r>
  <r>
    <x v="2"/>
    <x v="121"/>
    <n v="1"/>
  </r>
  <r>
    <x v="2"/>
    <x v="205"/>
    <n v="4"/>
  </r>
  <r>
    <x v="2"/>
    <x v="123"/>
    <n v="2"/>
  </r>
  <r>
    <x v="2"/>
    <x v="124"/>
    <n v="2"/>
  </r>
  <r>
    <x v="2"/>
    <x v="206"/>
    <n v="1"/>
  </r>
  <r>
    <x v="2"/>
    <x v="127"/>
    <n v="2"/>
  </r>
  <r>
    <x v="2"/>
    <x v="266"/>
    <n v="1"/>
  </r>
  <r>
    <x v="2"/>
    <x v="207"/>
    <n v="1"/>
  </r>
  <r>
    <x v="2"/>
    <x v="129"/>
    <n v="3"/>
  </r>
  <r>
    <x v="2"/>
    <x v="132"/>
    <n v="1"/>
  </r>
  <r>
    <x v="2"/>
    <x v="134"/>
    <n v="2"/>
  </r>
  <r>
    <x v="2"/>
    <x v="208"/>
    <n v="3"/>
  </r>
  <r>
    <x v="2"/>
    <x v="135"/>
    <n v="1"/>
  </r>
  <r>
    <x v="2"/>
    <x v="136"/>
    <n v="1"/>
  </r>
  <r>
    <x v="2"/>
    <x v="137"/>
    <n v="1"/>
  </r>
  <r>
    <x v="2"/>
    <x v="209"/>
    <n v="1"/>
  </r>
  <r>
    <x v="2"/>
    <x v="139"/>
    <n v="2"/>
  </r>
  <r>
    <x v="2"/>
    <x v="212"/>
    <n v="1"/>
  </r>
  <r>
    <x v="2"/>
    <x v="141"/>
    <n v="1"/>
  </r>
  <r>
    <x v="2"/>
    <x v="213"/>
    <n v="1"/>
  </r>
  <r>
    <x v="2"/>
    <x v="267"/>
    <n v="2"/>
  </r>
  <r>
    <x v="2"/>
    <x v="142"/>
    <n v="1"/>
  </r>
  <r>
    <x v="2"/>
    <x v="145"/>
    <n v="1"/>
  </r>
  <r>
    <x v="2"/>
    <x v="215"/>
    <n v="1"/>
  </r>
  <r>
    <x v="2"/>
    <x v="149"/>
    <n v="1"/>
  </r>
  <r>
    <x v="2"/>
    <x v="150"/>
    <n v="1"/>
  </r>
  <r>
    <x v="2"/>
    <x v="151"/>
    <n v="1"/>
  </r>
  <r>
    <x v="2"/>
    <x v="268"/>
    <n v="2"/>
  </r>
  <r>
    <x v="2"/>
    <x v="217"/>
    <n v="1"/>
  </r>
  <r>
    <x v="2"/>
    <x v="153"/>
    <n v="1"/>
  </r>
  <r>
    <x v="2"/>
    <x v="154"/>
    <n v="3"/>
  </r>
  <r>
    <x v="2"/>
    <x v="269"/>
    <n v="1"/>
  </r>
  <r>
    <x v="2"/>
    <x v="270"/>
    <n v="2"/>
  </r>
  <r>
    <x v="2"/>
    <x v="271"/>
    <n v="2"/>
  </r>
  <r>
    <x v="2"/>
    <x v="157"/>
    <n v="1"/>
  </r>
  <r>
    <x v="2"/>
    <x v="272"/>
    <n v="1"/>
  </r>
  <r>
    <x v="2"/>
    <x v="158"/>
    <n v="1"/>
  </r>
  <r>
    <x v="2"/>
    <x v="273"/>
    <n v="2"/>
  </r>
  <r>
    <x v="2"/>
    <x v="161"/>
    <n v="1"/>
  </r>
  <r>
    <x v="2"/>
    <x v="274"/>
    <n v="1"/>
  </r>
  <r>
    <x v="2"/>
    <x v="275"/>
    <n v="1"/>
  </r>
  <r>
    <x v="2"/>
    <x v="276"/>
    <n v="1"/>
  </r>
  <r>
    <x v="2"/>
    <x v="165"/>
    <n v="1"/>
  </r>
  <r>
    <x v="2"/>
    <x v="229"/>
    <n v="2"/>
  </r>
  <r>
    <x v="2"/>
    <x v="168"/>
    <n v="3"/>
  </r>
  <r>
    <x v="2"/>
    <x v="169"/>
    <n v="1"/>
  </r>
  <r>
    <x v="2"/>
    <x v="170"/>
    <n v="1"/>
  </r>
  <r>
    <x v="2"/>
    <x v="277"/>
    <n v="1"/>
  </r>
  <r>
    <x v="2"/>
    <x v="278"/>
    <n v="2"/>
  </r>
  <r>
    <x v="2"/>
    <x v="177"/>
    <n v="1"/>
  </r>
  <r>
    <x v="2"/>
    <x v="279"/>
    <n v="1"/>
  </r>
  <r>
    <x v="2"/>
    <x v="234"/>
    <n v="1"/>
  </r>
  <r>
    <x v="2"/>
    <x v="179"/>
    <n v="1"/>
  </r>
  <r>
    <x v="2"/>
    <x v="280"/>
    <n v="1"/>
  </r>
  <r>
    <x v="2"/>
    <x v="281"/>
    <n v="1"/>
  </r>
  <r>
    <x v="2"/>
    <x v="282"/>
    <n v="1"/>
  </r>
  <r>
    <x v="2"/>
    <x v="283"/>
    <n v="1"/>
  </r>
  <r>
    <x v="2"/>
    <x v="284"/>
    <n v="1"/>
  </r>
  <r>
    <x v="2"/>
    <x v="285"/>
    <n v="1"/>
  </r>
  <r>
    <x v="2"/>
    <x v="286"/>
    <n v="1"/>
  </r>
  <r>
    <x v="2"/>
    <x v="287"/>
    <n v="1"/>
  </r>
  <r>
    <x v="2"/>
    <x v="288"/>
    <n v="1"/>
  </r>
  <r>
    <x v="2"/>
    <x v="289"/>
    <n v="1"/>
  </r>
  <r>
    <x v="2"/>
    <x v="240"/>
    <n v="2"/>
  </r>
  <r>
    <x v="2"/>
    <x v="183"/>
    <n v="1"/>
  </r>
  <r>
    <x v="2"/>
    <x v="290"/>
    <n v="1"/>
  </r>
  <r>
    <x v="2"/>
    <x v="291"/>
    <n v="1"/>
  </r>
  <r>
    <x v="2"/>
    <x v="292"/>
    <n v="1"/>
  </r>
  <r>
    <x v="2"/>
    <x v="293"/>
    <n v="1"/>
  </r>
  <r>
    <x v="2"/>
    <x v="294"/>
    <n v="1"/>
  </r>
  <r>
    <x v="2"/>
    <x v="295"/>
    <n v="1"/>
  </r>
  <r>
    <x v="2"/>
    <x v="296"/>
    <n v="1"/>
  </r>
  <r>
    <x v="2"/>
    <x v="297"/>
    <n v="1"/>
  </r>
  <r>
    <x v="2"/>
    <x v="298"/>
    <n v="1"/>
  </r>
  <r>
    <x v="2"/>
    <x v="299"/>
    <n v="1"/>
  </r>
  <r>
    <x v="2"/>
    <x v="191"/>
    <n v="1"/>
  </r>
  <r>
    <x v="2"/>
    <x v="300"/>
    <n v="1"/>
  </r>
  <r>
    <x v="2"/>
    <x v="301"/>
    <n v="1"/>
  </r>
  <r>
    <x v="2"/>
    <x v="302"/>
    <n v="1"/>
  </r>
  <r>
    <x v="2"/>
    <x v="303"/>
    <n v="1"/>
  </r>
  <r>
    <x v="2"/>
    <x v="304"/>
    <n v="1"/>
  </r>
  <r>
    <x v="2"/>
    <x v="305"/>
    <n v="1"/>
  </r>
  <r>
    <x v="2"/>
    <x v="199"/>
    <n v="1"/>
  </r>
  <r>
    <x v="2"/>
    <x v="306"/>
    <n v="1"/>
  </r>
  <r>
    <x v="2"/>
    <x v="307"/>
    <n v="1"/>
  </r>
  <r>
    <x v="2"/>
    <x v="308"/>
    <n v="1"/>
  </r>
  <r>
    <x v="2"/>
    <x v="309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x v="0"/>
    <x v="0"/>
    <n v="55217"/>
  </r>
  <r>
    <x v="0"/>
    <x v="0"/>
    <x v="1"/>
    <n v="1488"/>
  </r>
  <r>
    <x v="0"/>
    <x v="0"/>
    <x v="2"/>
    <n v="527"/>
  </r>
  <r>
    <x v="0"/>
    <x v="0"/>
    <x v="3"/>
    <n v="336"/>
  </r>
  <r>
    <x v="0"/>
    <x v="0"/>
    <x v="4"/>
    <n v="261"/>
  </r>
  <r>
    <x v="0"/>
    <x v="0"/>
    <x v="5"/>
    <n v="218"/>
  </r>
  <r>
    <x v="0"/>
    <x v="0"/>
    <x v="6"/>
    <n v="136"/>
  </r>
  <r>
    <x v="0"/>
    <x v="0"/>
    <x v="7"/>
    <n v="148"/>
  </r>
  <r>
    <x v="0"/>
    <x v="0"/>
    <x v="8"/>
    <n v="95"/>
  </r>
  <r>
    <x v="0"/>
    <x v="0"/>
    <x v="9"/>
    <n v="73"/>
  </r>
  <r>
    <x v="0"/>
    <x v="0"/>
    <x v="10"/>
    <n v="52"/>
  </r>
  <r>
    <x v="0"/>
    <x v="0"/>
    <x v="11"/>
    <n v="31"/>
  </r>
  <r>
    <x v="0"/>
    <x v="0"/>
    <x v="12"/>
    <n v="30"/>
  </r>
  <r>
    <x v="0"/>
    <x v="0"/>
    <x v="13"/>
    <n v="19"/>
  </r>
  <r>
    <x v="0"/>
    <x v="0"/>
    <x v="14"/>
    <n v="13"/>
  </r>
  <r>
    <x v="0"/>
    <x v="0"/>
    <x v="15"/>
    <n v="12"/>
  </r>
  <r>
    <x v="0"/>
    <x v="0"/>
    <x v="16"/>
    <n v="4"/>
  </r>
  <r>
    <x v="0"/>
    <x v="1"/>
    <x v="0"/>
    <n v="50776"/>
  </r>
  <r>
    <x v="0"/>
    <x v="1"/>
    <x v="1"/>
    <n v="1418"/>
  </r>
  <r>
    <x v="0"/>
    <x v="1"/>
    <x v="2"/>
    <n v="434"/>
  </r>
  <r>
    <x v="0"/>
    <x v="1"/>
    <x v="3"/>
    <n v="307"/>
  </r>
  <r>
    <x v="0"/>
    <x v="1"/>
    <x v="4"/>
    <n v="228"/>
  </r>
  <r>
    <x v="0"/>
    <x v="1"/>
    <x v="5"/>
    <n v="198"/>
  </r>
  <r>
    <x v="0"/>
    <x v="1"/>
    <x v="6"/>
    <n v="151"/>
  </r>
  <r>
    <x v="0"/>
    <x v="1"/>
    <x v="7"/>
    <n v="104"/>
  </r>
  <r>
    <x v="0"/>
    <x v="1"/>
    <x v="8"/>
    <n v="84"/>
  </r>
  <r>
    <x v="0"/>
    <x v="1"/>
    <x v="9"/>
    <n v="57"/>
  </r>
  <r>
    <x v="0"/>
    <x v="1"/>
    <x v="10"/>
    <n v="39"/>
  </r>
  <r>
    <x v="0"/>
    <x v="1"/>
    <x v="11"/>
    <n v="36"/>
  </r>
  <r>
    <x v="0"/>
    <x v="1"/>
    <x v="12"/>
    <n v="22"/>
  </r>
  <r>
    <x v="0"/>
    <x v="1"/>
    <x v="13"/>
    <n v="27"/>
  </r>
  <r>
    <x v="0"/>
    <x v="1"/>
    <x v="14"/>
    <n v="12"/>
  </r>
  <r>
    <x v="0"/>
    <x v="1"/>
    <x v="15"/>
    <n v="7"/>
  </r>
  <r>
    <x v="0"/>
    <x v="1"/>
    <x v="17"/>
    <n v="2"/>
  </r>
  <r>
    <x v="0"/>
    <x v="2"/>
    <x v="0"/>
    <n v="42418"/>
  </r>
  <r>
    <x v="0"/>
    <x v="2"/>
    <x v="1"/>
    <n v="1413"/>
  </r>
  <r>
    <x v="0"/>
    <x v="2"/>
    <x v="2"/>
    <n v="515"/>
  </r>
  <r>
    <x v="0"/>
    <x v="2"/>
    <x v="3"/>
    <n v="349"/>
  </r>
  <r>
    <x v="0"/>
    <x v="2"/>
    <x v="4"/>
    <n v="248"/>
  </r>
  <r>
    <x v="0"/>
    <x v="2"/>
    <x v="5"/>
    <n v="215"/>
  </r>
  <r>
    <x v="0"/>
    <x v="2"/>
    <x v="6"/>
    <n v="166"/>
  </r>
  <r>
    <x v="0"/>
    <x v="2"/>
    <x v="7"/>
    <n v="135"/>
  </r>
  <r>
    <x v="0"/>
    <x v="2"/>
    <x v="8"/>
    <n v="87"/>
  </r>
  <r>
    <x v="0"/>
    <x v="2"/>
    <x v="9"/>
    <n v="83"/>
  </r>
  <r>
    <x v="0"/>
    <x v="2"/>
    <x v="10"/>
    <n v="49"/>
  </r>
  <r>
    <x v="0"/>
    <x v="2"/>
    <x v="11"/>
    <n v="47"/>
  </r>
  <r>
    <x v="0"/>
    <x v="2"/>
    <x v="12"/>
    <n v="45"/>
  </r>
  <r>
    <x v="0"/>
    <x v="2"/>
    <x v="13"/>
    <n v="22"/>
  </r>
  <r>
    <x v="0"/>
    <x v="2"/>
    <x v="14"/>
    <n v="21"/>
  </r>
  <r>
    <x v="0"/>
    <x v="2"/>
    <x v="15"/>
    <n v="7"/>
  </r>
  <r>
    <x v="0"/>
    <x v="2"/>
    <x v="16"/>
    <n v="6"/>
  </r>
  <r>
    <x v="0"/>
    <x v="2"/>
    <x v="17"/>
    <n v="3"/>
  </r>
  <r>
    <x v="1"/>
    <x v="0"/>
    <x v="0"/>
    <n v="50630"/>
  </r>
  <r>
    <x v="1"/>
    <x v="0"/>
    <x v="1"/>
    <n v="6559"/>
  </r>
  <r>
    <x v="1"/>
    <x v="0"/>
    <x v="2"/>
    <n v="2741"/>
  </r>
  <r>
    <x v="1"/>
    <x v="0"/>
    <x v="3"/>
    <n v="1788"/>
  </r>
  <r>
    <x v="1"/>
    <x v="0"/>
    <x v="4"/>
    <n v="1305"/>
  </r>
  <r>
    <x v="1"/>
    <x v="0"/>
    <x v="5"/>
    <n v="1070"/>
  </r>
  <r>
    <x v="1"/>
    <x v="0"/>
    <x v="6"/>
    <n v="902"/>
  </r>
  <r>
    <x v="1"/>
    <x v="0"/>
    <x v="7"/>
    <n v="715"/>
  </r>
  <r>
    <x v="1"/>
    <x v="0"/>
    <x v="8"/>
    <n v="486"/>
  </r>
  <r>
    <x v="1"/>
    <x v="0"/>
    <x v="9"/>
    <n v="375"/>
  </r>
  <r>
    <x v="1"/>
    <x v="0"/>
    <x v="10"/>
    <n v="310"/>
  </r>
  <r>
    <x v="1"/>
    <x v="0"/>
    <x v="11"/>
    <n v="232"/>
  </r>
  <r>
    <x v="1"/>
    <x v="0"/>
    <x v="12"/>
    <n v="173"/>
  </r>
  <r>
    <x v="1"/>
    <x v="0"/>
    <x v="13"/>
    <n v="130"/>
  </r>
  <r>
    <x v="1"/>
    <x v="0"/>
    <x v="14"/>
    <n v="99"/>
  </r>
  <r>
    <x v="1"/>
    <x v="0"/>
    <x v="15"/>
    <n v="70"/>
  </r>
  <r>
    <x v="1"/>
    <x v="0"/>
    <x v="16"/>
    <n v="46"/>
  </r>
  <r>
    <x v="1"/>
    <x v="0"/>
    <x v="17"/>
    <n v="11"/>
  </r>
  <r>
    <x v="1"/>
    <x v="1"/>
    <x v="0"/>
    <n v="47678"/>
  </r>
  <r>
    <x v="1"/>
    <x v="1"/>
    <x v="1"/>
    <n v="5737"/>
  </r>
  <r>
    <x v="1"/>
    <x v="1"/>
    <x v="2"/>
    <n v="2160"/>
  </r>
  <r>
    <x v="1"/>
    <x v="1"/>
    <x v="3"/>
    <n v="1428"/>
  </r>
  <r>
    <x v="1"/>
    <x v="1"/>
    <x v="4"/>
    <n v="1132"/>
  </r>
  <r>
    <x v="1"/>
    <x v="1"/>
    <x v="5"/>
    <n v="848"/>
  </r>
  <r>
    <x v="1"/>
    <x v="1"/>
    <x v="6"/>
    <n v="750"/>
  </r>
  <r>
    <x v="1"/>
    <x v="1"/>
    <x v="7"/>
    <n v="548"/>
  </r>
  <r>
    <x v="1"/>
    <x v="1"/>
    <x v="8"/>
    <n v="393"/>
  </r>
  <r>
    <x v="1"/>
    <x v="1"/>
    <x v="9"/>
    <n v="321"/>
  </r>
  <r>
    <x v="1"/>
    <x v="1"/>
    <x v="10"/>
    <n v="204"/>
  </r>
  <r>
    <x v="1"/>
    <x v="1"/>
    <x v="11"/>
    <n v="185"/>
  </r>
  <r>
    <x v="1"/>
    <x v="1"/>
    <x v="12"/>
    <n v="124"/>
  </r>
  <r>
    <x v="1"/>
    <x v="1"/>
    <x v="13"/>
    <n v="110"/>
  </r>
  <r>
    <x v="1"/>
    <x v="1"/>
    <x v="14"/>
    <n v="75"/>
  </r>
  <r>
    <x v="1"/>
    <x v="1"/>
    <x v="15"/>
    <n v="52"/>
  </r>
  <r>
    <x v="1"/>
    <x v="1"/>
    <x v="16"/>
    <n v="30"/>
  </r>
  <r>
    <x v="1"/>
    <x v="1"/>
    <x v="17"/>
    <n v="11"/>
  </r>
  <r>
    <x v="1"/>
    <x v="2"/>
    <x v="0"/>
    <n v="37179"/>
  </r>
  <r>
    <x v="1"/>
    <x v="2"/>
    <x v="1"/>
    <n v="4656"/>
  </r>
  <r>
    <x v="1"/>
    <x v="2"/>
    <x v="2"/>
    <n v="2168"/>
  </r>
  <r>
    <x v="1"/>
    <x v="2"/>
    <x v="3"/>
    <n v="1414"/>
  </r>
  <r>
    <x v="1"/>
    <x v="2"/>
    <x v="4"/>
    <n v="1070"/>
  </r>
  <r>
    <x v="1"/>
    <x v="2"/>
    <x v="5"/>
    <n v="794"/>
  </r>
  <r>
    <x v="1"/>
    <x v="2"/>
    <x v="6"/>
    <n v="762"/>
  </r>
  <r>
    <x v="1"/>
    <x v="2"/>
    <x v="7"/>
    <n v="556"/>
  </r>
  <r>
    <x v="1"/>
    <x v="2"/>
    <x v="8"/>
    <n v="382"/>
  </r>
  <r>
    <x v="1"/>
    <x v="2"/>
    <x v="9"/>
    <n v="286"/>
  </r>
  <r>
    <x v="1"/>
    <x v="2"/>
    <x v="10"/>
    <n v="220"/>
  </r>
  <r>
    <x v="1"/>
    <x v="2"/>
    <x v="11"/>
    <n v="181"/>
  </r>
  <r>
    <x v="1"/>
    <x v="2"/>
    <x v="12"/>
    <n v="135"/>
  </r>
  <r>
    <x v="1"/>
    <x v="2"/>
    <x v="13"/>
    <n v="118"/>
  </r>
  <r>
    <x v="1"/>
    <x v="2"/>
    <x v="14"/>
    <n v="72"/>
  </r>
  <r>
    <x v="1"/>
    <x v="2"/>
    <x v="15"/>
    <n v="44"/>
  </r>
  <r>
    <x v="1"/>
    <x v="2"/>
    <x v="16"/>
    <n v="37"/>
  </r>
  <r>
    <x v="1"/>
    <x v="2"/>
    <x v="17"/>
    <n v="17"/>
  </r>
  <r>
    <x v="2"/>
    <x v="3"/>
    <x v="18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ANDROID"/>
    <n v="11075"/>
    <x v="0"/>
    <x v="0"/>
    <x v="0"/>
    <n v="50993"/>
    <n v="50991"/>
    <n v="2310"/>
    <n v="33"/>
    <n v="7"/>
    <n v="64.941726836252101"/>
  </r>
  <r>
    <s v="ANDROID"/>
    <n v="11075"/>
    <x v="0"/>
    <x v="1"/>
    <x v="0"/>
    <n v="61"/>
    <n v="61"/>
    <n v="10"/>
    <n v="0"/>
    <n v="0"/>
    <n v="0"/>
  </r>
  <r>
    <s v="ANDROID"/>
    <n v="11075"/>
    <x v="0"/>
    <x v="2"/>
    <x v="0"/>
    <n v="52407"/>
    <n v="52406"/>
    <n v="13340"/>
    <n v="1156"/>
    <n v="347"/>
    <n v="2950.1826892969598"/>
  </r>
  <r>
    <s v="ANDROID"/>
    <n v="11075"/>
    <x v="0"/>
    <x v="3"/>
    <x v="0"/>
    <n v="202"/>
    <n v="202"/>
    <n v="60"/>
    <n v="5"/>
    <n v="3"/>
    <n v="46.014439135013099"/>
  </r>
  <r>
    <s v="ANDROID"/>
    <n v="11075"/>
    <x v="0"/>
    <x v="4"/>
    <x v="0"/>
    <n v="24992"/>
    <n v="24982"/>
    <n v="2338"/>
    <n v="139"/>
    <n v="70"/>
    <n v="669.60593987466098"/>
  </r>
  <r>
    <s v="ANDROID"/>
    <n v="11076"/>
    <x v="1"/>
    <x v="0"/>
    <x v="0"/>
    <n v="50815"/>
    <n v="50815"/>
    <n v="2209"/>
    <n v="26"/>
    <n v="3"/>
    <n v="56.327539427901101"/>
  </r>
  <r>
    <s v="ANDROID"/>
    <n v="11076"/>
    <x v="1"/>
    <x v="2"/>
    <x v="1"/>
    <n v="2957"/>
    <n v="2957"/>
    <n v="765"/>
    <n v="110"/>
    <n v="47"/>
    <n v="388.38260461660502"/>
  </r>
  <r>
    <s v="ANDROID"/>
    <n v="11076"/>
    <x v="1"/>
    <x v="1"/>
    <x v="0"/>
    <n v="83"/>
    <n v="83"/>
    <n v="16"/>
    <n v="0"/>
    <n v="0"/>
    <n v="0"/>
  </r>
  <r>
    <s v="ANDROID"/>
    <n v="11076"/>
    <x v="1"/>
    <x v="3"/>
    <x v="0"/>
    <n v="272"/>
    <n v="272"/>
    <n v="101"/>
    <n v="2"/>
    <n v="0"/>
    <n v="0"/>
  </r>
  <r>
    <s v="ANDROID"/>
    <n v="11076"/>
    <x v="1"/>
    <x v="2"/>
    <x v="0"/>
    <n v="17543"/>
    <n v="17542"/>
    <n v="5129"/>
    <n v="396"/>
    <n v="160"/>
    <n v="1573.2853045668001"/>
  </r>
  <r>
    <s v="ANDROID"/>
    <n v="11076"/>
    <x v="1"/>
    <x v="4"/>
    <x v="0"/>
    <n v="27771"/>
    <n v="27770"/>
    <n v="3191"/>
    <n v="193"/>
    <n v="103"/>
    <n v="954.43942653528995"/>
  </r>
  <r>
    <s v="ANDROID"/>
    <n v="11077"/>
    <x v="2"/>
    <x v="4"/>
    <x v="0"/>
    <n v="26317"/>
    <n v="26316"/>
    <n v="2494"/>
    <n v="159"/>
    <n v="75"/>
    <n v="629.40178452326995"/>
  </r>
  <r>
    <s v="ANDROID"/>
    <n v="11077"/>
    <x v="2"/>
    <x v="1"/>
    <x v="0"/>
    <n v="72"/>
    <n v="72"/>
    <n v="15"/>
    <n v="0"/>
    <n v="0"/>
    <n v="0"/>
  </r>
  <r>
    <s v="ANDROID"/>
    <n v="11077"/>
    <x v="2"/>
    <x v="3"/>
    <x v="0"/>
    <n v="251"/>
    <n v="251"/>
    <n v="81"/>
    <n v="0"/>
    <n v="0"/>
    <n v="0"/>
  </r>
  <r>
    <s v="ANDROID"/>
    <n v="11077"/>
    <x v="2"/>
    <x v="2"/>
    <x v="0"/>
    <n v="52105"/>
    <n v="52105"/>
    <n v="10273"/>
    <n v="749"/>
    <n v="245"/>
    <n v="2407.1463400521402"/>
  </r>
  <r>
    <s v="ANDROID"/>
    <n v="11077"/>
    <x v="2"/>
    <x v="2"/>
    <x v="1"/>
    <n v="1635"/>
    <n v="1634"/>
    <n v="278"/>
    <n v="34"/>
    <n v="19"/>
    <n v="159.19396817979799"/>
  </r>
  <r>
    <s v="ANDROID"/>
    <n v="11077"/>
    <x v="2"/>
    <x v="0"/>
    <x v="0"/>
    <n v="50865"/>
    <n v="50865"/>
    <n v="2284"/>
    <n v="28"/>
    <n v="6"/>
    <n v="109.919095117772"/>
  </r>
  <r>
    <s v="IOS"/>
    <n v="11072"/>
    <x v="0"/>
    <x v="2"/>
    <x v="0"/>
    <n v="46398"/>
    <n v="46394"/>
    <n v="14190"/>
    <n v="4835"/>
    <n v="1577"/>
    <n v="48948.6060079909"/>
  </r>
  <r>
    <s v="IOS"/>
    <n v="11072"/>
    <x v="0"/>
    <x v="1"/>
    <x v="0"/>
    <n v="63"/>
    <n v="63"/>
    <n v="10"/>
    <n v="4"/>
    <n v="3"/>
    <n v="70.303254188753797"/>
  </r>
  <r>
    <s v="IOS"/>
    <n v="11072"/>
    <x v="0"/>
    <x v="3"/>
    <x v="0"/>
    <n v="277"/>
    <n v="277"/>
    <n v="96"/>
    <n v="19"/>
    <n v="5"/>
    <n v="120.066497119098"/>
  </r>
  <r>
    <s v="IOS"/>
    <n v="11072"/>
    <x v="0"/>
    <x v="4"/>
    <x v="0"/>
    <n v="6868"/>
    <n v="6860"/>
    <n v="1100"/>
    <n v="474"/>
    <n v="170"/>
    <n v="4360.1080818128703"/>
  </r>
  <r>
    <s v="IOS"/>
    <n v="11072"/>
    <x v="0"/>
    <x v="0"/>
    <x v="0"/>
    <n v="94547"/>
    <n v="94531"/>
    <n v="11415"/>
    <n v="6954"/>
    <n v="1375"/>
    <n v="56731.261718144298"/>
  </r>
  <r>
    <s v="IOS"/>
    <n v="11073"/>
    <x v="1"/>
    <x v="4"/>
    <x v="0"/>
    <n v="7337"/>
    <n v="7323"/>
    <n v="1081"/>
    <n v="425"/>
    <n v="173"/>
    <n v="4632.4887788517999"/>
  </r>
  <r>
    <s v="IOS"/>
    <n v="11073"/>
    <x v="1"/>
    <x v="0"/>
    <x v="0"/>
    <n v="95282"/>
    <n v="95264"/>
    <n v="11392"/>
    <n v="7052"/>
    <n v="1373"/>
    <n v="57988.628151735502"/>
  </r>
  <r>
    <s v="IOS"/>
    <n v="11073"/>
    <x v="1"/>
    <x v="3"/>
    <x v="0"/>
    <n v="390"/>
    <n v="390"/>
    <n v="131"/>
    <n v="29"/>
    <n v="11"/>
    <n v="209.386931737108"/>
  </r>
  <r>
    <s v="IOS"/>
    <n v="11073"/>
    <x v="1"/>
    <x v="2"/>
    <x v="1"/>
    <n v="2312"/>
    <n v="2312"/>
    <n v="955"/>
    <n v="473"/>
    <n v="145"/>
    <n v="5565.0366633326503"/>
  </r>
  <r>
    <s v="IOS"/>
    <n v="11073"/>
    <x v="1"/>
    <x v="2"/>
    <x v="0"/>
    <n v="18068"/>
    <n v="18055"/>
    <n v="6481"/>
    <n v="1976"/>
    <n v="685"/>
    <n v="19747.287098689801"/>
  </r>
  <r>
    <s v="IOS"/>
    <n v="11073"/>
    <x v="1"/>
    <x v="1"/>
    <x v="0"/>
    <n v="76"/>
    <n v="76"/>
    <n v="17"/>
    <n v="1"/>
    <n v="0"/>
    <n v="0"/>
  </r>
  <r>
    <s v="IOS"/>
    <n v="11074"/>
    <x v="2"/>
    <x v="2"/>
    <x v="0"/>
    <n v="46320"/>
    <n v="46314"/>
    <n v="9275"/>
    <n v="2940"/>
    <n v="881"/>
    <n v="27470.124520477901"/>
  </r>
  <r>
    <s v="IOS"/>
    <n v="11074"/>
    <x v="2"/>
    <x v="2"/>
    <x v="1"/>
    <n v="1341"/>
    <n v="1341"/>
    <n v="422"/>
    <n v="155"/>
    <n v="52"/>
    <n v="2043.5717512265401"/>
  </r>
  <r>
    <s v="IOS"/>
    <n v="11074"/>
    <x v="2"/>
    <x v="3"/>
    <x v="0"/>
    <n v="378"/>
    <n v="377"/>
    <n v="150"/>
    <n v="31"/>
    <n v="7"/>
    <n v="206.805041090689"/>
  </r>
  <r>
    <s v="IOS"/>
    <n v="11074"/>
    <x v="2"/>
    <x v="0"/>
    <x v="0"/>
    <n v="94489"/>
    <n v="94475"/>
    <n v="11257"/>
    <n v="6790"/>
    <n v="1316"/>
    <n v="54908.051668321597"/>
  </r>
  <r>
    <s v="IOS"/>
    <n v="11074"/>
    <x v="2"/>
    <x v="1"/>
    <x v="0"/>
    <n v="83"/>
    <n v="83"/>
    <n v="19"/>
    <n v="5"/>
    <n v="3"/>
    <n v="64.47"/>
  </r>
  <r>
    <s v="IOS"/>
    <n v="11074"/>
    <x v="2"/>
    <x v="4"/>
    <x v="0"/>
    <n v="7388"/>
    <n v="7370"/>
    <n v="1083"/>
    <n v="455"/>
    <n v="206"/>
    <n v="5072.645039403850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487"/>
    <n v="485"/>
    <n v="144"/>
    <n v="5450.2997889244198"/>
  </r>
  <r>
    <x v="0"/>
    <x v="0"/>
    <x v="1"/>
    <n v="376"/>
    <n v="372"/>
    <n v="91"/>
    <n v="3924.8505628027401"/>
  </r>
  <r>
    <x v="0"/>
    <x v="0"/>
    <x v="2"/>
    <n v="370"/>
    <n v="369"/>
    <n v="105"/>
    <n v="4406.8281860177303"/>
  </r>
  <r>
    <x v="1"/>
    <x v="1"/>
    <x v="3"/>
    <n v="20"/>
    <n v="20"/>
    <n v="3"/>
    <n v="20.843417096728999"/>
  </r>
  <r>
    <x v="1"/>
    <x v="1"/>
    <x v="4"/>
    <n v="7"/>
    <n v="7"/>
    <n v="3"/>
    <n v="17.565368894285299"/>
  </r>
  <r>
    <x v="1"/>
    <x v="1"/>
    <x v="5"/>
    <n v="12"/>
    <n v="12"/>
    <n v="4"/>
    <n v="25.999884912621201"/>
  </r>
  <r>
    <x v="1"/>
    <x v="0"/>
    <x v="0"/>
    <n v="513"/>
    <n v="511"/>
    <n v="145"/>
    <n v="5675.4836355797997"/>
  </r>
  <r>
    <x v="1"/>
    <x v="0"/>
    <x v="1"/>
    <n v="402"/>
    <n v="402"/>
    <n v="98"/>
    <n v="4123.3724771843799"/>
  </r>
  <r>
    <x v="1"/>
    <x v="0"/>
    <x v="2"/>
    <n v="414"/>
    <n v="414"/>
    <n v="117"/>
    <n v="4223.7478655899204"/>
  </r>
  <r>
    <x v="2"/>
    <x v="1"/>
    <x v="3"/>
    <n v="29"/>
    <n v="29"/>
    <n v="11"/>
    <n v="155.018025148303"/>
  </r>
  <r>
    <x v="2"/>
    <x v="1"/>
    <x v="4"/>
    <n v="6"/>
    <n v="6"/>
    <n v="2"/>
    <n v="47.2116145951967"/>
  </r>
  <r>
    <x v="2"/>
    <x v="1"/>
    <x v="5"/>
    <n v="22"/>
    <n v="21"/>
    <n v="8"/>
    <n v="39.229443621084499"/>
  </r>
  <r>
    <x v="2"/>
    <x v="0"/>
    <x v="0"/>
    <n v="560"/>
    <n v="557"/>
    <n v="162"/>
    <n v="5617.1277037521704"/>
  </r>
  <r>
    <x v="2"/>
    <x v="0"/>
    <x v="1"/>
    <n v="463"/>
    <n v="463"/>
    <n v="141"/>
    <n v="5516.4779235776105"/>
  </r>
  <r>
    <x v="2"/>
    <x v="0"/>
    <x v="2"/>
    <n v="456"/>
    <n v="453"/>
    <n v="123"/>
    <n v="4323.5427280274998"/>
  </r>
  <r>
    <x v="3"/>
    <x v="1"/>
    <x v="3"/>
    <n v="53"/>
    <n v="53"/>
    <n v="24"/>
    <n v="218.58210166113199"/>
  </r>
  <r>
    <x v="3"/>
    <x v="1"/>
    <x v="4"/>
    <n v="11"/>
    <n v="11"/>
    <n v="5"/>
    <n v="50.0597600393221"/>
  </r>
  <r>
    <x v="3"/>
    <x v="1"/>
    <x v="5"/>
    <n v="21"/>
    <n v="20"/>
    <n v="7"/>
    <n v="95.845647259346805"/>
  </r>
  <r>
    <x v="3"/>
    <x v="0"/>
    <x v="0"/>
    <n v="755"/>
    <n v="752"/>
    <n v="222"/>
    <n v="8684.7531586652804"/>
  </r>
  <r>
    <x v="3"/>
    <x v="0"/>
    <x v="1"/>
    <n v="590"/>
    <n v="588"/>
    <n v="153"/>
    <n v="6832.8915161746299"/>
  </r>
  <r>
    <x v="3"/>
    <x v="0"/>
    <x v="2"/>
    <n v="637"/>
    <n v="632"/>
    <n v="184"/>
    <n v="7428.7281146045298"/>
  </r>
  <r>
    <x v="4"/>
    <x v="1"/>
    <x v="3"/>
    <n v="48"/>
    <n v="48"/>
    <n v="11"/>
    <n v="109.10494475107799"/>
  </r>
  <r>
    <x v="4"/>
    <x v="1"/>
    <x v="4"/>
    <n v="42"/>
    <n v="42"/>
    <n v="20"/>
    <n v="142.26256379435"/>
  </r>
  <r>
    <x v="4"/>
    <x v="1"/>
    <x v="5"/>
    <n v="41"/>
    <n v="41"/>
    <n v="15"/>
    <n v="132.81986043390799"/>
  </r>
  <r>
    <x v="4"/>
    <x v="0"/>
    <x v="0"/>
    <n v="726"/>
    <n v="723"/>
    <n v="228"/>
    <n v="8428.2554817807504"/>
  </r>
  <r>
    <x v="4"/>
    <x v="0"/>
    <x v="1"/>
    <n v="613"/>
    <n v="611"/>
    <n v="161"/>
    <n v="6361.8088023423297"/>
  </r>
  <r>
    <x v="4"/>
    <x v="0"/>
    <x v="2"/>
    <n v="640"/>
    <n v="640"/>
    <n v="162"/>
    <n v="5900.5956934283804"/>
  </r>
  <r>
    <x v="5"/>
    <x v="1"/>
    <x v="3"/>
    <n v="75"/>
    <n v="75"/>
    <n v="20"/>
    <n v="110.234167093365"/>
  </r>
  <r>
    <x v="5"/>
    <x v="1"/>
    <x v="4"/>
    <n v="39"/>
    <n v="39"/>
    <n v="15"/>
    <n v="164.68185773570701"/>
  </r>
  <r>
    <x v="5"/>
    <x v="1"/>
    <x v="5"/>
    <n v="56"/>
    <n v="56"/>
    <n v="24"/>
    <n v="227.79034933360401"/>
  </r>
  <r>
    <x v="5"/>
    <x v="0"/>
    <x v="0"/>
    <n v="537"/>
    <n v="536"/>
    <n v="148"/>
    <n v="5564.73692304207"/>
  </r>
  <r>
    <x v="5"/>
    <x v="0"/>
    <x v="1"/>
    <n v="509"/>
    <n v="508"/>
    <n v="146"/>
    <n v="5494.4908211243301"/>
  </r>
  <r>
    <x v="5"/>
    <x v="0"/>
    <x v="2"/>
    <n v="540"/>
    <n v="536"/>
    <n v="139"/>
    <n v="6746.9357066496204"/>
  </r>
  <r>
    <x v="6"/>
    <x v="1"/>
    <x v="3"/>
    <n v="81"/>
    <n v="81"/>
    <n v="31"/>
    <n v="282.75884373047103"/>
  </r>
  <r>
    <x v="6"/>
    <x v="1"/>
    <x v="4"/>
    <n v="40"/>
    <n v="40"/>
    <n v="18"/>
    <n v="287.88199111435898"/>
  </r>
  <r>
    <x v="6"/>
    <x v="1"/>
    <x v="5"/>
    <n v="67"/>
    <n v="67"/>
    <n v="23"/>
    <n v="223.453299012006"/>
  </r>
  <r>
    <x v="6"/>
    <x v="0"/>
    <x v="0"/>
    <n v="532"/>
    <n v="530"/>
    <n v="154"/>
    <n v="5543.8783710792104"/>
  </r>
  <r>
    <x v="6"/>
    <x v="0"/>
    <x v="1"/>
    <n v="474"/>
    <n v="472"/>
    <n v="129"/>
    <n v="5823.4315365221901"/>
  </r>
  <r>
    <x v="6"/>
    <x v="0"/>
    <x v="2"/>
    <n v="513"/>
    <n v="511"/>
    <n v="127"/>
    <n v="5395.9849312578899"/>
  </r>
  <r>
    <x v="7"/>
    <x v="1"/>
    <x v="3"/>
    <n v="79"/>
    <n v="79"/>
    <n v="27"/>
    <n v="280.24640048558302"/>
  </r>
  <r>
    <x v="7"/>
    <x v="1"/>
    <x v="4"/>
    <n v="55"/>
    <n v="55"/>
    <n v="28"/>
    <n v="217.894991670509"/>
  </r>
  <r>
    <x v="7"/>
    <x v="1"/>
    <x v="5"/>
    <n v="58"/>
    <n v="58"/>
    <n v="20"/>
    <n v="147.989834644517"/>
  </r>
  <r>
    <x v="7"/>
    <x v="0"/>
    <x v="0"/>
    <n v="572"/>
    <n v="569"/>
    <n v="164"/>
    <n v="5956.4291177872201"/>
  </r>
  <r>
    <x v="7"/>
    <x v="0"/>
    <x v="1"/>
    <n v="455"/>
    <n v="452"/>
    <n v="140"/>
    <n v="5133.6552586007901"/>
  </r>
  <r>
    <x v="7"/>
    <x v="0"/>
    <x v="2"/>
    <n v="491"/>
    <n v="490"/>
    <n v="148"/>
    <n v="5287.2656696101003"/>
  </r>
  <r>
    <x v="8"/>
    <x v="1"/>
    <x v="3"/>
    <n v="93"/>
    <n v="93"/>
    <n v="33"/>
    <n v="306.90208949793401"/>
  </r>
  <r>
    <x v="8"/>
    <x v="1"/>
    <x v="4"/>
    <n v="48"/>
    <n v="48"/>
    <n v="25"/>
    <n v="309.51074641268099"/>
  </r>
  <r>
    <x v="8"/>
    <x v="1"/>
    <x v="5"/>
    <n v="61"/>
    <n v="61"/>
    <n v="26"/>
    <n v="255.36086687448699"/>
  </r>
  <r>
    <x v="8"/>
    <x v="0"/>
    <x v="0"/>
    <n v="586"/>
    <n v="585"/>
    <n v="181"/>
    <n v="6624.5863189740003"/>
  </r>
  <r>
    <x v="8"/>
    <x v="0"/>
    <x v="1"/>
    <n v="473"/>
    <n v="469"/>
    <n v="150"/>
    <n v="4847.2784212628203"/>
  </r>
  <r>
    <x v="8"/>
    <x v="0"/>
    <x v="2"/>
    <n v="528"/>
    <n v="524"/>
    <n v="157"/>
    <n v="5344.1023805372797"/>
  </r>
  <r>
    <x v="9"/>
    <x v="1"/>
    <x v="3"/>
    <n v="85"/>
    <n v="85"/>
    <n v="31"/>
    <n v="291.03171726972198"/>
  </r>
  <r>
    <x v="9"/>
    <x v="1"/>
    <x v="4"/>
    <n v="31"/>
    <n v="31"/>
    <n v="10"/>
    <n v="85.226747517323702"/>
  </r>
  <r>
    <x v="9"/>
    <x v="1"/>
    <x v="5"/>
    <n v="57"/>
    <n v="57"/>
    <n v="25"/>
    <n v="287.38222093101302"/>
  </r>
  <r>
    <x v="9"/>
    <x v="0"/>
    <x v="0"/>
    <n v="600"/>
    <n v="600"/>
    <n v="207"/>
    <n v="6924.6096076488702"/>
  </r>
  <r>
    <x v="9"/>
    <x v="0"/>
    <x v="1"/>
    <n v="498"/>
    <n v="498"/>
    <n v="163"/>
    <n v="6118.8818002095904"/>
  </r>
  <r>
    <x v="9"/>
    <x v="0"/>
    <x v="2"/>
    <n v="480"/>
    <n v="476"/>
    <n v="141"/>
    <n v="4864.4047058855904"/>
  </r>
  <r>
    <x v="10"/>
    <x v="1"/>
    <x v="3"/>
    <n v="113"/>
    <n v="113"/>
    <n v="37"/>
    <n v="398.36308891603301"/>
  </r>
  <r>
    <x v="10"/>
    <x v="1"/>
    <x v="4"/>
    <n v="49"/>
    <n v="49"/>
    <n v="25"/>
    <n v="272.26048554516001"/>
  </r>
  <r>
    <x v="10"/>
    <x v="1"/>
    <x v="5"/>
    <n v="74"/>
    <n v="74"/>
    <n v="32"/>
    <n v="353.95759204335297"/>
  </r>
  <r>
    <x v="10"/>
    <x v="0"/>
    <x v="0"/>
    <n v="870"/>
    <n v="869"/>
    <n v="286"/>
    <n v="9225.9104886765708"/>
  </r>
  <r>
    <x v="10"/>
    <x v="0"/>
    <x v="1"/>
    <n v="712"/>
    <n v="708"/>
    <n v="218"/>
    <n v="7451.6486328445599"/>
  </r>
  <r>
    <x v="10"/>
    <x v="0"/>
    <x v="2"/>
    <n v="754"/>
    <n v="751"/>
    <n v="238"/>
    <n v="9038.3203834084306"/>
  </r>
  <r>
    <x v="11"/>
    <x v="1"/>
    <x v="3"/>
    <n v="90"/>
    <n v="90"/>
    <n v="33"/>
    <n v="253.85775967057199"/>
  </r>
  <r>
    <x v="11"/>
    <x v="1"/>
    <x v="4"/>
    <n v="61"/>
    <n v="61"/>
    <n v="37"/>
    <n v="358.81318199422401"/>
  </r>
  <r>
    <x v="11"/>
    <x v="1"/>
    <x v="5"/>
    <n v="54"/>
    <n v="54"/>
    <n v="25"/>
    <n v="181.155148949861"/>
  </r>
  <r>
    <x v="11"/>
    <x v="0"/>
    <x v="0"/>
    <n v="894"/>
    <n v="893"/>
    <n v="290"/>
    <n v="10649.4647301694"/>
  </r>
  <r>
    <x v="11"/>
    <x v="0"/>
    <x v="1"/>
    <n v="658"/>
    <n v="655"/>
    <n v="204"/>
    <n v="7950.6700915835499"/>
  </r>
  <r>
    <x v="11"/>
    <x v="0"/>
    <x v="2"/>
    <n v="698"/>
    <n v="697"/>
    <n v="215"/>
    <n v="7902.4208198940096"/>
  </r>
  <r>
    <x v="12"/>
    <x v="1"/>
    <x v="3"/>
    <n v="100"/>
    <n v="100"/>
    <n v="38"/>
    <n v="364.47201962379"/>
  </r>
  <r>
    <x v="12"/>
    <x v="1"/>
    <x v="4"/>
    <n v="53"/>
    <n v="53"/>
    <n v="22"/>
    <n v="221.273394459564"/>
  </r>
  <r>
    <x v="12"/>
    <x v="1"/>
    <x v="5"/>
    <n v="71"/>
    <n v="71"/>
    <n v="22"/>
    <n v="183.23060805834399"/>
  </r>
  <r>
    <x v="12"/>
    <x v="0"/>
    <x v="0"/>
    <n v="672"/>
    <n v="672"/>
    <n v="208"/>
    <n v="8098.9032324911304"/>
  </r>
  <r>
    <x v="12"/>
    <x v="0"/>
    <x v="1"/>
    <n v="511"/>
    <n v="509"/>
    <n v="159"/>
    <n v="6340.0495374642796"/>
  </r>
  <r>
    <x v="12"/>
    <x v="0"/>
    <x v="2"/>
    <n v="568"/>
    <n v="567"/>
    <n v="170"/>
    <n v="6443.3972452491798"/>
  </r>
  <r>
    <x v="13"/>
    <x v="1"/>
    <x v="3"/>
    <n v="79"/>
    <n v="79"/>
    <n v="25"/>
    <n v="242.40834244839999"/>
  </r>
  <r>
    <x v="13"/>
    <x v="1"/>
    <x v="4"/>
    <n v="45"/>
    <n v="45"/>
    <n v="24"/>
    <n v="261.290552949541"/>
  </r>
  <r>
    <x v="13"/>
    <x v="1"/>
    <x v="5"/>
    <n v="54"/>
    <n v="54"/>
    <n v="19"/>
    <n v="242.33252857599999"/>
  </r>
  <r>
    <x v="13"/>
    <x v="0"/>
    <x v="0"/>
    <n v="670"/>
    <n v="666"/>
    <n v="202"/>
    <n v="7475.6353555423402"/>
  </r>
  <r>
    <x v="13"/>
    <x v="0"/>
    <x v="1"/>
    <n v="493"/>
    <n v="492"/>
    <n v="158"/>
    <n v="5813.4518554265996"/>
  </r>
  <r>
    <x v="13"/>
    <x v="0"/>
    <x v="2"/>
    <n v="499"/>
    <n v="499"/>
    <n v="141"/>
    <n v="4907.358063015"/>
  </r>
  <r>
    <x v="14"/>
    <x v="1"/>
    <x v="3"/>
    <n v="83"/>
    <n v="83"/>
    <n v="23"/>
    <n v="146.11652532559199"/>
  </r>
  <r>
    <x v="14"/>
    <x v="1"/>
    <x v="4"/>
    <n v="46"/>
    <n v="46"/>
    <n v="16"/>
    <n v="129.059675951782"/>
  </r>
  <r>
    <x v="14"/>
    <x v="1"/>
    <x v="5"/>
    <n v="69"/>
    <n v="69"/>
    <n v="16"/>
    <n v="97.397202010851998"/>
  </r>
  <r>
    <x v="14"/>
    <x v="0"/>
    <x v="0"/>
    <n v="607"/>
    <n v="605"/>
    <n v="166"/>
    <n v="5521.7564539963696"/>
  </r>
  <r>
    <x v="14"/>
    <x v="0"/>
    <x v="1"/>
    <n v="513"/>
    <n v="508"/>
    <n v="111"/>
    <n v="3045.7380162275099"/>
  </r>
  <r>
    <x v="14"/>
    <x v="0"/>
    <x v="2"/>
    <n v="529"/>
    <n v="527"/>
    <n v="116"/>
    <n v="3883.1890197703801"/>
  </r>
  <r>
    <x v="15"/>
    <x v="1"/>
    <x v="3"/>
    <n v="84"/>
    <n v="84"/>
    <n v="23"/>
    <n v="186.18681099300699"/>
  </r>
  <r>
    <x v="15"/>
    <x v="1"/>
    <x v="4"/>
    <n v="55"/>
    <n v="55"/>
    <n v="21"/>
    <n v="108.629950602482"/>
  </r>
  <r>
    <x v="15"/>
    <x v="1"/>
    <x v="5"/>
    <n v="76"/>
    <n v="76"/>
    <n v="23"/>
    <n v="263.81130262953599"/>
  </r>
  <r>
    <x v="15"/>
    <x v="0"/>
    <x v="0"/>
    <n v="699"/>
    <n v="693"/>
    <n v="107"/>
    <n v="2886.21215956272"/>
  </r>
  <r>
    <x v="15"/>
    <x v="0"/>
    <x v="1"/>
    <n v="547"/>
    <n v="543"/>
    <n v="60"/>
    <n v="1654.01358271043"/>
  </r>
  <r>
    <x v="15"/>
    <x v="0"/>
    <x v="2"/>
    <n v="640"/>
    <n v="637"/>
    <n v="83"/>
    <n v="2106.0592227698098"/>
  </r>
  <r>
    <x v="16"/>
    <x v="1"/>
    <x v="3"/>
    <n v="88"/>
    <n v="88"/>
    <n v="23"/>
    <n v="160.90818059507799"/>
  </r>
  <r>
    <x v="16"/>
    <x v="1"/>
    <x v="4"/>
    <n v="67"/>
    <n v="67"/>
    <n v="23"/>
    <n v="180.386106420152"/>
  </r>
  <r>
    <x v="16"/>
    <x v="1"/>
    <x v="5"/>
    <n v="84"/>
    <n v="84"/>
    <n v="29"/>
    <n v="267.30842456177999"/>
  </r>
  <r>
    <x v="16"/>
    <x v="0"/>
    <x v="0"/>
    <n v="930"/>
    <n v="922"/>
    <n v="56"/>
    <n v="820.271962256395"/>
  </r>
  <r>
    <x v="16"/>
    <x v="0"/>
    <x v="1"/>
    <n v="777"/>
    <n v="775"/>
    <n v="49"/>
    <n v="764.79842653424305"/>
  </r>
  <r>
    <x v="16"/>
    <x v="0"/>
    <x v="2"/>
    <n v="733"/>
    <n v="731"/>
    <n v="39"/>
    <n v="660.06306359228995"/>
  </r>
  <r>
    <x v="17"/>
    <x v="1"/>
    <x v="3"/>
    <n v="131"/>
    <n v="131"/>
    <n v="32"/>
    <n v="203.71036083610201"/>
  </r>
  <r>
    <x v="17"/>
    <x v="1"/>
    <x v="4"/>
    <n v="71"/>
    <n v="71"/>
    <n v="20"/>
    <n v="118.425885449955"/>
  </r>
  <r>
    <x v="17"/>
    <x v="1"/>
    <x v="5"/>
    <n v="96"/>
    <n v="96"/>
    <n v="27"/>
    <n v="280.59697402067098"/>
  </r>
  <r>
    <x v="17"/>
    <x v="0"/>
    <x v="0"/>
    <n v="1163"/>
    <n v="1153"/>
    <n v="62"/>
    <n v="1082.03106932694"/>
  </r>
  <r>
    <x v="17"/>
    <x v="0"/>
    <x v="1"/>
    <n v="951"/>
    <n v="946"/>
    <n v="56"/>
    <n v="945.31836175419699"/>
  </r>
  <r>
    <x v="17"/>
    <x v="0"/>
    <x v="2"/>
    <n v="951"/>
    <n v="947"/>
    <n v="62"/>
    <n v="902.7242212128779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487"/>
    <n v="485"/>
    <n v="144"/>
    <n v="5450.2997889244198"/>
  </r>
  <r>
    <x v="0"/>
    <x v="0"/>
    <x v="1"/>
    <n v="376"/>
    <n v="372"/>
    <n v="91"/>
    <n v="3924.8505628027401"/>
  </r>
  <r>
    <x v="0"/>
    <x v="0"/>
    <x v="2"/>
    <n v="370"/>
    <n v="369"/>
    <n v="105"/>
    <n v="4406.8281860177303"/>
  </r>
  <r>
    <x v="1"/>
    <x v="1"/>
    <x v="3"/>
    <n v="20"/>
    <n v="20"/>
    <n v="3"/>
    <n v="20.843417096728999"/>
  </r>
  <r>
    <x v="1"/>
    <x v="1"/>
    <x v="4"/>
    <n v="7"/>
    <n v="7"/>
    <n v="3"/>
    <n v="17.565368894285299"/>
  </r>
  <r>
    <x v="1"/>
    <x v="1"/>
    <x v="5"/>
    <n v="12"/>
    <n v="12"/>
    <n v="4"/>
    <n v="25.999884912621201"/>
  </r>
  <r>
    <x v="1"/>
    <x v="0"/>
    <x v="0"/>
    <n v="513"/>
    <n v="511"/>
    <n v="145"/>
    <n v="5675.4836355797997"/>
  </r>
  <r>
    <x v="1"/>
    <x v="0"/>
    <x v="1"/>
    <n v="402"/>
    <n v="402"/>
    <n v="98"/>
    <n v="4123.3724771843799"/>
  </r>
  <r>
    <x v="1"/>
    <x v="0"/>
    <x v="2"/>
    <n v="414"/>
    <n v="414"/>
    <n v="117"/>
    <n v="4223.7478655899204"/>
  </r>
  <r>
    <x v="2"/>
    <x v="1"/>
    <x v="3"/>
    <n v="29"/>
    <n v="29"/>
    <n v="11"/>
    <n v="155.018025148303"/>
  </r>
  <r>
    <x v="2"/>
    <x v="1"/>
    <x v="4"/>
    <n v="6"/>
    <n v="6"/>
    <n v="2"/>
    <n v="47.2116145951967"/>
  </r>
  <r>
    <x v="2"/>
    <x v="1"/>
    <x v="5"/>
    <n v="22"/>
    <n v="21"/>
    <n v="8"/>
    <n v="39.229443621084499"/>
  </r>
  <r>
    <x v="2"/>
    <x v="0"/>
    <x v="0"/>
    <n v="560"/>
    <n v="557"/>
    <n v="162"/>
    <n v="5617.1277037521704"/>
  </r>
  <r>
    <x v="2"/>
    <x v="0"/>
    <x v="1"/>
    <n v="463"/>
    <n v="463"/>
    <n v="141"/>
    <n v="5516.4779235776105"/>
  </r>
  <r>
    <x v="2"/>
    <x v="0"/>
    <x v="2"/>
    <n v="456"/>
    <n v="453"/>
    <n v="123"/>
    <n v="4323.5427280274998"/>
  </r>
  <r>
    <x v="3"/>
    <x v="1"/>
    <x v="3"/>
    <n v="53"/>
    <n v="53"/>
    <n v="24"/>
    <n v="218.58210166113199"/>
  </r>
  <r>
    <x v="3"/>
    <x v="1"/>
    <x v="4"/>
    <n v="11"/>
    <n v="11"/>
    <n v="5"/>
    <n v="50.0597600393221"/>
  </r>
  <r>
    <x v="3"/>
    <x v="1"/>
    <x v="5"/>
    <n v="21"/>
    <n v="20"/>
    <n v="7"/>
    <n v="95.845647259346805"/>
  </r>
  <r>
    <x v="3"/>
    <x v="0"/>
    <x v="0"/>
    <n v="755"/>
    <n v="752"/>
    <n v="222"/>
    <n v="8684.7531586652804"/>
  </r>
  <r>
    <x v="3"/>
    <x v="0"/>
    <x v="1"/>
    <n v="590"/>
    <n v="588"/>
    <n v="153"/>
    <n v="6832.8915161746299"/>
  </r>
  <r>
    <x v="3"/>
    <x v="0"/>
    <x v="2"/>
    <n v="637"/>
    <n v="632"/>
    <n v="184"/>
    <n v="7428.7281146045298"/>
  </r>
  <r>
    <x v="4"/>
    <x v="1"/>
    <x v="3"/>
    <n v="48"/>
    <n v="48"/>
    <n v="11"/>
    <n v="109.10494475107799"/>
  </r>
  <r>
    <x v="4"/>
    <x v="1"/>
    <x v="4"/>
    <n v="42"/>
    <n v="42"/>
    <n v="20"/>
    <n v="142.26256379435"/>
  </r>
  <r>
    <x v="4"/>
    <x v="1"/>
    <x v="5"/>
    <n v="41"/>
    <n v="41"/>
    <n v="15"/>
    <n v="132.81986043390799"/>
  </r>
  <r>
    <x v="4"/>
    <x v="0"/>
    <x v="0"/>
    <n v="726"/>
    <n v="723"/>
    <n v="228"/>
    <n v="8428.2554817807504"/>
  </r>
  <r>
    <x v="4"/>
    <x v="0"/>
    <x v="1"/>
    <n v="613"/>
    <n v="611"/>
    <n v="161"/>
    <n v="6361.8088023423297"/>
  </r>
  <r>
    <x v="4"/>
    <x v="0"/>
    <x v="2"/>
    <n v="640"/>
    <n v="640"/>
    <n v="162"/>
    <n v="5900.5956934283804"/>
  </r>
  <r>
    <x v="5"/>
    <x v="1"/>
    <x v="3"/>
    <n v="75"/>
    <n v="75"/>
    <n v="20"/>
    <n v="110.234167093365"/>
  </r>
  <r>
    <x v="5"/>
    <x v="1"/>
    <x v="4"/>
    <n v="39"/>
    <n v="39"/>
    <n v="15"/>
    <n v="164.68185773570701"/>
  </r>
  <r>
    <x v="5"/>
    <x v="1"/>
    <x v="5"/>
    <n v="56"/>
    <n v="56"/>
    <n v="24"/>
    <n v="227.79034933360401"/>
  </r>
  <r>
    <x v="5"/>
    <x v="0"/>
    <x v="0"/>
    <n v="537"/>
    <n v="536"/>
    <n v="148"/>
    <n v="5564.73692304207"/>
  </r>
  <r>
    <x v="5"/>
    <x v="0"/>
    <x v="1"/>
    <n v="509"/>
    <n v="508"/>
    <n v="146"/>
    <n v="5494.4908211243301"/>
  </r>
  <r>
    <x v="5"/>
    <x v="0"/>
    <x v="2"/>
    <n v="540"/>
    <n v="536"/>
    <n v="139"/>
    <n v="6746.9357066496204"/>
  </r>
  <r>
    <x v="6"/>
    <x v="1"/>
    <x v="3"/>
    <n v="81"/>
    <n v="81"/>
    <n v="31"/>
    <n v="282.75884373047103"/>
  </r>
  <r>
    <x v="6"/>
    <x v="1"/>
    <x v="4"/>
    <n v="40"/>
    <n v="40"/>
    <n v="18"/>
    <n v="287.88199111435898"/>
  </r>
  <r>
    <x v="6"/>
    <x v="1"/>
    <x v="5"/>
    <n v="67"/>
    <n v="67"/>
    <n v="23"/>
    <n v="223.453299012006"/>
  </r>
  <r>
    <x v="6"/>
    <x v="0"/>
    <x v="0"/>
    <n v="532"/>
    <n v="530"/>
    <n v="154"/>
    <n v="5543.8783710792104"/>
  </r>
  <r>
    <x v="6"/>
    <x v="0"/>
    <x v="1"/>
    <n v="474"/>
    <n v="472"/>
    <n v="129"/>
    <n v="5823.4315365221901"/>
  </r>
  <r>
    <x v="6"/>
    <x v="0"/>
    <x v="2"/>
    <n v="513"/>
    <n v="511"/>
    <n v="127"/>
    <n v="5395.9849312578899"/>
  </r>
  <r>
    <x v="7"/>
    <x v="1"/>
    <x v="3"/>
    <n v="79"/>
    <n v="79"/>
    <n v="27"/>
    <n v="280.24640048558302"/>
  </r>
  <r>
    <x v="7"/>
    <x v="1"/>
    <x v="4"/>
    <n v="55"/>
    <n v="55"/>
    <n v="28"/>
    <n v="217.894991670509"/>
  </r>
  <r>
    <x v="7"/>
    <x v="1"/>
    <x v="5"/>
    <n v="58"/>
    <n v="58"/>
    <n v="20"/>
    <n v="147.989834644517"/>
  </r>
  <r>
    <x v="7"/>
    <x v="0"/>
    <x v="0"/>
    <n v="572"/>
    <n v="569"/>
    <n v="164"/>
    <n v="5956.4291177872201"/>
  </r>
  <r>
    <x v="7"/>
    <x v="0"/>
    <x v="1"/>
    <n v="455"/>
    <n v="452"/>
    <n v="140"/>
    <n v="5133.6552586007901"/>
  </r>
  <r>
    <x v="7"/>
    <x v="0"/>
    <x v="2"/>
    <n v="491"/>
    <n v="490"/>
    <n v="148"/>
    <n v="5287.2656696101003"/>
  </r>
  <r>
    <x v="8"/>
    <x v="1"/>
    <x v="3"/>
    <n v="93"/>
    <n v="93"/>
    <n v="33"/>
    <n v="306.90208949793401"/>
  </r>
  <r>
    <x v="8"/>
    <x v="1"/>
    <x v="4"/>
    <n v="48"/>
    <n v="48"/>
    <n v="25"/>
    <n v="309.51074641268099"/>
  </r>
  <r>
    <x v="8"/>
    <x v="1"/>
    <x v="5"/>
    <n v="61"/>
    <n v="61"/>
    <n v="26"/>
    <n v="255.36086687448699"/>
  </r>
  <r>
    <x v="8"/>
    <x v="0"/>
    <x v="0"/>
    <n v="586"/>
    <n v="585"/>
    <n v="181"/>
    <n v="6624.5863189740003"/>
  </r>
  <r>
    <x v="8"/>
    <x v="0"/>
    <x v="1"/>
    <n v="473"/>
    <n v="469"/>
    <n v="150"/>
    <n v="4847.2784212628203"/>
  </r>
  <r>
    <x v="8"/>
    <x v="0"/>
    <x v="2"/>
    <n v="528"/>
    <n v="524"/>
    <n v="157"/>
    <n v="5344.1023805372797"/>
  </r>
  <r>
    <x v="9"/>
    <x v="1"/>
    <x v="3"/>
    <n v="85"/>
    <n v="85"/>
    <n v="31"/>
    <n v="291.03171726972198"/>
  </r>
  <r>
    <x v="9"/>
    <x v="1"/>
    <x v="4"/>
    <n v="31"/>
    <n v="31"/>
    <n v="10"/>
    <n v="85.226747517323702"/>
  </r>
  <r>
    <x v="9"/>
    <x v="1"/>
    <x v="5"/>
    <n v="57"/>
    <n v="57"/>
    <n v="25"/>
    <n v="287.38222093101302"/>
  </r>
  <r>
    <x v="9"/>
    <x v="0"/>
    <x v="0"/>
    <n v="600"/>
    <n v="600"/>
    <n v="207"/>
    <n v="6924.6096076488702"/>
  </r>
  <r>
    <x v="9"/>
    <x v="0"/>
    <x v="1"/>
    <n v="498"/>
    <n v="498"/>
    <n v="163"/>
    <n v="6118.8818002095904"/>
  </r>
  <r>
    <x v="9"/>
    <x v="0"/>
    <x v="2"/>
    <n v="480"/>
    <n v="476"/>
    <n v="141"/>
    <n v="4864.4047058855904"/>
  </r>
  <r>
    <x v="10"/>
    <x v="1"/>
    <x v="3"/>
    <n v="113"/>
    <n v="113"/>
    <n v="37"/>
    <n v="398.36308891603301"/>
  </r>
  <r>
    <x v="10"/>
    <x v="1"/>
    <x v="4"/>
    <n v="49"/>
    <n v="49"/>
    <n v="25"/>
    <n v="272.26048554516001"/>
  </r>
  <r>
    <x v="10"/>
    <x v="1"/>
    <x v="5"/>
    <n v="74"/>
    <n v="74"/>
    <n v="32"/>
    <n v="353.95759204335297"/>
  </r>
  <r>
    <x v="10"/>
    <x v="0"/>
    <x v="0"/>
    <n v="870"/>
    <n v="869"/>
    <n v="286"/>
    <n v="9225.9104886765708"/>
  </r>
  <r>
    <x v="10"/>
    <x v="0"/>
    <x v="1"/>
    <n v="712"/>
    <n v="708"/>
    <n v="218"/>
    <n v="7451.6486328445599"/>
  </r>
  <r>
    <x v="10"/>
    <x v="0"/>
    <x v="2"/>
    <n v="754"/>
    <n v="751"/>
    <n v="238"/>
    <n v="9038.3203834084306"/>
  </r>
  <r>
    <x v="11"/>
    <x v="1"/>
    <x v="3"/>
    <n v="90"/>
    <n v="90"/>
    <n v="33"/>
    <n v="253.85775967057199"/>
  </r>
  <r>
    <x v="11"/>
    <x v="1"/>
    <x v="4"/>
    <n v="61"/>
    <n v="61"/>
    <n v="37"/>
    <n v="358.81318199422401"/>
  </r>
  <r>
    <x v="11"/>
    <x v="1"/>
    <x v="5"/>
    <n v="54"/>
    <n v="54"/>
    <n v="25"/>
    <n v="181.155148949861"/>
  </r>
  <r>
    <x v="11"/>
    <x v="0"/>
    <x v="0"/>
    <n v="894"/>
    <n v="893"/>
    <n v="290"/>
    <n v="10649.4647301694"/>
  </r>
  <r>
    <x v="11"/>
    <x v="0"/>
    <x v="1"/>
    <n v="658"/>
    <n v="655"/>
    <n v="204"/>
    <n v="7950.6700915835499"/>
  </r>
  <r>
    <x v="11"/>
    <x v="0"/>
    <x v="2"/>
    <n v="698"/>
    <n v="697"/>
    <n v="215"/>
    <n v="7902.4208198940096"/>
  </r>
  <r>
    <x v="12"/>
    <x v="1"/>
    <x v="3"/>
    <n v="100"/>
    <n v="100"/>
    <n v="38"/>
    <n v="364.47201962379"/>
  </r>
  <r>
    <x v="12"/>
    <x v="1"/>
    <x v="4"/>
    <n v="53"/>
    <n v="53"/>
    <n v="22"/>
    <n v="221.273394459564"/>
  </r>
  <r>
    <x v="12"/>
    <x v="1"/>
    <x v="5"/>
    <n v="71"/>
    <n v="71"/>
    <n v="22"/>
    <n v="183.23060805834399"/>
  </r>
  <r>
    <x v="12"/>
    <x v="0"/>
    <x v="0"/>
    <n v="672"/>
    <n v="672"/>
    <n v="208"/>
    <n v="8098.9032324911304"/>
  </r>
  <r>
    <x v="12"/>
    <x v="0"/>
    <x v="1"/>
    <n v="511"/>
    <n v="509"/>
    <n v="159"/>
    <n v="6340.0495374642796"/>
  </r>
  <r>
    <x v="12"/>
    <x v="0"/>
    <x v="2"/>
    <n v="568"/>
    <n v="567"/>
    <n v="170"/>
    <n v="6443.3972452491798"/>
  </r>
  <r>
    <x v="13"/>
    <x v="1"/>
    <x v="3"/>
    <n v="79"/>
    <n v="79"/>
    <n v="25"/>
    <n v="242.40834244839999"/>
  </r>
  <r>
    <x v="13"/>
    <x v="1"/>
    <x v="4"/>
    <n v="45"/>
    <n v="45"/>
    <n v="24"/>
    <n v="261.290552949541"/>
  </r>
  <r>
    <x v="13"/>
    <x v="1"/>
    <x v="5"/>
    <n v="54"/>
    <n v="54"/>
    <n v="19"/>
    <n v="242.33252857599999"/>
  </r>
  <r>
    <x v="13"/>
    <x v="0"/>
    <x v="0"/>
    <n v="670"/>
    <n v="666"/>
    <n v="202"/>
    <n v="7475.6353555423402"/>
  </r>
  <r>
    <x v="13"/>
    <x v="0"/>
    <x v="1"/>
    <n v="493"/>
    <n v="492"/>
    <n v="158"/>
    <n v="5813.4518554265996"/>
  </r>
  <r>
    <x v="13"/>
    <x v="0"/>
    <x v="2"/>
    <n v="499"/>
    <n v="499"/>
    <n v="141"/>
    <n v="4907.358063015"/>
  </r>
  <r>
    <x v="14"/>
    <x v="1"/>
    <x v="3"/>
    <n v="83"/>
    <n v="83"/>
    <n v="23"/>
    <n v="146.11652532559199"/>
  </r>
  <r>
    <x v="14"/>
    <x v="1"/>
    <x v="4"/>
    <n v="46"/>
    <n v="46"/>
    <n v="16"/>
    <n v="129.059675951782"/>
  </r>
  <r>
    <x v="14"/>
    <x v="1"/>
    <x v="5"/>
    <n v="69"/>
    <n v="69"/>
    <n v="16"/>
    <n v="97.397202010851998"/>
  </r>
  <r>
    <x v="14"/>
    <x v="0"/>
    <x v="0"/>
    <n v="607"/>
    <n v="605"/>
    <n v="166"/>
    <n v="5521.7564539963696"/>
  </r>
  <r>
    <x v="14"/>
    <x v="0"/>
    <x v="1"/>
    <n v="513"/>
    <n v="508"/>
    <n v="111"/>
    <n v="3045.7380162275099"/>
  </r>
  <r>
    <x v="14"/>
    <x v="0"/>
    <x v="2"/>
    <n v="529"/>
    <n v="527"/>
    <n v="116"/>
    <n v="3883.1890197703801"/>
  </r>
  <r>
    <x v="15"/>
    <x v="1"/>
    <x v="3"/>
    <n v="84"/>
    <n v="84"/>
    <n v="23"/>
    <n v="186.18681099300699"/>
  </r>
  <r>
    <x v="15"/>
    <x v="1"/>
    <x v="4"/>
    <n v="55"/>
    <n v="55"/>
    <n v="21"/>
    <n v="108.629950602482"/>
  </r>
  <r>
    <x v="15"/>
    <x v="1"/>
    <x v="5"/>
    <n v="76"/>
    <n v="76"/>
    <n v="23"/>
    <n v="263.81130262953599"/>
  </r>
  <r>
    <x v="15"/>
    <x v="0"/>
    <x v="0"/>
    <n v="699"/>
    <n v="693"/>
    <n v="107"/>
    <n v="2886.21215956272"/>
  </r>
  <r>
    <x v="15"/>
    <x v="0"/>
    <x v="1"/>
    <n v="547"/>
    <n v="543"/>
    <n v="60"/>
    <n v="1654.01358271043"/>
  </r>
  <r>
    <x v="15"/>
    <x v="0"/>
    <x v="2"/>
    <n v="640"/>
    <n v="637"/>
    <n v="83"/>
    <n v="2106.0592227698098"/>
  </r>
  <r>
    <x v="16"/>
    <x v="1"/>
    <x v="3"/>
    <n v="88"/>
    <n v="88"/>
    <n v="23"/>
    <n v="160.90818059507799"/>
  </r>
  <r>
    <x v="16"/>
    <x v="1"/>
    <x v="4"/>
    <n v="67"/>
    <n v="67"/>
    <n v="23"/>
    <n v="180.386106420152"/>
  </r>
  <r>
    <x v="16"/>
    <x v="1"/>
    <x v="5"/>
    <n v="84"/>
    <n v="84"/>
    <n v="29"/>
    <n v="267.30842456177999"/>
  </r>
  <r>
    <x v="16"/>
    <x v="0"/>
    <x v="0"/>
    <n v="930"/>
    <n v="922"/>
    <n v="56"/>
    <n v="820.271962256395"/>
  </r>
  <r>
    <x v="16"/>
    <x v="0"/>
    <x v="1"/>
    <n v="777"/>
    <n v="775"/>
    <n v="49"/>
    <n v="764.79842653424305"/>
  </r>
  <r>
    <x v="16"/>
    <x v="0"/>
    <x v="2"/>
    <n v="733"/>
    <n v="731"/>
    <n v="39"/>
    <n v="660.06306359228995"/>
  </r>
  <r>
    <x v="17"/>
    <x v="1"/>
    <x v="3"/>
    <n v="131"/>
    <n v="131"/>
    <n v="32"/>
    <n v="203.71036083610201"/>
  </r>
  <r>
    <x v="17"/>
    <x v="1"/>
    <x v="4"/>
    <n v="71"/>
    <n v="71"/>
    <n v="20"/>
    <n v="118.425885449955"/>
  </r>
  <r>
    <x v="17"/>
    <x v="1"/>
    <x v="5"/>
    <n v="96"/>
    <n v="96"/>
    <n v="27"/>
    <n v="280.59697402067098"/>
  </r>
  <r>
    <x v="17"/>
    <x v="0"/>
    <x v="0"/>
    <n v="1163"/>
    <n v="1153"/>
    <n v="62"/>
    <n v="1082.03106932694"/>
  </r>
  <r>
    <x v="17"/>
    <x v="0"/>
    <x v="1"/>
    <n v="951"/>
    <n v="946"/>
    <n v="56"/>
    <n v="945.31836175419699"/>
  </r>
  <r>
    <x v="17"/>
    <x v="0"/>
    <x v="2"/>
    <n v="951"/>
    <n v="947"/>
    <n v="62"/>
    <n v="902.72422121287798"/>
  </r>
  <r>
    <x v="18"/>
    <x v="2"/>
    <x v="6"/>
    <m/>
    <m/>
    <m/>
    <m/>
  </r>
  <r>
    <x v="18"/>
    <x v="2"/>
    <x v="6"/>
    <m/>
    <m/>
    <m/>
    <m/>
  </r>
  <r>
    <x v="18"/>
    <x v="2"/>
    <x v="6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0.24717500000000001"/>
    <n v="3839"/>
    <n v="6.4384999999999998E-2"/>
  </r>
  <r>
    <x v="0"/>
    <x v="0"/>
    <x v="1"/>
    <n v="0.51476900000000003"/>
    <n v="1370"/>
    <n v="0.37574400000000002"/>
  </r>
  <r>
    <x v="0"/>
    <x v="0"/>
    <x v="2"/>
    <n v="1.3158939999999999"/>
    <n v="5457"/>
    <n v="0.24113899999999999"/>
  </r>
  <r>
    <x v="0"/>
    <x v="1"/>
    <x v="3"/>
    <n v="12.225545"/>
    <n v="23820"/>
    <n v="0.51324700000000001"/>
  </r>
  <r>
    <x v="0"/>
    <x v="1"/>
    <x v="4"/>
    <n v="24.146625"/>
    <n v="65322"/>
    <n v="0.36965500000000001"/>
  </r>
  <r>
    <x v="0"/>
    <x v="1"/>
    <x v="5"/>
    <n v="26.159939000000001"/>
    <n v="79524"/>
    <n v="0.328957"/>
  </r>
  <r>
    <x v="1"/>
    <x v="0"/>
    <x v="0"/>
    <n v="2.3184619999999998"/>
    <n v="28224"/>
    <n v="8.2144999999999996E-2"/>
  </r>
  <r>
    <x v="1"/>
    <x v="0"/>
    <x v="2"/>
    <n v="6.2545809999999999"/>
    <n v="31270"/>
    <n v="0.200019"/>
  </r>
  <r>
    <x v="1"/>
    <x v="0"/>
    <x v="1"/>
    <n v="0.90337199999999995"/>
    <n v="8391"/>
    <n v="0.10766000000000001"/>
  </r>
  <r>
    <x v="1"/>
    <x v="1"/>
    <x v="3"/>
    <n v="17.23077"/>
    <n v="36270"/>
    <n v="0.47506900000000002"/>
  </r>
  <r>
    <x v="1"/>
    <x v="1"/>
    <x v="4"/>
    <n v="31.963325000000001"/>
    <n v="77850"/>
    <n v="0.410576"/>
  </r>
  <r>
    <x v="1"/>
    <x v="1"/>
    <x v="5"/>
    <n v="31.973966999999998"/>
    <n v="96107"/>
    <n v="0.33269100000000001"/>
  </r>
  <r>
    <x v="2"/>
    <x v="0"/>
    <x v="0"/>
    <n v="4.4943609999999996"/>
    <n v="47446"/>
    <n v="9.4726000000000005E-2"/>
  </r>
  <r>
    <x v="2"/>
    <x v="0"/>
    <x v="1"/>
    <n v="1.7626329999999999"/>
    <n v="15652"/>
    <n v="0.11261400000000001"/>
  </r>
  <r>
    <x v="2"/>
    <x v="0"/>
    <x v="2"/>
    <n v="9.1766190000000005"/>
    <n v="45843"/>
    <n v="0.20017499999999999"/>
  </r>
  <r>
    <x v="2"/>
    <x v="1"/>
    <x v="5"/>
    <n v="40.916356999999998"/>
    <n v="112623"/>
    <n v="0.36330400000000002"/>
  </r>
  <r>
    <x v="2"/>
    <x v="1"/>
    <x v="3"/>
    <n v="22.347011999999999"/>
    <n v="42293"/>
    <n v="0.52838600000000002"/>
  </r>
  <r>
    <x v="2"/>
    <x v="1"/>
    <x v="4"/>
    <n v="41.897632999999999"/>
    <n v="95744"/>
    <n v="0.43760100000000002"/>
  </r>
  <r>
    <x v="3"/>
    <x v="0"/>
    <x v="0"/>
    <n v="7.2050260000000002"/>
    <n v="66196"/>
    <n v="0.108844"/>
  </r>
  <r>
    <x v="3"/>
    <x v="0"/>
    <x v="2"/>
    <n v="5.9370149999999997"/>
    <n v="60092"/>
    <n v="9.8798999999999998E-2"/>
  </r>
  <r>
    <x v="3"/>
    <x v="0"/>
    <x v="1"/>
    <n v="3.5511379999999999"/>
    <n v="21850"/>
    <n v="0.162523"/>
  </r>
  <r>
    <x v="3"/>
    <x v="1"/>
    <x v="3"/>
    <n v="32.646732"/>
    <n v="58328"/>
    <n v="0.55970900000000001"/>
  </r>
  <r>
    <x v="3"/>
    <x v="1"/>
    <x v="5"/>
    <n v="58.785890999999999"/>
    <n v="157921"/>
    <n v="0.372249"/>
  </r>
  <r>
    <x v="3"/>
    <x v="1"/>
    <x v="4"/>
    <n v="52.701987000000003"/>
    <n v="123871"/>
    <n v="0.42545899999999998"/>
  </r>
  <r>
    <x v="4"/>
    <x v="0"/>
    <x v="0"/>
    <n v="12.126794"/>
    <n v="114223"/>
    <n v="0.106168"/>
  </r>
  <r>
    <x v="4"/>
    <x v="0"/>
    <x v="1"/>
    <n v="7.4859879999999999"/>
    <n v="41466"/>
    <n v="0.180533"/>
  </r>
  <r>
    <x v="4"/>
    <x v="0"/>
    <x v="2"/>
    <n v="8.670693"/>
    <n v="91826"/>
    <n v="9.4424999999999995E-2"/>
  </r>
  <r>
    <x v="4"/>
    <x v="1"/>
    <x v="3"/>
    <n v="29.847252999999998"/>
    <n v="67603"/>
    <n v="0.44150800000000001"/>
  </r>
  <r>
    <x v="4"/>
    <x v="1"/>
    <x v="5"/>
    <n v="59.492297000000001"/>
    <n v="163663"/>
    <n v="0.36350500000000002"/>
  </r>
  <r>
    <x v="4"/>
    <x v="1"/>
    <x v="4"/>
    <n v="56.898380000000003"/>
    <n v="135782"/>
    <n v="0.41904200000000003"/>
  </r>
  <r>
    <x v="5"/>
    <x v="0"/>
    <x v="1"/>
    <n v="8.5252370000000006"/>
    <n v="51077"/>
    <n v="0.16691"/>
  </r>
  <r>
    <x v="5"/>
    <x v="0"/>
    <x v="2"/>
    <n v="14.377385"/>
    <n v="119527"/>
    <n v="0.120286"/>
  </r>
  <r>
    <x v="5"/>
    <x v="0"/>
    <x v="0"/>
    <n v="15.134511"/>
    <n v="151476"/>
    <n v="9.9914000000000003E-2"/>
  </r>
  <r>
    <x v="5"/>
    <x v="1"/>
    <x v="5"/>
    <n v="56.700442000000002"/>
    <n v="141496"/>
    <n v="0.40072099999999999"/>
  </r>
  <r>
    <x v="5"/>
    <x v="1"/>
    <x v="3"/>
    <n v="29.900027999999999"/>
    <n v="57513"/>
    <n v="0.51988299999999998"/>
  </r>
  <r>
    <x v="5"/>
    <x v="1"/>
    <x v="4"/>
    <n v="54.906188"/>
    <n v="121388"/>
    <n v="0.45232"/>
  </r>
  <r>
    <x v="6"/>
    <x v="0"/>
    <x v="2"/>
    <n v="15.914393"/>
    <n v="112600"/>
    <n v="0.14133599999999999"/>
  </r>
  <r>
    <x v="6"/>
    <x v="0"/>
    <x v="0"/>
    <n v="18.852551999999999"/>
    <n v="149156"/>
    <n v="0.12639500000000001"/>
  </r>
  <r>
    <x v="6"/>
    <x v="0"/>
    <x v="1"/>
    <n v="9.7037969999999998"/>
    <n v="55427"/>
    <n v="0.17507300000000001"/>
  </r>
  <r>
    <x v="6"/>
    <x v="1"/>
    <x v="3"/>
    <n v="31.351858"/>
    <n v="59646"/>
    <n v="0.52563199999999999"/>
  </r>
  <r>
    <x v="6"/>
    <x v="1"/>
    <x v="4"/>
    <n v="50.421228999999997"/>
    <n v="109441"/>
    <n v="0.46071600000000001"/>
  </r>
  <r>
    <x v="6"/>
    <x v="1"/>
    <x v="5"/>
    <n v="57.322868999999997"/>
    <n v="128431"/>
    <n v="0.44633200000000001"/>
  </r>
  <r>
    <x v="7"/>
    <x v="0"/>
    <x v="1"/>
    <n v="11.32324"/>
    <n v="63558"/>
    <n v="0.17815600000000001"/>
  </r>
  <r>
    <x v="7"/>
    <x v="0"/>
    <x v="2"/>
    <n v="17.495497"/>
    <n v="126924"/>
    <n v="0.13784199999999999"/>
  </r>
  <r>
    <x v="7"/>
    <x v="0"/>
    <x v="0"/>
    <n v="18.793115"/>
    <n v="163014"/>
    <n v="0.115285"/>
  </r>
  <r>
    <x v="7"/>
    <x v="1"/>
    <x v="4"/>
    <n v="53.622701999999997"/>
    <n v="120518"/>
    <n v="0.44493500000000002"/>
  </r>
  <r>
    <x v="7"/>
    <x v="1"/>
    <x v="5"/>
    <n v="56.689926999999997"/>
    <n v="140018"/>
    <n v="0.40487600000000001"/>
  </r>
  <r>
    <x v="7"/>
    <x v="1"/>
    <x v="3"/>
    <n v="33.670321999999999"/>
    <n v="62709"/>
    <n v="0.53693000000000002"/>
  </r>
  <r>
    <x v="8"/>
    <x v="0"/>
    <x v="2"/>
    <n v="17.664477999999999"/>
    <n v="122556"/>
    <n v="0.14413400000000001"/>
  </r>
  <r>
    <x v="8"/>
    <x v="0"/>
    <x v="1"/>
    <n v="10.815092"/>
    <n v="67364"/>
    <n v="0.160547"/>
  </r>
  <r>
    <x v="8"/>
    <x v="0"/>
    <x v="0"/>
    <n v="19.810310999999999"/>
    <n v="156186"/>
    <n v="0.12683800000000001"/>
  </r>
  <r>
    <x v="8"/>
    <x v="1"/>
    <x v="5"/>
    <n v="64.834207000000006"/>
    <n v="148354"/>
    <n v="0.43702400000000002"/>
  </r>
  <r>
    <x v="8"/>
    <x v="1"/>
    <x v="3"/>
    <n v="35.647669"/>
    <n v="71303"/>
    <n v="0.499946"/>
  </r>
  <r>
    <x v="8"/>
    <x v="1"/>
    <x v="4"/>
    <n v="59.683449000000003"/>
    <n v="131172"/>
    <n v="0.45500099999999999"/>
  </r>
  <r>
    <x v="9"/>
    <x v="0"/>
    <x v="1"/>
    <n v="12.487258000000001"/>
    <n v="69821"/>
    <n v="0.17884700000000001"/>
  </r>
  <r>
    <x v="9"/>
    <x v="0"/>
    <x v="0"/>
    <n v="23.859189000000001"/>
    <n v="145929"/>
    <n v="0.16349900000000001"/>
  </r>
  <r>
    <x v="9"/>
    <x v="0"/>
    <x v="2"/>
    <n v="18.370998"/>
    <n v="121041"/>
    <n v="0.15177499999999999"/>
  </r>
  <r>
    <x v="9"/>
    <x v="1"/>
    <x v="3"/>
    <n v="44.299148000000002"/>
    <n v="81910"/>
    <n v="0.54082699999999995"/>
  </r>
  <r>
    <x v="9"/>
    <x v="1"/>
    <x v="4"/>
    <n v="68.682693"/>
    <n v="145194"/>
    <n v="0.47304099999999999"/>
  </r>
  <r>
    <x v="9"/>
    <x v="1"/>
    <x v="5"/>
    <n v="78.489936999999998"/>
    <n v="169196"/>
    <n v="0.46389900000000001"/>
  </r>
  <r>
    <x v="10"/>
    <x v="0"/>
    <x v="2"/>
    <n v="21.378784"/>
    <n v="151280"/>
    <n v="0.141319"/>
  </r>
  <r>
    <x v="10"/>
    <x v="0"/>
    <x v="1"/>
    <n v="17.486823000000001"/>
    <n v="82445"/>
    <n v="0.21210300000000001"/>
  </r>
  <r>
    <x v="10"/>
    <x v="0"/>
    <x v="0"/>
    <n v="26.309021999999999"/>
    <n v="182021"/>
    <n v="0.144538"/>
  </r>
  <r>
    <x v="10"/>
    <x v="1"/>
    <x v="5"/>
    <n v="97.412998000000002"/>
    <n v="223421"/>
    <n v="0.436006"/>
  </r>
  <r>
    <x v="10"/>
    <x v="1"/>
    <x v="4"/>
    <n v="96.648793999999995"/>
    <n v="200547"/>
    <n v="0.48192600000000002"/>
  </r>
  <r>
    <x v="10"/>
    <x v="1"/>
    <x v="3"/>
    <n v="54.638368"/>
    <n v="101863"/>
    <n v="0.53639099999999995"/>
  </r>
  <r>
    <x v="11"/>
    <x v="0"/>
    <x v="1"/>
    <n v="17.721533000000001"/>
    <n v="94993"/>
    <n v="0.186556"/>
  </r>
  <r>
    <x v="11"/>
    <x v="0"/>
    <x v="2"/>
    <n v="22.086224999999999"/>
    <n v="157301"/>
    <n v="0.140407"/>
  </r>
  <r>
    <x v="11"/>
    <x v="0"/>
    <x v="0"/>
    <n v="28.387494"/>
    <n v="188604"/>
    <n v="0.15051400000000001"/>
  </r>
  <r>
    <x v="11"/>
    <x v="1"/>
    <x v="3"/>
    <n v="55.858781999999998"/>
    <n v="106688"/>
    <n v="0.52357100000000001"/>
  </r>
  <r>
    <x v="11"/>
    <x v="1"/>
    <x v="4"/>
    <n v="89.171366000000006"/>
    <n v="199286"/>
    <n v="0.44745400000000002"/>
  </r>
  <r>
    <x v="11"/>
    <x v="1"/>
    <x v="5"/>
    <n v="98.65531"/>
    <n v="234788"/>
    <n v="0.42018899999999998"/>
  </r>
  <r>
    <x v="12"/>
    <x v="0"/>
    <x v="0"/>
    <n v="21.603071"/>
    <n v="166896"/>
    <n v="0.12944"/>
  </r>
  <r>
    <x v="12"/>
    <x v="0"/>
    <x v="1"/>
    <n v="15.242993999999999"/>
    <n v="85588"/>
    <n v="0.17809700000000001"/>
  </r>
  <r>
    <x v="12"/>
    <x v="0"/>
    <x v="2"/>
    <n v="20.050840000000001"/>
    <n v="135877"/>
    <n v="0.147566"/>
  </r>
  <r>
    <x v="12"/>
    <x v="1"/>
    <x v="5"/>
    <n v="84.837885999999997"/>
    <n v="185514"/>
    <n v="0.45731300000000003"/>
  </r>
  <r>
    <x v="12"/>
    <x v="1"/>
    <x v="4"/>
    <n v="78.835645"/>
    <n v="168180"/>
    <n v="0.46875800000000001"/>
  </r>
  <r>
    <x v="12"/>
    <x v="1"/>
    <x v="3"/>
    <n v="51.329884"/>
    <n v="93756"/>
    <n v="0.54748399999999997"/>
  </r>
  <r>
    <x v="13"/>
    <x v="0"/>
    <x v="0"/>
    <n v="22.254390999999998"/>
    <n v="171275"/>
    <n v="0.12993399999999999"/>
  </r>
  <r>
    <x v="13"/>
    <x v="0"/>
    <x v="2"/>
    <n v="18.481843000000001"/>
    <n v="147053"/>
    <n v="0.12568199999999999"/>
  </r>
  <r>
    <x v="13"/>
    <x v="0"/>
    <x v="1"/>
    <n v="17.789268"/>
    <n v="91946"/>
    <n v="0.19347500000000001"/>
  </r>
  <r>
    <x v="13"/>
    <x v="1"/>
    <x v="5"/>
    <n v="76.152828"/>
    <n v="184053"/>
    <n v="0.41375499999999998"/>
  </r>
  <r>
    <x v="13"/>
    <x v="1"/>
    <x v="4"/>
    <n v="69.850221000000005"/>
    <n v="165713"/>
    <n v="0.42151300000000003"/>
  </r>
  <r>
    <x v="13"/>
    <x v="1"/>
    <x v="3"/>
    <n v="48.852733999999998"/>
    <n v="96982"/>
    <n v="0.50373000000000001"/>
  </r>
  <r>
    <x v="14"/>
    <x v="0"/>
    <x v="1"/>
    <n v="14.026348"/>
    <n v="90558"/>
    <n v="0.154888"/>
  </r>
  <r>
    <x v="14"/>
    <x v="0"/>
    <x v="2"/>
    <n v="20.594314000000001"/>
    <n v="153830"/>
    <n v="0.133877"/>
  </r>
  <r>
    <x v="14"/>
    <x v="0"/>
    <x v="0"/>
    <n v="19.471549"/>
    <n v="179514"/>
    <n v="0.10846799999999999"/>
  </r>
  <r>
    <x v="14"/>
    <x v="1"/>
    <x v="4"/>
    <n v="92.969859999999997"/>
    <n v="168611"/>
    <n v="0.55138699999999996"/>
  </r>
  <r>
    <x v="14"/>
    <x v="1"/>
    <x v="3"/>
    <n v="50.691445999999999"/>
    <n v="98607"/>
    <n v="0.51407599999999998"/>
  </r>
  <r>
    <x v="14"/>
    <x v="1"/>
    <x v="5"/>
    <n v="99.701950999999994"/>
    <n v="193599"/>
    <n v="0.51499200000000001"/>
  </r>
  <r>
    <x v="15"/>
    <x v="0"/>
    <x v="1"/>
    <n v="15.510014999999999"/>
    <n v="98812"/>
    <n v="0.15696499999999999"/>
  </r>
  <r>
    <x v="15"/>
    <x v="0"/>
    <x v="2"/>
    <n v="20.717357"/>
    <n v="157074"/>
    <n v="0.13189600000000001"/>
  </r>
  <r>
    <x v="15"/>
    <x v="0"/>
    <x v="0"/>
    <n v="20.708539999999999"/>
    <n v="179905"/>
    <n v="0.115108"/>
  </r>
  <r>
    <x v="15"/>
    <x v="1"/>
    <x v="4"/>
    <n v="74.849125000000001"/>
    <n v="179464"/>
    <n v="0.41707"/>
  </r>
  <r>
    <x v="15"/>
    <x v="1"/>
    <x v="5"/>
    <n v="77.205198999999993"/>
    <n v="197670"/>
    <n v="0.39057599999999998"/>
  </r>
  <r>
    <x v="15"/>
    <x v="1"/>
    <x v="3"/>
    <n v="54.977330000000002"/>
    <n v="107219"/>
    <n v="0.51275700000000002"/>
  </r>
  <r>
    <x v="16"/>
    <x v="0"/>
    <x v="2"/>
    <n v="24.480492000000002"/>
    <n v="174959"/>
    <n v="0.13992099999999999"/>
  </r>
  <r>
    <x v="16"/>
    <x v="0"/>
    <x v="0"/>
    <n v="27.478953000000001"/>
    <n v="220444"/>
    <n v="0.124653"/>
  </r>
  <r>
    <x v="16"/>
    <x v="0"/>
    <x v="1"/>
    <n v="15.9846"/>
    <n v="97932"/>
    <n v="0.163221"/>
  </r>
  <r>
    <x v="16"/>
    <x v="1"/>
    <x v="4"/>
    <n v="82.213463000000004"/>
    <n v="199884"/>
    <n v="0.411306"/>
  </r>
  <r>
    <x v="16"/>
    <x v="1"/>
    <x v="5"/>
    <n v="85.517932000000002"/>
    <n v="216533"/>
    <n v="0.39494200000000002"/>
  </r>
  <r>
    <x v="16"/>
    <x v="1"/>
    <x v="3"/>
    <n v="65.20402"/>
    <n v="126479"/>
    <n v="0.51553199999999999"/>
  </r>
  <r>
    <x v="17"/>
    <x v="0"/>
    <x v="0"/>
    <n v="28.736927999999999"/>
    <n v="239790"/>
    <n v="0.119842"/>
  </r>
  <r>
    <x v="17"/>
    <x v="0"/>
    <x v="2"/>
    <n v="26.288062"/>
    <n v="197564"/>
    <n v="0.13306100000000001"/>
  </r>
  <r>
    <x v="17"/>
    <x v="0"/>
    <x v="1"/>
    <n v="18.130642000000002"/>
    <n v="116192"/>
    <n v="0.15604000000000001"/>
  </r>
  <r>
    <x v="17"/>
    <x v="1"/>
    <x v="3"/>
    <n v="92.659156999999993"/>
    <n v="148714"/>
    <n v="0.62306899999999998"/>
  </r>
  <r>
    <x v="17"/>
    <x v="1"/>
    <x v="4"/>
    <n v="124.774997"/>
    <n v="248851"/>
    <n v="0.50140399999999996"/>
  </r>
  <r>
    <x v="17"/>
    <x v="1"/>
    <x v="5"/>
    <n v="136.05860200000001"/>
    <n v="281901"/>
    <n v="0.48264699999999999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ANDROID"/>
    <x v="0"/>
    <x v="0"/>
    <d v="2025-04-14T00:00:00"/>
    <n v="103"/>
    <n v="103"/>
    <n v="14"/>
  </r>
  <r>
    <s v="ANDROID"/>
    <x v="0"/>
    <x v="1"/>
    <d v="2025-04-14T00:00:00"/>
    <n v="123"/>
    <n v="123"/>
    <n v="36"/>
  </r>
  <r>
    <s v="ANDROID"/>
    <x v="0"/>
    <x v="0"/>
    <d v="2025-04-12T00:00:00"/>
    <n v="95"/>
    <n v="95"/>
    <n v="10"/>
  </r>
  <r>
    <s v="ANDROID"/>
    <x v="0"/>
    <x v="1"/>
    <d v="2025-04-13T00:00:00"/>
    <n v="115"/>
    <n v="115"/>
    <n v="33"/>
  </r>
  <r>
    <s v="ANDROID"/>
    <x v="0"/>
    <x v="0"/>
    <d v="2025-04-13T00:00:00"/>
    <n v="123"/>
    <n v="123"/>
    <n v="22"/>
  </r>
  <r>
    <s v="ANDROID"/>
    <x v="0"/>
    <x v="1"/>
    <d v="2025-04-17T00:00:00"/>
    <n v="117"/>
    <n v="117"/>
    <n v="31"/>
  </r>
  <r>
    <s v="ANDROID"/>
    <x v="0"/>
    <x v="0"/>
    <d v="2025-04-10T00:00:00"/>
    <n v="109"/>
    <n v="109"/>
    <n v="11"/>
  </r>
  <r>
    <s v="ANDROID"/>
    <x v="0"/>
    <x v="1"/>
    <d v="2025-04-10T00:00:00"/>
    <n v="82"/>
    <n v="82"/>
    <n v="13"/>
  </r>
  <r>
    <s v="ANDROID"/>
    <x v="0"/>
    <x v="1"/>
    <d v="2025-04-08T00:00:00"/>
    <n v="39"/>
    <n v="39"/>
    <n v="7"/>
  </r>
  <r>
    <s v="ANDROID"/>
    <x v="0"/>
    <x v="0"/>
    <d v="2025-04-06T00:00:00"/>
    <n v="51"/>
    <n v="51"/>
    <n v="6"/>
  </r>
  <r>
    <s v="ANDROID"/>
    <x v="0"/>
    <x v="1"/>
    <d v="2025-04-09T00:00:00"/>
    <n v="64"/>
    <n v="64"/>
    <n v="19"/>
  </r>
  <r>
    <s v="ANDROID"/>
    <x v="0"/>
    <x v="1"/>
    <d v="2025-04-15T00:00:00"/>
    <n v="111"/>
    <n v="111"/>
    <n v="32"/>
  </r>
  <r>
    <s v="ANDROID"/>
    <x v="0"/>
    <x v="1"/>
    <d v="2025-04-16T00:00:00"/>
    <n v="106"/>
    <n v="106"/>
    <n v="31"/>
  </r>
  <r>
    <s v="ANDROID"/>
    <x v="0"/>
    <x v="0"/>
    <d v="2025-04-07T00:00:00"/>
    <n v="62"/>
    <n v="62"/>
    <n v="11"/>
  </r>
  <r>
    <s v="ANDROID"/>
    <x v="0"/>
    <x v="0"/>
    <d v="2025-04-18T00:00:00"/>
    <n v="94"/>
    <n v="94"/>
    <n v="9"/>
  </r>
  <r>
    <s v="ANDROID"/>
    <x v="0"/>
    <x v="0"/>
    <d v="2025-04-19T00:00:00"/>
    <n v="94"/>
    <n v="94"/>
    <n v="15"/>
  </r>
  <r>
    <s v="ANDROID"/>
    <x v="0"/>
    <x v="0"/>
    <d v="2025-04-03T00:00:00"/>
    <n v="2"/>
    <n v="2"/>
    <n v="0"/>
  </r>
  <r>
    <s v="ANDROID"/>
    <x v="0"/>
    <x v="1"/>
    <d v="2025-04-11T00:00:00"/>
    <n v="80"/>
    <n v="80"/>
    <n v="17"/>
  </r>
  <r>
    <s v="ANDROID"/>
    <x v="0"/>
    <x v="0"/>
    <d v="2025-04-16T00:00:00"/>
    <n v="85"/>
    <n v="85"/>
    <n v="12"/>
  </r>
  <r>
    <s v="ANDROID"/>
    <x v="0"/>
    <x v="1"/>
    <d v="2025-04-12T00:00:00"/>
    <n v="88"/>
    <n v="88"/>
    <n v="29"/>
  </r>
  <r>
    <s v="ANDROID"/>
    <x v="0"/>
    <x v="0"/>
    <d v="2025-04-15T00:00:00"/>
    <n v="104"/>
    <n v="104"/>
    <n v="11"/>
  </r>
  <r>
    <s v="ANDROID"/>
    <x v="0"/>
    <x v="1"/>
    <d v="2025-04-18T00:00:00"/>
    <n v="95"/>
    <n v="95"/>
    <n v="30"/>
  </r>
  <r>
    <s v="ANDROID"/>
    <x v="0"/>
    <x v="1"/>
    <d v="2025-04-05T00:00:00"/>
    <n v="13"/>
    <n v="13"/>
    <n v="3"/>
  </r>
  <r>
    <s v="ANDROID"/>
    <x v="0"/>
    <x v="0"/>
    <d v="2025-04-08T00:00:00"/>
    <n v="115"/>
    <n v="115"/>
    <n v="13"/>
  </r>
  <r>
    <s v="ANDROID"/>
    <x v="0"/>
    <x v="1"/>
    <d v="2025-04-06T00:00:00"/>
    <n v="24"/>
    <n v="24"/>
    <n v="4"/>
  </r>
  <r>
    <s v="ANDROID"/>
    <x v="0"/>
    <x v="1"/>
    <d v="2025-04-04T00:00:00"/>
    <n v="3"/>
    <n v="3"/>
    <n v="0"/>
  </r>
  <r>
    <s v="ANDROID"/>
    <x v="0"/>
    <x v="1"/>
    <d v="2025-04-19T00:00:00"/>
    <n v="117"/>
    <n v="117"/>
    <n v="37"/>
  </r>
  <r>
    <s v="ANDROID"/>
    <x v="0"/>
    <x v="1"/>
    <d v="2025-04-07T00:00:00"/>
    <n v="33"/>
    <n v="33"/>
    <n v="8"/>
  </r>
  <r>
    <s v="ANDROID"/>
    <x v="0"/>
    <x v="0"/>
    <d v="2025-04-11T00:00:00"/>
    <n v="102"/>
    <n v="102"/>
    <n v="10"/>
  </r>
  <r>
    <s v="ANDROID"/>
    <x v="0"/>
    <x v="0"/>
    <d v="2025-04-05T00:00:00"/>
    <n v="32"/>
    <n v="32"/>
    <n v="3"/>
  </r>
  <r>
    <s v="ANDROID"/>
    <x v="0"/>
    <x v="0"/>
    <d v="2025-04-04T00:00:00"/>
    <n v="19"/>
    <n v="19"/>
    <n v="4"/>
  </r>
  <r>
    <s v="ANDROID"/>
    <x v="0"/>
    <x v="0"/>
    <d v="2025-04-09T00:00:00"/>
    <n v="101"/>
    <n v="101"/>
    <n v="12"/>
  </r>
  <r>
    <s v="ANDROID"/>
    <x v="0"/>
    <x v="0"/>
    <d v="2025-04-17T00:00:00"/>
    <n v="111"/>
    <n v="111"/>
    <n v="9"/>
  </r>
  <r>
    <s v="ANDROID"/>
    <x v="1"/>
    <x v="0"/>
    <d v="2025-04-18T00:00:00"/>
    <n v="87"/>
    <n v="87"/>
    <n v="18"/>
  </r>
  <r>
    <s v="ANDROID"/>
    <x v="1"/>
    <x v="1"/>
    <d v="2025-04-17T00:00:00"/>
    <n v="112"/>
    <n v="112"/>
    <n v="25"/>
  </r>
  <r>
    <s v="ANDROID"/>
    <x v="1"/>
    <x v="0"/>
    <d v="2025-04-19T00:00:00"/>
    <n v="100"/>
    <n v="100"/>
    <n v="19"/>
  </r>
  <r>
    <s v="ANDROID"/>
    <x v="1"/>
    <x v="1"/>
    <d v="2025-04-04T00:00:00"/>
    <n v="1"/>
    <n v="1"/>
    <n v="0"/>
  </r>
  <r>
    <s v="ANDROID"/>
    <x v="1"/>
    <x v="0"/>
    <d v="2025-04-03T00:00:00"/>
    <n v="1"/>
    <n v="1"/>
    <n v="0"/>
  </r>
  <r>
    <s v="ANDROID"/>
    <x v="1"/>
    <x v="1"/>
    <d v="2025-04-06T00:00:00"/>
    <n v="24"/>
    <n v="24"/>
    <n v="9"/>
  </r>
  <r>
    <s v="ANDROID"/>
    <x v="1"/>
    <x v="0"/>
    <d v="2025-04-11T00:00:00"/>
    <n v="109"/>
    <n v="109"/>
    <n v="20"/>
  </r>
  <r>
    <s v="ANDROID"/>
    <x v="1"/>
    <x v="0"/>
    <d v="2025-04-14T00:00:00"/>
    <n v="134"/>
    <n v="134"/>
    <n v="23"/>
  </r>
  <r>
    <s v="ANDROID"/>
    <x v="1"/>
    <x v="1"/>
    <d v="2025-04-14T00:00:00"/>
    <n v="124"/>
    <n v="124"/>
    <n v="33"/>
  </r>
  <r>
    <s v="ANDROID"/>
    <x v="1"/>
    <x v="1"/>
    <d v="2025-04-13T00:00:00"/>
    <n v="117"/>
    <n v="117"/>
    <n v="29"/>
  </r>
  <r>
    <s v="ANDROID"/>
    <x v="1"/>
    <x v="0"/>
    <d v="2025-04-08T00:00:00"/>
    <n v="96"/>
    <n v="96"/>
    <n v="15"/>
  </r>
  <r>
    <s v="ANDROID"/>
    <x v="1"/>
    <x v="1"/>
    <d v="2025-04-11T00:00:00"/>
    <n v="83"/>
    <n v="83"/>
    <n v="15"/>
  </r>
  <r>
    <s v="ANDROID"/>
    <x v="1"/>
    <x v="0"/>
    <d v="2025-04-12T00:00:00"/>
    <n v="101"/>
    <n v="101"/>
    <n v="11"/>
  </r>
  <r>
    <s v="ANDROID"/>
    <x v="1"/>
    <x v="0"/>
    <d v="2025-04-09T00:00:00"/>
    <n v="101"/>
    <n v="101"/>
    <n v="11"/>
  </r>
  <r>
    <s v="ANDROID"/>
    <x v="1"/>
    <x v="1"/>
    <d v="2025-04-03T00:00:00"/>
    <n v="1"/>
    <n v="1"/>
    <n v="1"/>
  </r>
  <r>
    <s v="ANDROID"/>
    <x v="1"/>
    <x v="1"/>
    <d v="2025-04-12T00:00:00"/>
    <n v="93"/>
    <n v="93"/>
    <n v="21"/>
  </r>
  <r>
    <s v="ANDROID"/>
    <x v="1"/>
    <x v="1"/>
    <d v="2025-04-09T00:00:00"/>
    <n v="60"/>
    <n v="60"/>
    <n v="13"/>
  </r>
  <r>
    <s v="ANDROID"/>
    <x v="1"/>
    <x v="0"/>
    <d v="2025-04-04T00:00:00"/>
    <n v="26"/>
    <n v="26"/>
    <n v="4"/>
  </r>
  <r>
    <s v="ANDROID"/>
    <x v="1"/>
    <x v="1"/>
    <d v="2025-04-19T00:00:00"/>
    <n v="126"/>
    <n v="126"/>
    <n v="33"/>
  </r>
  <r>
    <s v="ANDROID"/>
    <x v="1"/>
    <x v="1"/>
    <d v="2025-04-15T00:00:00"/>
    <n v="119"/>
    <n v="119"/>
    <n v="34"/>
  </r>
  <r>
    <s v="ANDROID"/>
    <x v="1"/>
    <x v="1"/>
    <d v="2025-04-18T00:00:00"/>
    <n v="114"/>
    <n v="114"/>
    <n v="30"/>
  </r>
  <r>
    <s v="ANDROID"/>
    <x v="1"/>
    <x v="0"/>
    <d v="2025-04-13T00:00:00"/>
    <n v="150"/>
    <n v="150"/>
    <n v="28"/>
  </r>
  <r>
    <s v="ANDROID"/>
    <x v="1"/>
    <x v="0"/>
    <d v="2025-04-17T00:00:00"/>
    <n v="98"/>
    <n v="98"/>
    <n v="18"/>
  </r>
  <r>
    <s v="ANDROID"/>
    <x v="1"/>
    <x v="0"/>
    <d v="2025-04-06T00:00:00"/>
    <n v="63"/>
    <n v="63"/>
    <n v="9"/>
  </r>
  <r>
    <s v="ANDROID"/>
    <x v="1"/>
    <x v="1"/>
    <d v="2025-04-16T00:00:00"/>
    <n v="113"/>
    <n v="113"/>
    <n v="25"/>
  </r>
  <r>
    <s v="ANDROID"/>
    <x v="1"/>
    <x v="0"/>
    <d v="2025-04-15T00:00:00"/>
    <n v="101"/>
    <n v="101"/>
    <n v="15"/>
  </r>
  <r>
    <s v="ANDROID"/>
    <x v="1"/>
    <x v="1"/>
    <d v="2025-04-07T00:00:00"/>
    <n v="33"/>
    <n v="33"/>
    <n v="7"/>
  </r>
  <r>
    <s v="ANDROID"/>
    <x v="1"/>
    <x v="0"/>
    <d v="2025-04-10T00:00:00"/>
    <n v="90"/>
    <n v="90"/>
    <n v="7"/>
  </r>
  <r>
    <s v="ANDROID"/>
    <x v="1"/>
    <x v="0"/>
    <d v="2025-04-16T00:00:00"/>
    <n v="95"/>
    <n v="95"/>
    <n v="11"/>
  </r>
  <r>
    <s v="ANDROID"/>
    <x v="1"/>
    <x v="0"/>
    <d v="2025-04-05T00:00:00"/>
    <n v="27"/>
    <n v="27"/>
    <n v="4"/>
  </r>
  <r>
    <s v="ANDROID"/>
    <x v="1"/>
    <x v="0"/>
    <d v="2025-04-07T00:00:00"/>
    <n v="66"/>
    <n v="66"/>
    <n v="6"/>
  </r>
  <r>
    <s v="ANDROID"/>
    <x v="1"/>
    <x v="1"/>
    <d v="2025-04-05T00:00:00"/>
    <n v="12"/>
    <n v="12"/>
    <n v="4"/>
  </r>
  <r>
    <s v="ANDROID"/>
    <x v="1"/>
    <x v="1"/>
    <d v="2025-04-10T00:00:00"/>
    <n v="78"/>
    <n v="78"/>
    <n v="19"/>
  </r>
  <r>
    <s v="ANDROID"/>
    <x v="1"/>
    <x v="1"/>
    <d v="2025-04-08T00:00:00"/>
    <n v="38"/>
    <n v="38"/>
    <n v="7"/>
  </r>
  <r>
    <s v="ANDROID"/>
    <x v="2"/>
    <x v="0"/>
    <d v="2025-04-16T00:00:00"/>
    <n v="96"/>
    <n v="96"/>
    <n v="11"/>
  </r>
  <r>
    <s v="ANDROID"/>
    <x v="2"/>
    <x v="1"/>
    <d v="2025-04-12T00:00:00"/>
    <n v="85"/>
    <n v="85"/>
    <n v="26"/>
  </r>
  <r>
    <s v="ANDROID"/>
    <x v="2"/>
    <x v="1"/>
    <d v="2025-04-13T00:00:00"/>
    <n v="101"/>
    <n v="101"/>
    <n v="21"/>
  </r>
  <r>
    <s v="ANDROID"/>
    <x v="2"/>
    <x v="1"/>
    <d v="2025-04-15T00:00:00"/>
    <n v="108"/>
    <n v="108"/>
    <n v="19"/>
  </r>
  <r>
    <s v="ANDROID"/>
    <x v="2"/>
    <x v="1"/>
    <d v="2025-04-05T00:00:00"/>
    <n v="10"/>
    <n v="10"/>
    <n v="1"/>
  </r>
  <r>
    <s v="ANDROID"/>
    <x v="2"/>
    <x v="0"/>
    <d v="2025-04-07T00:00:00"/>
    <n v="74"/>
    <n v="74"/>
    <n v="9"/>
  </r>
  <r>
    <s v="ANDROID"/>
    <x v="2"/>
    <x v="0"/>
    <d v="2025-04-10T00:00:00"/>
    <n v="114"/>
    <n v="114"/>
    <n v="13"/>
  </r>
  <r>
    <s v="ANDROID"/>
    <x v="2"/>
    <x v="1"/>
    <d v="2025-04-16T00:00:00"/>
    <n v="87"/>
    <n v="87"/>
    <n v="22"/>
  </r>
  <r>
    <s v="ANDROID"/>
    <x v="2"/>
    <x v="0"/>
    <d v="2025-04-15T00:00:00"/>
    <n v="95"/>
    <n v="95"/>
    <n v="11"/>
  </r>
  <r>
    <s v="ANDROID"/>
    <x v="2"/>
    <x v="1"/>
    <d v="2025-04-18T00:00:00"/>
    <n v="104"/>
    <n v="104"/>
    <n v="30"/>
  </r>
  <r>
    <s v="ANDROID"/>
    <x v="2"/>
    <x v="0"/>
    <d v="2025-04-03T00:00:00"/>
    <n v="6"/>
    <n v="6"/>
    <n v="1"/>
  </r>
  <r>
    <s v="ANDROID"/>
    <x v="2"/>
    <x v="0"/>
    <d v="2025-04-09T00:00:00"/>
    <n v="104"/>
    <n v="104"/>
    <n v="18"/>
  </r>
  <r>
    <s v="ANDROID"/>
    <x v="2"/>
    <x v="0"/>
    <d v="2025-04-08T00:00:00"/>
    <n v="102"/>
    <n v="102"/>
    <n v="14"/>
  </r>
  <r>
    <s v="ANDROID"/>
    <x v="2"/>
    <x v="0"/>
    <d v="2025-04-17T00:00:00"/>
    <n v="106"/>
    <n v="106"/>
    <n v="12"/>
  </r>
  <r>
    <s v="ANDROID"/>
    <x v="2"/>
    <x v="1"/>
    <d v="2025-04-10T00:00:00"/>
    <n v="75"/>
    <n v="75"/>
    <n v="16"/>
  </r>
  <r>
    <s v="ANDROID"/>
    <x v="2"/>
    <x v="1"/>
    <d v="2025-04-06T00:00:00"/>
    <n v="17"/>
    <n v="17"/>
    <n v="2"/>
  </r>
  <r>
    <s v="ANDROID"/>
    <x v="2"/>
    <x v="0"/>
    <d v="2025-04-13T00:00:00"/>
    <n v="134"/>
    <n v="134"/>
    <n v="23"/>
  </r>
  <r>
    <s v="ANDROID"/>
    <x v="2"/>
    <x v="1"/>
    <d v="2025-04-17T00:00:00"/>
    <n v="89"/>
    <n v="89"/>
    <n v="27"/>
  </r>
  <r>
    <s v="ANDROID"/>
    <x v="2"/>
    <x v="0"/>
    <d v="2025-04-19T00:00:00"/>
    <n v="99"/>
    <n v="99"/>
    <n v="16"/>
  </r>
  <r>
    <s v="ANDROID"/>
    <x v="2"/>
    <x v="1"/>
    <d v="2025-04-09T00:00:00"/>
    <n v="60"/>
    <n v="60"/>
    <n v="13"/>
  </r>
  <r>
    <s v="ANDROID"/>
    <x v="2"/>
    <x v="1"/>
    <d v="2025-04-08T00:00:00"/>
    <n v="37"/>
    <n v="37"/>
    <n v="6"/>
  </r>
  <r>
    <s v="ANDROID"/>
    <x v="2"/>
    <x v="0"/>
    <d v="2025-04-05T00:00:00"/>
    <n v="27"/>
    <n v="27"/>
    <n v="3"/>
  </r>
  <r>
    <s v="ANDROID"/>
    <x v="2"/>
    <x v="0"/>
    <d v="2025-04-04T00:00:00"/>
    <n v="12"/>
    <n v="12"/>
    <n v="0"/>
  </r>
  <r>
    <s v="ANDROID"/>
    <x v="2"/>
    <x v="1"/>
    <d v="2025-04-04T00:00:00"/>
    <n v="4"/>
    <n v="4"/>
    <n v="1"/>
  </r>
  <r>
    <s v="ANDROID"/>
    <x v="2"/>
    <x v="0"/>
    <d v="2025-04-06T00:00:00"/>
    <n v="43"/>
    <n v="43"/>
    <n v="8"/>
  </r>
  <r>
    <s v="ANDROID"/>
    <x v="2"/>
    <x v="1"/>
    <d v="2025-04-14T00:00:00"/>
    <n v="111"/>
    <n v="111"/>
    <n v="27"/>
  </r>
  <r>
    <s v="ANDROID"/>
    <x v="2"/>
    <x v="0"/>
    <d v="2025-04-18T00:00:00"/>
    <n v="93"/>
    <n v="93"/>
    <n v="17"/>
  </r>
  <r>
    <s v="ANDROID"/>
    <x v="2"/>
    <x v="1"/>
    <d v="2025-04-19T00:00:00"/>
    <n v="107"/>
    <n v="107"/>
    <n v="21"/>
  </r>
  <r>
    <s v="ANDROID"/>
    <x v="2"/>
    <x v="0"/>
    <d v="2025-04-14T00:00:00"/>
    <n v="88"/>
    <n v="88"/>
    <n v="12"/>
  </r>
  <r>
    <s v="ANDROID"/>
    <x v="2"/>
    <x v="1"/>
    <d v="2025-04-11T00:00:00"/>
    <n v="81"/>
    <n v="81"/>
    <n v="22"/>
  </r>
  <r>
    <s v="ANDROID"/>
    <x v="2"/>
    <x v="0"/>
    <d v="2025-04-11T00:00:00"/>
    <n v="107"/>
    <n v="107"/>
    <n v="17"/>
  </r>
  <r>
    <s v="ANDROID"/>
    <x v="2"/>
    <x v="1"/>
    <d v="2025-04-07T00:00:00"/>
    <n v="22"/>
    <n v="22"/>
    <n v="5"/>
  </r>
  <r>
    <s v="ANDROID"/>
    <x v="2"/>
    <x v="0"/>
    <d v="2025-04-12T00:00:00"/>
    <n v="105"/>
    <n v="105"/>
    <n v="15"/>
  </r>
  <r>
    <s v="IOS"/>
    <x v="3"/>
    <x v="0"/>
    <d v="2025-04-03T00:00:00"/>
    <n v="580"/>
    <n v="580"/>
    <n v="81"/>
  </r>
  <r>
    <s v="IOS"/>
    <x v="3"/>
    <x v="0"/>
    <d v="2025-04-11T00:00:00"/>
    <n v="661"/>
    <n v="661"/>
    <n v="76"/>
  </r>
  <r>
    <s v="IOS"/>
    <x v="3"/>
    <x v="1"/>
    <d v="2025-04-11T00:00:00"/>
    <n v="1645"/>
    <n v="1645"/>
    <n v="471"/>
  </r>
  <r>
    <s v="IOS"/>
    <x v="3"/>
    <x v="1"/>
    <d v="2025-04-05T00:00:00"/>
    <n v="790"/>
    <n v="790"/>
    <n v="149"/>
  </r>
  <r>
    <s v="IOS"/>
    <x v="3"/>
    <x v="1"/>
    <d v="2025-04-12T00:00:00"/>
    <n v="1926"/>
    <n v="1926"/>
    <n v="539"/>
  </r>
  <r>
    <s v="IOS"/>
    <x v="3"/>
    <x v="1"/>
    <d v="2025-04-16T00:00:00"/>
    <n v="1907"/>
    <n v="1907"/>
    <n v="332"/>
  </r>
  <r>
    <s v="IOS"/>
    <x v="3"/>
    <x v="1"/>
    <d v="2025-04-14T00:00:00"/>
    <n v="2674"/>
    <n v="2674"/>
    <n v="522"/>
  </r>
  <r>
    <s v="IOS"/>
    <x v="3"/>
    <x v="0"/>
    <d v="2025-04-08T00:00:00"/>
    <n v="659"/>
    <n v="659"/>
    <n v="77"/>
  </r>
  <r>
    <s v="IOS"/>
    <x v="3"/>
    <x v="0"/>
    <d v="2025-04-17T00:00:00"/>
    <n v="632"/>
    <n v="632"/>
    <n v="88"/>
  </r>
  <r>
    <s v="IOS"/>
    <x v="3"/>
    <x v="0"/>
    <d v="2025-04-10T00:00:00"/>
    <n v="638"/>
    <n v="638"/>
    <n v="84"/>
  </r>
  <r>
    <s v="IOS"/>
    <x v="3"/>
    <x v="0"/>
    <d v="2025-04-19T00:00:00"/>
    <n v="787"/>
    <n v="787"/>
    <n v="120"/>
  </r>
  <r>
    <s v="IOS"/>
    <x v="3"/>
    <x v="1"/>
    <d v="2025-04-15T00:00:00"/>
    <n v="2040"/>
    <n v="2040"/>
    <n v="362"/>
  </r>
  <r>
    <s v="IOS"/>
    <x v="3"/>
    <x v="0"/>
    <d v="2025-04-12T00:00:00"/>
    <n v="585"/>
    <n v="585"/>
    <n v="92"/>
  </r>
  <r>
    <s v="IOS"/>
    <x v="3"/>
    <x v="0"/>
    <d v="2025-04-09T00:00:00"/>
    <n v="625"/>
    <n v="625"/>
    <n v="82"/>
  </r>
  <r>
    <s v="IOS"/>
    <x v="3"/>
    <x v="0"/>
    <d v="2025-04-18T00:00:00"/>
    <n v="616"/>
    <n v="616"/>
    <n v="84"/>
  </r>
  <r>
    <s v="IOS"/>
    <x v="3"/>
    <x v="1"/>
    <d v="2025-04-10T00:00:00"/>
    <n v="1385"/>
    <n v="1385"/>
    <n v="371"/>
  </r>
  <r>
    <s v="IOS"/>
    <x v="3"/>
    <x v="1"/>
    <d v="2025-04-13T00:00:00"/>
    <n v="2538"/>
    <n v="2538"/>
    <n v="622"/>
  </r>
  <r>
    <s v="IOS"/>
    <x v="3"/>
    <x v="1"/>
    <d v="2025-04-09T00:00:00"/>
    <n v="1075"/>
    <n v="1075"/>
    <n v="200"/>
  </r>
  <r>
    <s v="IOS"/>
    <x v="3"/>
    <x v="0"/>
    <d v="2025-04-05T00:00:00"/>
    <n v="681"/>
    <n v="681"/>
    <n v="88"/>
  </r>
  <r>
    <s v="IOS"/>
    <x v="3"/>
    <x v="0"/>
    <d v="2025-04-16T00:00:00"/>
    <n v="668"/>
    <n v="668"/>
    <n v="91"/>
  </r>
  <r>
    <s v="IOS"/>
    <x v="3"/>
    <x v="0"/>
    <d v="2025-04-14T00:00:00"/>
    <n v="937"/>
    <n v="937"/>
    <n v="116"/>
  </r>
  <r>
    <s v="IOS"/>
    <x v="3"/>
    <x v="1"/>
    <d v="2025-04-18T00:00:00"/>
    <n v="2029"/>
    <n v="2029"/>
    <n v="373"/>
  </r>
  <r>
    <s v="IOS"/>
    <x v="3"/>
    <x v="1"/>
    <d v="2025-04-07T00:00:00"/>
    <n v="1413"/>
    <n v="1413"/>
    <n v="332"/>
  </r>
  <r>
    <s v="IOS"/>
    <x v="3"/>
    <x v="0"/>
    <d v="2025-04-07T00:00:00"/>
    <n v="892"/>
    <n v="892"/>
    <n v="109"/>
  </r>
  <r>
    <s v="IOS"/>
    <x v="3"/>
    <x v="1"/>
    <d v="2025-04-03T00:00:00"/>
    <n v="352"/>
    <n v="352"/>
    <n v="43"/>
  </r>
  <r>
    <s v="IOS"/>
    <x v="3"/>
    <x v="1"/>
    <d v="2025-04-19T00:00:00"/>
    <n v="2187"/>
    <n v="2187"/>
    <n v="533"/>
  </r>
  <r>
    <s v="IOS"/>
    <x v="3"/>
    <x v="0"/>
    <d v="2025-04-15T00:00:00"/>
    <n v="778"/>
    <n v="778"/>
    <n v="113"/>
  </r>
  <r>
    <s v="IOS"/>
    <x v="3"/>
    <x v="1"/>
    <d v="2025-04-06T00:00:00"/>
    <n v="1129"/>
    <n v="1129"/>
    <n v="286"/>
  </r>
  <r>
    <s v="IOS"/>
    <x v="3"/>
    <x v="0"/>
    <d v="2025-04-04T00:00:00"/>
    <n v="580"/>
    <n v="580"/>
    <n v="72"/>
  </r>
  <r>
    <s v="IOS"/>
    <x v="3"/>
    <x v="1"/>
    <d v="2025-04-08T00:00:00"/>
    <n v="1236"/>
    <n v="1236"/>
    <n v="196"/>
  </r>
  <r>
    <s v="IOS"/>
    <x v="3"/>
    <x v="1"/>
    <d v="2025-04-17T00:00:00"/>
    <n v="1757"/>
    <n v="1757"/>
    <n v="328"/>
  </r>
  <r>
    <s v="IOS"/>
    <x v="3"/>
    <x v="0"/>
    <d v="2025-04-06T00:00:00"/>
    <n v="917"/>
    <n v="917"/>
    <n v="134"/>
  </r>
  <r>
    <s v="IOS"/>
    <x v="3"/>
    <x v="0"/>
    <d v="2025-04-13T00:00:00"/>
    <n v="949"/>
    <n v="949"/>
    <n v="126"/>
  </r>
  <r>
    <s v="IOS"/>
    <x v="3"/>
    <x v="1"/>
    <d v="2025-04-04T00:00:00"/>
    <n v="690"/>
    <n v="690"/>
    <n v="173"/>
  </r>
  <r>
    <s v="IOS"/>
    <x v="4"/>
    <x v="0"/>
    <d v="2025-04-03T00:00:00"/>
    <n v="551"/>
    <n v="551"/>
    <n v="88"/>
  </r>
  <r>
    <s v="IOS"/>
    <x v="4"/>
    <x v="0"/>
    <d v="2025-04-10T00:00:00"/>
    <n v="658"/>
    <n v="658"/>
    <n v="109"/>
  </r>
  <r>
    <s v="IOS"/>
    <x v="4"/>
    <x v="0"/>
    <d v="2025-04-19T00:00:00"/>
    <n v="776"/>
    <n v="776"/>
    <n v="132"/>
  </r>
  <r>
    <s v="IOS"/>
    <x v="4"/>
    <x v="0"/>
    <d v="2025-04-15T00:00:00"/>
    <n v="718"/>
    <n v="718"/>
    <n v="112"/>
  </r>
  <r>
    <s v="IOS"/>
    <x v="4"/>
    <x v="1"/>
    <d v="2025-04-05T00:00:00"/>
    <n v="856"/>
    <n v="856"/>
    <n v="182"/>
  </r>
  <r>
    <s v="IOS"/>
    <x v="4"/>
    <x v="0"/>
    <d v="2025-04-16T00:00:00"/>
    <n v="630"/>
    <n v="630"/>
    <n v="85"/>
  </r>
  <r>
    <s v="IOS"/>
    <x v="4"/>
    <x v="0"/>
    <d v="2025-04-06T00:00:00"/>
    <n v="878"/>
    <n v="878"/>
    <n v="162"/>
  </r>
  <r>
    <s v="IOS"/>
    <x v="4"/>
    <x v="1"/>
    <d v="2025-04-04T00:00:00"/>
    <n v="696"/>
    <n v="696"/>
    <n v="196"/>
  </r>
  <r>
    <s v="IOS"/>
    <x v="4"/>
    <x v="1"/>
    <d v="2025-04-08T00:00:00"/>
    <n v="1337"/>
    <n v="1337"/>
    <n v="233"/>
  </r>
  <r>
    <s v="IOS"/>
    <x v="4"/>
    <x v="1"/>
    <d v="2025-04-07T00:00:00"/>
    <n v="1480"/>
    <n v="1480"/>
    <n v="388"/>
  </r>
  <r>
    <s v="IOS"/>
    <x v="4"/>
    <x v="1"/>
    <d v="2025-04-03T00:00:00"/>
    <n v="388"/>
    <n v="388"/>
    <n v="52"/>
  </r>
  <r>
    <s v="IOS"/>
    <x v="4"/>
    <x v="1"/>
    <d v="2025-04-15T00:00:00"/>
    <n v="2224"/>
    <n v="2224"/>
    <n v="433"/>
  </r>
  <r>
    <s v="IOS"/>
    <x v="4"/>
    <x v="0"/>
    <d v="2025-04-12T00:00:00"/>
    <n v="632"/>
    <n v="632"/>
    <n v="111"/>
  </r>
  <r>
    <s v="IOS"/>
    <x v="4"/>
    <x v="1"/>
    <d v="2025-04-06T00:00:00"/>
    <n v="1147"/>
    <n v="1147"/>
    <n v="273"/>
  </r>
  <r>
    <s v="IOS"/>
    <x v="4"/>
    <x v="0"/>
    <d v="2025-04-14T00:00:00"/>
    <n v="947"/>
    <n v="947"/>
    <n v="137"/>
  </r>
  <r>
    <s v="IOS"/>
    <x v="4"/>
    <x v="0"/>
    <d v="2025-04-13T00:00:00"/>
    <n v="896"/>
    <n v="896"/>
    <n v="155"/>
  </r>
  <r>
    <s v="IOS"/>
    <x v="4"/>
    <x v="1"/>
    <d v="2025-04-18T00:00:00"/>
    <n v="2231"/>
    <n v="2231"/>
    <n v="443"/>
  </r>
  <r>
    <s v="IOS"/>
    <x v="4"/>
    <x v="0"/>
    <d v="2025-04-09T00:00:00"/>
    <n v="683"/>
    <n v="683"/>
    <n v="97"/>
  </r>
  <r>
    <s v="IOS"/>
    <x v="4"/>
    <x v="0"/>
    <d v="2025-04-11T00:00:00"/>
    <n v="641"/>
    <n v="641"/>
    <n v="114"/>
  </r>
  <r>
    <s v="IOS"/>
    <x v="4"/>
    <x v="1"/>
    <d v="2025-04-10T00:00:00"/>
    <n v="1449"/>
    <n v="1449"/>
    <n v="405"/>
  </r>
  <r>
    <s v="IOS"/>
    <x v="4"/>
    <x v="1"/>
    <d v="2025-04-19T00:00:00"/>
    <n v="2333"/>
    <n v="2333"/>
    <n v="580"/>
  </r>
  <r>
    <s v="IOS"/>
    <x v="4"/>
    <x v="0"/>
    <d v="2025-04-05T00:00:00"/>
    <n v="688"/>
    <n v="688"/>
    <n v="122"/>
  </r>
  <r>
    <s v="IOS"/>
    <x v="4"/>
    <x v="1"/>
    <d v="2025-04-12T00:00:00"/>
    <n v="2001"/>
    <n v="2001"/>
    <n v="570"/>
  </r>
  <r>
    <s v="IOS"/>
    <x v="4"/>
    <x v="1"/>
    <d v="2025-04-16T00:00:00"/>
    <n v="2008"/>
    <n v="2008"/>
    <n v="365"/>
  </r>
  <r>
    <s v="IOS"/>
    <x v="4"/>
    <x v="1"/>
    <d v="2025-04-14T00:00:00"/>
    <n v="2825"/>
    <n v="2825"/>
    <n v="547"/>
  </r>
  <r>
    <s v="IOS"/>
    <x v="4"/>
    <x v="1"/>
    <d v="2025-04-13T00:00:00"/>
    <n v="2642"/>
    <n v="2642"/>
    <n v="594"/>
  </r>
  <r>
    <s v="IOS"/>
    <x v="4"/>
    <x v="0"/>
    <d v="2025-04-18T00:00:00"/>
    <n v="692"/>
    <n v="692"/>
    <n v="115"/>
  </r>
  <r>
    <s v="IOS"/>
    <x v="4"/>
    <x v="1"/>
    <d v="2025-04-09T00:00:00"/>
    <n v="1219"/>
    <n v="1219"/>
    <n v="256"/>
  </r>
  <r>
    <s v="IOS"/>
    <x v="4"/>
    <x v="0"/>
    <d v="2025-04-04T00:00:00"/>
    <n v="635"/>
    <n v="635"/>
    <n v="86"/>
  </r>
  <r>
    <s v="IOS"/>
    <x v="4"/>
    <x v="0"/>
    <d v="2025-04-17T00:00:00"/>
    <n v="635"/>
    <n v="635"/>
    <n v="111"/>
  </r>
  <r>
    <s v="IOS"/>
    <x v="4"/>
    <x v="1"/>
    <d v="2025-04-11T00:00:00"/>
    <n v="1754"/>
    <n v="1754"/>
    <n v="505"/>
  </r>
  <r>
    <s v="IOS"/>
    <x v="4"/>
    <x v="0"/>
    <d v="2025-04-07T00:00:00"/>
    <n v="939"/>
    <n v="939"/>
    <n v="134"/>
  </r>
  <r>
    <s v="IOS"/>
    <x v="4"/>
    <x v="0"/>
    <d v="2025-04-08T00:00:00"/>
    <n v="744"/>
    <n v="744"/>
    <n v="108"/>
  </r>
  <r>
    <s v="IOS"/>
    <x v="4"/>
    <x v="1"/>
    <d v="2025-04-17T00:00:00"/>
    <n v="1894"/>
    <n v="1894"/>
    <n v="393"/>
  </r>
  <r>
    <s v="IOS"/>
    <x v="5"/>
    <x v="0"/>
    <d v="2025-04-03T00:00:00"/>
    <n v="569"/>
    <n v="569"/>
    <n v="85"/>
  </r>
  <r>
    <s v="IOS"/>
    <x v="5"/>
    <x v="1"/>
    <d v="2025-04-15T00:00:00"/>
    <n v="2100"/>
    <n v="2100"/>
    <n v="406"/>
  </r>
  <r>
    <s v="IOS"/>
    <x v="5"/>
    <x v="1"/>
    <d v="2025-04-05T00:00:00"/>
    <n v="822"/>
    <n v="822"/>
    <n v="172"/>
  </r>
  <r>
    <s v="IOS"/>
    <x v="5"/>
    <x v="0"/>
    <d v="2025-04-06T00:00:00"/>
    <n v="934"/>
    <n v="934"/>
    <n v="138"/>
  </r>
  <r>
    <s v="IOS"/>
    <x v="5"/>
    <x v="1"/>
    <d v="2025-04-06T00:00:00"/>
    <n v="1167"/>
    <n v="1167"/>
    <n v="250"/>
  </r>
  <r>
    <s v="IOS"/>
    <x v="5"/>
    <x v="1"/>
    <d v="2025-04-14T00:00:00"/>
    <n v="2826"/>
    <n v="2826"/>
    <n v="555"/>
  </r>
  <r>
    <s v="IOS"/>
    <x v="5"/>
    <x v="0"/>
    <d v="2025-04-14T00:00:00"/>
    <n v="893"/>
    <n v="893"/>
    <n v="126"/>
  </r>
  <r>
    <s v="IOS"/>
    <x v="5"/>
    <x v="0"/>
    <d v="2025-04-18T00:00:00"/>
    <n v="657"/>
    <n v="657"/>
    <n v="100"/>
  </r>
  <r>
    <s v="IOS"/>
    <x v="5"/>
    <x v="0"/>
    <d v="2025-04-09T00:00:00"/>
    <n v="680"/>
    <n v="680"/>
    <n v="120"/>
  </r>
  <r>
    <s v="IOS"/>
    <x v="5"/>
    <x v="1"/>
    <d v="2025-04-04T00:00:00"/>
    <n v="704"/>
    <n v="704"/>
    <n v="171"/>
  </r>
  <r>
    <s v="IOS"/>
    <x v="5"/>
    <x v="1"/>
    <d v="2025-04-08T00:00:00"/>
    <n v="1292"/>
    <n v="1292"/>
    <n v="203"/>
  </r>
  <r>
    <s v="IOS"/>
    <x v="5"/>
    <x v="0"/>
    <d v="2025-04-07T00:00:00"/>
    <n v="918"/>
    <n v="918"/>
    <n v="121"/>
  </r>
  <r>
    <s v="IOS"/>
    <x v="5"/>
    <x v="0"/>
    <d v="2025-04-19T00:00:00"/>
    <n v="757"/>
    <n v="757"/>
    <n v="112"/>
  </r>
  <r>
    <s v="IOS"/>
    <x v="5"/>
    <x v="1"/>
    <d v="2025-04-16T00:00:00"/>
    <n v="1924"/>
    <n v="1924"/>
    <n v="367"/>
  </r>
  <r>
    <s v="IOS"/>
    <x v="5"/>
    <x v="0"/>
    <d v="2025-04-16T00:00:00"/>
    <n v="646"/>
    <n v="646"/>
    <n v="104"/>
  </r>
  <r>
    <s v="IOS"/>
    <x v="5"/>
    <x v="1"/>
    <d v="2025-04-18T00:00:00"/>
    <n v="2180"/>
    <n v="2180"/>
    <n v="449"/>
  </r>
  <r>
    <s v="IOS"/>
    <x v="5"/>
    <x v="1"/>
    <d v="2025-04-17T00:00:00"/>
    <n v="1912"/>
    <n v="1912"/>
    <n v="394"/>
  </r>
  <r>
    <s v="IOS"/>
    <x v="5"/>
    <x v="1"/>
    <d v="2025-04-07T00:00:00"/>
    <n v="1463"/>
    <n v="1463"/>
    <n v="329"/>
  </r>
  <r>
    <s v="IOS"/>
    <x v="5"/>
    <x v="1"/>
    <d v="2025-04-03T00:00:00"/>
    <n v="356"/>
    <n v="356"/>
    <n v="45"/>
  </r>
  <r>
    <s v="IOS"/>
    <x v="5"/>
    <x v="0"/>
    <d v="2025-04-10T00:00:00"/>
    <n v="654"/>
    <n v="654"/>
    <n v="95"/>
  </r>
  <r>
    <s v="IOS"/>
    <x v="5"/>
    <x v="1"/>
    <d v="2025-04-11T00:00:00"/>
    <n v="1664"/>
    <n v="1664"/>
    <n v="450"/>
  </r>
  <r>
    <s v="IOS"/>
    <x v="5"/>
    <x v="0"/>
    <d v="2025-04-11T00:00:00"/>
    <n v="666"/>
    <n v="666"/>
    <n v="92"/>
  </r>
  <r>
    <s v="IOS"/>
    <x v="5"/>
    <x v="0"/>
    <d v="2025-04-15T00:00:00"/>
    <n v="706"/>
    <n v="706"/>
    <n v="87"/>
  </r>
  <r>
    <s v="IOS"/>
    <x v="5"/>
    <x v="0"/>
    <d v="2025-04-13T00:00:00"/>
    <n v="915"/>
    <n v="915"/>
    <n v="162"/>
  </r>
  <r>
    <s v="IOS"/>
    <x v="5"/>
    <x v="0"/>
    <d v="2025-04-17T00:00:00"/>
    <n v="648"/>
    <n v="648"/>
    <n v="106"/>
  </r>
  <r>
    <s v="IOS"/>
    <x v="5"/>
    <x v="1"/>
    <d v="2025-04-19T00:00:00"/>
    <n v="2269"/>
    <n v="2269"/>
    <n v="558"/>
  </r>
  <r>
    <s v="IOS"/>
    <x v="5"/>
    <x v="1"/>
    <d v="2025-04-09T00:00:00"/>
    <n v="1173"/>
    <n v="1173"/>
    <n v="227"/>
  </r>
  <r>
    <s v="IOS"/>
    <x v="5"/>
    <x v="0"/>
    <d v="2025-04-04T00:00:00"/>
    <n v="620"/>
    <n v="620"/>
    <n v="98"/>
  </r>
  <r>
    <s v="IOS"/>
    <x v="5"/>
    <x v="1"/>
    <d v="2025-04-10T00:00:00"/>
    <n v="1422"/>
    <n v="1422"/>
    <n v="389"/>
  </r>
  <r>
    <s v="IOS"/>
    <x v="5"/>
    <x v="0"/>
    <d v="2025-04-12T00:00:00"/>
    <n v="648"/>
    <n v="648"/>
    <n v="94"/>
  </r>
  <r>
    <s v="IOS"/>
    <x v="5"/>
    <x v="1"/>
    <d v="2025-04-12T00:00:00"/>
    <n v="1937"/>
    <n v="1937"/>
    <n v="567"/>
  </r>
  <r>
    <s v="IOS"/>
    <x v="5"/>
    <x v="1"/>
    <d v="2025-04-13T00:00:00"/>
    <n v="2758"/>
    <n v="2758"/>
    <n v="633"/>
  </r>
  <r>
    <s v="IOS"/>
    <x v="5"/>
    <x v="0"/>
    <d v="2025-04-05T00:00:00"/>
    <n v="662"/>
    <n v="662"/>
    <n v="107"/>
  </r>
  <r>
    <s v="IOS"/>
    <x v="5"/>
    <x v="0"/>
    <d v="2025-04-08T00:00:00"/>
    <n v="707"/>
    <n v="707"/>
    <n v="1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1BC21-C1C1-4E43-A1E8-6E38079ED675}" name="数据透视表4" cacheId="18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J2:P13" firstHeaderRow="1" firstDataRow="3" firstDataCol="1"/>
  <pivotFields count="7">
    <pivotField axis="axisRow" showAll="0">
      <items count="3">
        <item x="0"/>
        <item x="1"/>
        <item t="default"/>
      </items>
    </pivotField>
    <pivotField axis="axisRow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numFmtId="14" showAll="0"/>
    <pivotField showAll="0"/>
    <pivotField dataField="1" showAll="0"/>
    <pivotField dataField="1" showAll="0"/>
  </pivotFields>
  <rowFields count="2">
    <field x="0"/>
    <field x="1"/>
  </rowFields>
  <rowItems count="9">
    <i>
      <x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求和项:re0" fld="5" baseField="0" baseItem="0"/>
    <dataField name="求和项:re1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A306D-15C3-CB46-B95E-91375F5A7EB4}" name="数据透视表4" cacheId="18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S5:T9" firstHeaderRow="1" firstDataRow="1" firstDataCol="1" rowPageCount="2" colPageCount="1"/>
  <pivotFields count="7">
    <pivotField axis="axisPage" numFmtId="14" multipleItemSelectionAllowed="1" showAll="0">
      <items count="19">
        <item h="1" x="0"/>
        <item x="1"/>
        <item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178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" hier="-1"/>
    <pageField fld="0" hier="-1"/>
  </pageFields>
  <dataFields count="1">
    <dataField name="平均值项:sub_success_to_paid_gmv" fld="6" subtotal="average" baseField="0" baseItem="0"/>
  </dataFields>
  <formats count="1">
    <format dxfId="12">
      <pivotArea collapsedLevelsAreSubtotals="1" fieldPosition="0">
        <references count="1">
          <reference field="2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8F282-240D-7549-AD06-C2A0A8184D3E}" name="数据透视表6" cacheId="18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Y4:AE10" firstHeaderRow="1" firstDataRow="3" firstDataCol="1" rowPageCount="2" colPageCount="1"/>
  <pivotFields count="7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Page" numFmtId="14" multipleItemSelectionAllowed="1" showAll="0">
      <items count="18">
        <item h="1" x="7"/>
        <item h="1" x="10"/>
        <item h="1" x="11"/>
        <item h="1" x="5"/>
        <item x="9"/>
        <item x="6"/>
        <item x="14"/>
        <item x="4"/>
        <item x="8"/>
        <item x="0"/>
        <item x="1"/>
        <item x="3"/>
        <item x="13"/>
        <item x="12"/>
        <item x="2"/>
        <item x="15"/>
        <item x="16"/>
        <item t="default"/>
      </items>
    </pivotField>
    <pivotField showAll="0"/>
    <pivotField dataField="1" showAll="0"/>
    <pivotField dataField="1" showAll="0"/>
  </pivotFields>
  <rowFields count="1">
    <field x="1"/>
  </rowFields>
  <rowItems count="4">
    <i>
      <x v="3"/>
    </i>
    <i>
      <x v="4"/>
    </i>
    <i>
      <x v="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0" hier="-1"/>
    <pageField fld="3" hier="-1"/>
  </pageFields>
  <dataFields count="2">
    <dataField name="求和项:re0" fld="5" baseField="0" baseItem="0"/>
    <dataField name="求和项:re1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3CF4A-1633-5F4A-966E-C2CED9B6F3A9}" name="数据透视表5" cacheId="188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S14:T18" firstHeaderRow="1" firstDataRow="1" firstDataCol="1" rowPageCount="2" colPageCount="1"/>
  <pivotFields count="7">
    <pivotField axis="axisPage" multipleItemSelectionAllowed="1" showAll="0">
      <items count="20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4">
    <i>
      <x v="3"/>
    </i>
    <i>
      <x v="4"/>
    </i>
    <i>
      <x v="5"/>
    </i>
    <i t="grand">
      <x/>
    </i>
  </rowItems>
  <colItems count="1">
    <i/>
  </colItems>
  <pageFields count="2">
    <pageField fld="1" hier="-1"/>
    <pageField fld="0" hier="-1"/>
  </pageFields>
  <dataFields count="1">
    <dataField name="平均值项:sub_success_to_paid_gmv" fld="6" subtotal="average" baseField="0" baseItem="0"/>
  </dataFields>
  <formats count="1">
    <format dxfId="13">
      <pivotArea collapsedLevelsAreSubtotals="1" fieldPosition="0">
        <references count="1">
          <reference field="2" count="3"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8D78D-4701-2844-8EAB-B54A8F9C4435}" name="数据透视表3" cacheId="187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J3:N23" firstHeaderRow="1" firstDataRow="2" firstDataCol="1" rowPageCount="1" colPageCount="1"/>
  <pivotFields count="7">
    <pivotField axis="axisRow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numFmtId="178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求和项:enter_abtest_uv" fld="3" baseField="0" baseItem="0"/>
  </dataFields>
  <formats count="1">
    <format dxfId="14">
      <pivotArea collapsedLevelsAreSubtotals="1" fieldPosition="0">
        <references count="2">
          <reference field="0" count="0"/>
          <reference field="2" count="3" selected="0">
            <x v="0"/>
            <x v="1"/>
            <x v="2"/>
          </reference>
        </references>
      </pivotArea>
    </format>
  </formats>
  <chartFormats count="10">
    <chartFormat chart="0" format="7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8A947F-8B9D-4841-85B4-575926B13586}" name="数据透视表8" cacheId="18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AK3:AZ23" firstHeaderRow="1" firstDataRow="3" firstDataCol="1" rowPageCount="1" colPageCount="1"/>
  <pivotFields count="7">
    <pivotField axis="axisPage" showAll="0">
      <items count="3">
        <item x="0"/>
        <item x="1"/>
        <item t="default"/>
      </items>
    </pivotField>
    <pivotField axis="axisCol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Row" numFmtId="14" showAll="0">
      <items count="18">
        <item x="7"/>
        <item x="10"/>
        <item x="11"/>
        <item x="5"/>
        <item x="9"/>
        <item x="6"/>
        <item x="14"/>
        <item x="4"/>
        <item x="8"/>
        <item x="0"/>
        <item x="1"/>
        <item x="3"/>
        <item x="13"/>
        <item x="12"/>
        <item x="2"/>
        <item x="15"/>
        <item x="16"/>
        <item t="default"/>
      </items>
    </pivotField>
    <pivotField showAll="0"/>
    <pivotField dataField="1"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2"/>
    <field x="1"/>
  </colFields>
  <colItems count="15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 t="grand">
      <x/>
    </i>
  </colItems>
  <pageFields count="1">
    <pageField fld="0" hier="-1"/>
  </pageFields>
  <dataFields count="1">
    <dataField name="求和项:re0" fld="5" baseField="0" baseItem="0"/>
  </dataFields>
  <chartFormats count="2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381B3-25D7-4945-BFF4-7C75B9FE269A}" name="数据透视表11" cacheId="18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S24:T28" firstHeaderRow="1" firstDataRow="1" firstDataCol="1" rowPageCount="2" colPageCount="1"/>
  <pivotFields count="6">
    <pivotField axis="axisPage" numFmtId="14" multipleItemSelectionAllowed="1" showAll="0">
      <items count="19">
        <item h="1" x="0"/>
        <item x="1"/>
        <item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7">
        <item x="5"/>
        <item x="3"/>
        <item x="4"/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-1"/>
    <pageField fld="1" hier="-1"/>
  </pageFields>
  <dataFields count="1">
    <dataField name="平均值项:ads_booking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C3DAC-2EAC-9942-B855-D829DA5853E4}" name="数据透视表12" cacheId="18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S32:T36" firstHeaderRow="1" firstDataRow="1" firstDataCol="1" rowPageCount="2" colPageCount="1"/>
  <pivotFields count="6">
    <pivotField axis="axisPage" numFmtId="14" multipleItemSelectionAllowed="1" showAll="0">
      <items count="19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7">
        <item x="5"/>
        <item x="3"/>
        <item x="4"/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2"/>
  </rowFields>
  <rowItems count="4">
    <i>
      <x v="3"/>
    </i>
    <i>
      <x v="4"/>
    </i>
    <i>
      <x v="5"/>
    </i>
    <i t="grand">
      <x/>
    </i>
  </rowItems>
  <colItems count="1">
    <i/>
  </colItems>
  <pageFields count="2">
    <pageField fld="0" hier="-1"/>
    <pageField fld="1" hier="-1"/>
  </pageFields>
  <dataFields count="1">
    <dataField name="平均值项:ads_booking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E87CA-4AB6-7B42-91A3-451671752E73}" name="数据透视表7" cacheId="18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Y15:AE21" firstHeaderRow="1" firstDataRow="3" firstDataCol="1" rowPageCount="2" colPageCount="1"/>
  <pivotFields count="7">
    <pivotField axis="axisPage" multipleItemSelectionAllowed="1" showAll="0">
      <items count="3">
        <item h="1" x="0"/>
        <item x="1"/>
        <item t="default"/>
      </items>
    </pivotField>
    <pivotField axis="axisRow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axis="axisPage" numFmtId="14" multipleItemSelectionAllowed="1" showAll="0">
      <items count="18">
        <item h="1" x="7"/>
        <item x="10"/>
        <item x="11"/>
        <item x="5"/>
        <item x="9"/>
        <item x="6"/>
        <item x="14"/>
        <item x="4"/>
        <item x="8"/>
        <item x="0"/>
        <item x="1"/>
        <item x="3"/>
        <item x="13"/>
        <item x="12"/>
        <item x="2"/>
        <item x="15"/>
        <item x="16"/>
        <item t="default"/>
      </items>
    </pivotField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0" hier="-1"/>
    <pageField fld="3" hier="-1"/>
  </pageFields>
  <dataFields count="2">
    <dataField name="求和项:re0" fld="5" baseField="0" baseItem="0"/>
    <dataField name="求和项:re1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333D1-F9AF-4D42-A983-1E03B1E78F5C}" name="数据透视表2" cacheId="186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D3:BJ7" firstHeaderRow="0" firstDataRow="1" firstDataCol="1" rowPageCount="1" colPageCount="1"/>
  <pivotFields count="11"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axis="axisPage" dataField="1" multipleItemSelectionAllowed="1" showAll="0">
      <items count="3">
        <item h="1" x="0"/>
        <item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3"/>
    <field x="2"/>
  </rowFields>
  <rowItems count="4">
    <i>
      <x v="3"/>
    </i>
    <i r="1"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4" hier="-1"/>
  </pageFields>
  <dataFields count="6">
    <dataField name="求和项:sub_enter_uv" fld="6" baseField="0" baseItem="0"/>
    <dataField name="求和项:sub_click_uv" fld="7" baseField="0" baseItem="0"/>
    <dataField name="求和项:sub_success_uv" fld="8" baseField="0" baseItem="0"/>
    <dataField name="求和项:sub_success_to_paid_uv" fld="9" baseField="0" baseItem="0"/>
    <dataField name="求和项:sub_success_to_paid_gmv" fld="10" baseField="0" baseItem="0"/>
    <dataField name="计数项:source_0" fld="4" subtotal="count" baseField="0" baseItem="0"/>
  </dataFields>
  <formats count="12">
    <format dxfId="11">
      <pivotArea collapsedLevelsAreSubtotals="1" fieldPosition="0">
        <references count="2">
          <reference field="4294967294" count="1" selected="0">
            <x v="4"/>
          </reference>
          <reference field="3" count="1">
            <x v="0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4"/>
          </reference>
          <reference field="2" count="0"/>
          <reference field="3" count="1" selected="0">
            <x v="0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4"/>
          </reference>
          <reference field="3" count="1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4"/>
          </reference>
          <reference field="2" count="0"/>
          <reference field="3" count="1" selected="0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4"/>
          </reference>
          <reference field="3" count="1">
            <x v="2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4"/>
          </reference>
          <reference field="2" count="0"/>
          <reference field="3" count="1" selected="0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4"/>
          </reference>
          <reference field="3" count="1">
            <x v="3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4"/>
          </reference>
          <reference field="2" count="0"/>
          <reference field="3" count="1" selected="0">
            <x v="3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4"/>
          </reference>
          <reference field="3" count="1">
            <x v="4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4"/>
          </reference>
          <reference field="2" count="0"/>
          <reference field="3" count="1" selected="0">
            <x v="4"/>
          </reference>
        </references>
      </pivotArea>
    </format>
    <format dxfId="1">
      <pivotArea collapsedLevelsAreSubtotals="1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  <format dxfId="0">
      <pivotArea dataOnly="0" labelOnly="1" fieldPosition="0">
        <references count="2">
          <reference field="2" count="1">
            <x v="0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B8D90-5C25-7E4D-B2BB-D8928A59682C}" name="数据透视表13" cacheId="19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M18:S27" firstHeaderRow="1" firstDataRow="3" firstDataCol="1"/>
  <pivotFields count="7">
    <pivotField showAll="0"/>
    <pivotField axis="axisRow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numFmtId="14" showAll="0"/>
    <pivotField showAll="0"/>
    <pivotField dataField="1"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求和项:re0" fld="5" baseField="0" baseItem="0"/>
    <dataField name="求和项:re1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41AB2-5B4E-0042-B256-4A5B8C164101}" name="数据透视表5" cacheId="18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F2:J314" firstHeaderRow="1" firstDataRow="2" firstDataCol="1"/>
  <pivotFields count="3">
    <pivotField axis="axisCol" showAll="0">
      <items count="4">
        <item x="2"/>
        <item x="0"/>
        <item x="1"/>
        <item t="default"/>
      </items>
    </pivotField>
    <pivotField axis="axisRow" showAll="0">
      <items count="3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203"/>
        <item x="204"/>
        <item x="121"/>
        <item x="122"/>
        <item x="205"/>
        <item x="123"/>
        <item x="124"/>
        <item x="125"/>
        <item x="206"/>
        <item x="126"/>
        <item x="127"/>
        <item x="128"/>
        <item x="266"/>
        <item x="207"/>
        <item x="129"/>
        <item x="130"/>
        <item x="131"/>
        <item x="132"/>
        <item x="133"/>
        <item x="134"/>
        <item x="208"/>
        <item x="135"/>
        <item x="136"/>
        <item x="137"/>
        <item x="209"/>
        <item x="138"/>
        <item x="139"/>
        <item x="210"/>
        <item x="211"/>
        <item x="212"/>
        <item x="140"/>
        <item x="141"/>
        <item x="213"/>
        <item x="267"/>
        <item x="142"/>
        <item x="143"/>
        <item x="144"/>
        <item x="214"/>
        <item x="145"/>
        <item x="146"/>
        <item x="147"/>
        <item x="148"/>
        <item x="215"/>
        <item x="149"/>
        <item x="150"/>
        <item x="151"/>
        <item x="268"/>
        <item x="216"/>
        <item x="152"/>
        <item x="217"/>
        <item x="153"/>
        <item x="218"/>
        <item x="154"/>
        <item x="269"/>
        <item x="219"/>
        <item x="155"/>
        <item x="156"/>
        <item x="270"/>
        <item x="271"/>
        <item x="157"/>
        <item x="272"/>
        <item x="220"/>
        <item x="221"/>
        <item x="158"/>
        <item x="159"/>
        <item x="273"/>
        <item x="160"/>
        <item x="222"/>
        <item x="223"/>
        <item x="161"/>
        <item x="274"/>
        <item x="275"/>
        <item x="162"/>
        <item x="163"/>
        <item x="164"/>
        <item x="276"/>
        <item x="224"/>
        <item x="165"/>
        <item x="225"/>
        <item x="226"/>
        <item x="166"/>
        <item x="227"/>
        <item x="167"/>
        <item x="228"/>
        <item x="229"/>
        <item x="168"/>
        <item x="169"/>
        <item x="170"/>
        <item x="171"/>
        <item x="277"/>
        <item x="230"/>
        <item x="172"/>
        <item x="173"/>
        <item x="174"/>
        <item x="278"/>
        <item x="231"/>
        <item x="175"/>
        <item x="176"/>
        <item x="232"/>
        <item x="177"/>
        <item x="233"/>
        <item x="279"/>
        <item x="178"/>
        <item x="234"/>
        <item x="179"/>
        <item x="235"/>
        <item x="280"/>
        <item x="236"/>
        <item x="281"/>
        <item x="237"/>
        <item x="282"/>
        <item x="180"/>
        <item x="181"/>
        <item x="283"/>
        <item x="238"/>
        <item x="284"/>
        <item x="285"/>
        <item x="286"/>
        <item x="287"/>
        <item x="239"/>
        <item x="182"/>
        <item x="288"/>
        <item x="289"/>
        <item x="240"/>
        <item x="183"/>
        <item x="290"/>
        <item x="291"/>
        <item x="241"/>
        <item x="292"/>
        <item x="242"/>
        <item x="293"/>
        <item x="294"/>
        <item x="243"/>
        <item x="184"/>
        <item x="185"/>
        <item x="186"/>
        <item x="295"/>
        <item x="244"/>
        <item x="245"/>
        <item x="246"/>
        <item x="247"/>
        <item x="248"/>
        <item x="187"/>
        <item x="188"/>
        <item x="189"/>
        <item x="296"/>
        <item x="297"/>
        <item x="190"/>
        <item x="298"/>
        <item x="299"/>
        <item x="191"/>
        <item x="192"/>
        <item x="300"/>
        <item x="193"/>
        <item x="194"/>
        <item x="301"/>
        <item x="302"/>
        <item x="303"/>
        <item x="195"/>
        <item x="249"/>
        <item x="196"/>
        <item x="250"/>
        <item x="251"/>
        <item x="252"/>
        <item x="304"/>
        <item x="253"/>
        <item x="254"/>
        <item x="197"/>
        <item x="305"/>
        <item x="255"/>
        <item x="256"/>
        <item x="257"/>
        <item x="198"/>
        <item x="199"/>
        <item x="258"/>
        <item x="259"/>
        <item x="306"/>
        <item x="200"/>
        <item x="307"/>
        <item x="260"/>
        <item x="261"/>
        <item x="308"/>
        <item x="309"/>
        <item x="201"/>
        <item x="202"/>
        <item x="262"/>
        <item x="263"/>
        <item x="264"/>
        <item x="265"/>
        <item t="default"/>
      </items>
    </pivotField>
    <pivotField dataField="1" showAll="0"/>
  </pivotFields>
  <rowFields count="1">
    <field x="1"/>
  </rowFields>
  <rowItems count="3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uv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25768-1340-024A-9E71-8D86030A6535}" name="数据透视表9" cacheId="18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H14:L34" firstHeaderRow="1" firstDataRow="2" firstDataCol="1" rowPageCount="1" colPageCount="1"/>
  <pivotFields count="4">
    <pivotField axis="axisPage" multipleItemSelectionAllowed="1" showAll="0">
      <items count="4">
        <item h="1" x="0"/>
        <item x="1"/>
        <item h="1"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求和项:uv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4153A-B4FC-054A-BFDE-82BE3A7E60CA}" name="数据透视表7" cacheId="18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H4:M9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uv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A932-B3EF-C246-AFDB-9013C306CA49}">
  <dimension ref="A1:Q205"/>
  <sheetViews>
    <sheetView topLeftCell="B2" zoomScaleNormal="100" workbookViewId="0">
      <selection activeCell="I17" sqref="I17"/>
    </sheetView>
  </sheetViews>
  <sheetFormatPr baseColWidth="10" defaultRowHeight="16"/>
  <cols>
    <col min="4" max="4" width="14.5" customWidth="1"/>
    <col min="5" max="5" width="15.83203125" customWidth="1"/>
    <col min="10" max="10" width="13.1640625" bestFit="1" customWidth="1"/>
    <col min="11" max="14" width="11.33203125" bestFit="1" customWidth="1"/>
    <col min="15" max="16" width="15.6640625" bestFit="1" customWidth="1"/>
    <col min="17" max="17" width="28.33203125" bestFit="1" customWidth="1"/>
    <col min="18" max="19" width="15.6640625" bestFit="1" customWidth="1"/>
  </cols>
  <sheetData>
    <row r="1" spans="1:16">
      <c r="A1" s="1" t="s">
        <v>1</v>
      </c>
      <c r="B1" s="1" t="s">
        <v>2</v>
      </c>
      <c r="C1" s="1" t="s">
        <v>0</v>
      </c>
      <c r="D1" s="1" t="s">
        <v>15</v>
      </c>
      <c r="E1" s="1" t="s">
        <v>3</v>
      </c>
      <c r="F1" s="1" t="s">
        <v>4</v>
      </c>
      <c r="G1" s="1" t="s">
        <v>5</v>
      </c>
    </row>
    <row r="2" spans="1:16">
      <c r="A2" s="1" t="s">
        <v>6</v>
      </c>
      <c r="B2" s="1">
        <v>11075</v>
      </c>
      <c r="C2" s="1" t="s">
        <v>17</v>
      </c>
      <c r="D2" s="2">
        <v>45759</v>
      </c>
      <c r="E2" s="1">
        <v>2869</v>
      </c>
      <c r="F2" s="1">
        <v>2869</v>
      </c>
      <c r="G2" s="1">
        <v>394</v>
      </c>
      <c r="K2" s="3" t="s">
        <v>10</v>
      </c>
    </row>
    <row r="3" spans="1:16">
      <c r="A3" s="1" t="s">
        <v>6</v>
      </c>
      <c r="B3" s="1">
        <v>11075</v>
      </c>
      <c r="C3" s="1" t="s">
        <v>17</v>
      </c>
      <c r="D3" s="2">
        <v>45760</v>
      </c>
      <c r="E3" s="1">
        <v>3472</v>
      </c>
      <c r="F3" s="1">
        <v>3472</v>
      </c>
      <c r="G3" s="1">
        <v>495</v>
      </c>
      <c r="K3" t="s">
        <v>17</v>
      </c>
      <c r="M3" t="s">
        <v>16</v>
      </c>
      <c r="O3" t="s">
        <v>12</v>
      </c>
      <c r="P3" t="s">
        <v>13</v>
      </c>
    </row>
    <row r="4" spans="1:16">
      <c r="A4" s="1" t="s">
        <v>6</v>
      </c>
      <c r="B4" s="1">
        <v>11075</v>
      </c>
      <c r="C4" s="1" t="s">
        <v>16</v>
      </c>
      <c r="D4" s="2">
        <v>45764</v>
      </c>
      <c r="E4" s="1">
        <v>2835</v>
      </c>
      <c r="F4" s="1">
        <v>2835</v>
      </c>
      <c r="G4" s="1">
        <v>762</v>
      </c>
      <c r="J4" s="3" t="s">
        <v>8</v>
      </c>
      <c r="K4" t="s">
        <v>11</v>
      </c>
      <c r="L4" t="s">
        <v>14</v>
      </c>
      <c r="M4" t="s">
        <v>11</v>
      </c>
      <c r="N4" t="s">
        <v>14</v>
      </c>
    </row>
    <row r="5" spans="1:16">
      <c r="A5" s="1" t="s">
        <v>6</v>
      </c>
      <c r="B5" s="1">
        <v>11075</v>
      </c>
      <c r="C5" s="1" t="s">
        <v>16</v>
      </c>
      <c r="D5" s="2">
        <v>45761</v>
      </c>
      <c r="E5" s="1">
        <v>2753</v>
      </c>
      <c r="F5" s="1">
        <v>2753</v>
      </c>
      <c r="G5" s="1">
        <v>728</v>
      </c>
      <c r="J5" s="4" t="s">
        <v>6</v>
      </c>
      <c r="K5" s="8">
        <v>131909</v>
      </c>
      <c r="L5" s="8">
        <v>19144</v>
      </c>
      <c r="M5" s="8">
        <v>99400</v>
      </c>
      <c r="N5" s="8">
        <v>27288</v>
      </c>
      <c r="O5" s="8">
        <v>231309</v>
      </c>
      <c r="P5" s="8">
        <v>46432</v>
      </c>
    </row>
    <row r="6" spans="1:16">
      <c r="A6" s="1" t="s">
        <v>6</v>
      </c>
      <c r="B6" s="1">
        <v>11075</v>
      </c>
      <c r="C6" s="1" t="s">
        <v>17</v>
      </c>
      <c r="D6" s="2">
        <v>45761</v>
      </c>
      <c r="E6" s="1">
        <v>3471</v>
      </c>
      <c r="F6" s="1">
        <v>3471</v>
      </c>
      <c r="G6" s="1">
        <v>433</v>
      </c>
      <c r="J6" s="10">
        <v>11075</v>
      </c>
      <c r="K6" s="8">
        <v>44269</v>
      </c>
      <c r="L6" s="8">
        <v>5751</v>
      </c>
      <c r="M6" s="8">
        <v>31038</v>
      </c>
      <c r="N6" s="8">
        <v>8472</v>
      </c>
      <c r="O6" s="8">
        <v>75307</v>
      </c>
      <c r="P6" s="8">
        <v>14223</v>
      </c>
    </row>
    <row r="7" spans="1:16">
      <c r="A7" s="1" t="s">
        <v>6</v>
      </c>
      <c r="B7" s="1">
        <v>11075</v>
      </c>
      <c r="C7" s="1" t="s">
        <v>16</v>
      </c>
      <c r="D7" s="2">
        <v>45760</v>
      </c>
      <c r="E7" s="1">
        <v>2622</v>
      </c>
      <c r="F7" s="1">
        <v>2622</v>
      </c>
      <c r="G7" s="1">
        <v>765</v>
      </c>
      <c r="J7" s="10">
        <v>11076</v>
      </c>
      <c r="K7" s="8">
        <v>43817</v>
      </c>
      <c r="L7" s="8">
        <v>6914</v>
      </c>
      <c r="M7" s="8">
        <v>35143</v>
      </c>
      <c r="N7" s="8">
        <v>9754</v>
      </c>
      <c r="O7" s="8">
        <v>78960</v>
      </c>
      <c r="P7" s="8">
        <v>16668</v>
      </c>
    </row>
    <row r="8" spans="1:16">
      <c r="A8" s="1" t="s">
        <v>6</v>
      </c>
      <c r="B8" s="1">
        <v>11075</v>
      </c>
      <c r="C8" s="1" t="s">
        <v>16</v>
      </c>
      <c r="D8" s="2">
        <v>45757</v>
      </c>
      <c r="E8" s="1">
        <v>2016</v>
      </c>
      <c r="F8" s="1">
        <v>2016</v>
      </c>
      <c r="G8" s="1">
        <v>515</v>
      </c>
      <c r="J8" s="10">
        <v>11077</v>
      </c>
      <c r="K8" s="8">
        <v>43823</v>
      </c>
      <c r="L8" s="8">
        <v>6479</v>
      </c>
      <c r="M8" s="8">
        <v>33219</v>
      </c>
      <c r="N8" s="8">
        <v>9062</v>
      </c>
      <c r="O8" s="8">
        <v>77042</v>
      </c>
      <c r="P8" s="8">
        <v>15541</v>
      </c>
    </row>
    <row r="9" spans="1:16">
      <c r="A9" s="1" t="s">
        <v>6</v>
      </c>
      <c r="B9" s="1">
        <v>11075</v>
      </c>
      <c r="C9" s="1" t="s">
        <v>17</v>
      </c>
      <c r="D9" s="2">
        <v>45753</v>
      </c>
      <c r="E9" s="1">
        <v>1600</v>
      </c>
      <c r="F9" s="1">
        <v>1600</v>
      </c>
      <c r="G9" s="1">
        <v>196</v>
      </c>
      <c r="J9" s="4" t="s">
        <v>7</v>
      </c>
      <c r="K9" s="8">
        <v>126910</v>
      </c>
      <c r="L9" s="8">
        <v>21984</v>
      </c>
      <c r="M9" s="8">
        <v>334285</v>
      </c>
      <c r="N9" s="8">
        <v>80902</v>
      </c>
      <c r="O9" s="8">
        <v>461195</v>
      </c>
      <c r="P9" s="8">
        <v>102886</v>
      </c>
    </row>
    <row r="10" spans="1:16">
      <c r="A10" s="1" t="s">
        <v>6</v>
      </c>
      <c r="B10" s="1">
        <v>11075</v>
      </c>
      <c r="C10" s="1" t="s">
        <v>17</v>
      </c>
      <c r="D10" s="2">
        <v>45757</v>
      </c>
      <c r="E10" s="1">
        <v>3227</v>
      </c>
      <c r="F10" s="1">
        <v>3227</v>
      </c>
      <c r="G10" s="1">
        <v>387</v>
      </c>
      <c r="J10" s="10">
        <v>11072</v>
      </c>
      <c r="K10" s="8">
        <v>42066</v>
      </c>
      <c r="L10" s="8">
        <v>6566</v>
      </c>
      <c r="M10" s="8">
        <v>107570</v>
      </c>
      <c r="N10" s="8">
        <v>25813</v>
      </c>
      <c r="O10" s="8">
        <v>149636</v>
      </c>
      <c r="P10" s="8">
        <v>32379</v>
      </c>
    </row>
    <row r="11" spans="1:16">
      <c r="A11" s="1" t="s">
        <v>6</v>
      </c>
      <c r="B11" s="1">
        <v>11075</v>
      </c>
      <c r="C11" s="1" t="s">
        <v>16</v>
      </c>
      <c r="D11" s="2">
        <v>45755</v>
      </c>
      <c r="E11" s="1">
        <v>1371</v>
      </c>
      <c r="F11" s="1">
        <v>1371</v>
      </c>
      <c r="G11" s="1">
        <v>330</v>
      </c>
      <c r="J11" s="10">
        <v>11073</v>
      </c>
      <c r="K11" s="8">
        <v>42676</v>
      </c>
      <c r="L11" s="8">
        <v>7959</v>
      </c>
      <c r="M11" s="8">
        <v>114815</v>
      </c>
      <c r="N11" s="8">
        <v>28141</v>
      </c>
      <c r="O11" s="8">
        <v>157491</v>
      </c>
      <c r="P11" s="8">
        <v>36100</v>
      </c>
    </row>
    <row r="12" spans="1:16">
      <c r="A12" s="1" t="s">
        <v>6</v>
      </c>
      <c r="B12" s="1">
        <v>11075</v>
      </c>
      <c r="C12" s="1" t="s">
        <v>16</v>
      </c>
      <c r="D12" s="2">
        <v>45750</v>
      </c>
      <c r="E12" s="1">
        <v>4</v>
      </c>
      <c r="F12" s="1">
        <v>4</v>
      </c>
      <c r="G12" s="1">
        <v>2</v>
      </c>
      <c r="J12" s="10">
        <v>11074</v>
      </c>
      <c r="K12" s="8">
        <v>42168</v>
      </c>
      <c r="L12" s="8">
        <v>7459</v>
      </c>
      <c r="M12" s="8">
        <v>111900</v>
      </c>
      <c r="N12" s="8">
        <v>26948</v>
      </c>
      <c r="O12" s="8">
        <v>154068</v>
      </c>
      <c r="P12" s="8">
        <v>34407</v>
      </c>
    </row>
    <row r="13" spans="1:16">
      <c r="A13" s="1" t="s">
        <v>6</v>
      </c>
      <c r="B13" s="1">
        <v>11075</v>
      </c>
      <c r="C13" s="1" t="s">
        <v>16</v>
      </c>
      <c r="D13" s="2">
        <v>45758</v>
      </c>
      <c r="E13" s="1">
        <v>2097</v>
      </c>
      <c r="F13" s="1">
        <v>2097</v>
      </c>
      <c r="G13" s="1">
        <v>570</v>
      </c>
      <c r="J13" s="4" t="s">
        <v>9</v>
      </c>
      <c r="K13" s="8">
        <v>258819</v>
      </c>
      <c r="L13" s="8">
        <v>41128</v>
      </c>
      <c r="M13" s="8">
        <v>433685</v>
      </c>
      <c r="N13" s="8">
        <v>108190</v>
      </c>
      <c r="O13" s="8">
        <v>692504</v>
      </c>
      <c r="P13" s="8">
        <v>149318</v>
      </c>
    </row>
    <row r="14" spans="1:16">
      <c r="A14" s="1" t="s">
        <v>6</v>
      </c>
      <c r="B14" s="1">
        <v>11075</v>
      </c>
      <c r="C14" s="1" t="s">
        <v>16</v>
      </c>
      <c r="D14" s="2">
        <v>45754</v>
      </c>
      <c r="E14" s="1">
        <v>906</v>
      </c>
      <c r="F14" s="1">
        <v>906</v>
      </c>
      <c r="G14" s="1">
        <v>216</v>
      </c>
    </row>
    <row r="15" spans="1:16">
      <c r="A15" s="1" t="s">
        <v>6</v>
      </c>
      <c r="B15" s="1">
        <v>11075</v>
      </c>
      <c r="C15" s="1" t="s">
        <v>17</v>
      </c>
      <c r="D15" s="2">
        <v>45751</v>
      </c>
      <c r="E15" s="1">
        <v>867</v>
      </c>
      <c r="F15" s="1">
        <v>867</v>
      </c>
      <c r="G15" s="1">
        <v>104</v>
      </c>
    </row>
    <row r="16" spans="1:16">
      <c r="A16" s="1" t="s">
        <v>6</v>
      </c>
      <c r="B16" s="1">
        <v>11075</v>
      </c>
      <c r="C16" s="1" t="s">
        <v>17</v>
      </c>
      <c r="D16" s="2">
        <v>45758</v>
      </c>
      <c r="E16" s="1">
        <v>3187</v>
      </c>
      <c r="F16" s="1">
        <v>3187</v>
      </c>
      <c r="G16" s="1">
        <v>411</v>
      </c>
    </row>
    <row r="17" spans="1:17">
      <c r="A17" s="1" t="s">
        <v>6</v>
      </c>
      <c r="B17" s="1">
        <v>11075</v>
      </c>
      <c r="C17" s="1" t="s">
        <v>17</v>
      </c>
      <c r="D17" s="2">
        <v>45752</v>
      </c>
      <c r="E17" s="1">
        <v>1226</v>
      </c>
      <c r="F17" s="1">
        <v>1226</v>
      </c>
      <c r="G17" s="1">
        <v>144</v>
      </c>
    </row>
    <row r="18" spans="1:17">
      <c r="A18" s="1" t="s">
        <v>6</v>
      </c>
      <c r="B18" s="1">
        <v>11075</v>
      </c>
      <c r="C18" s="1" t="s">
        <v>17</v>
      </c>
      <c r="D18" s="2">
        <v>45763</v>
      </c>
      <c r="E18" s="1">
        <v>2746</v>
      </c>
      <c r="F18" s="1">
        <v>2746</v>
      </c>
      <c r="G18" s="1">
        <v>366</v>
      </c>
    </row>
    <row r="19" spans="1:17">
      <c r="A19" s="1" t="s">
        <v>6</v>
      </c>
      <c r="B19" s="1">
        <v>11075</v>
      </c>
      <c r="C19" s="1" t="s">
        <v>16</v>
      </c>
      <c r="D19" s="2">
        <v>45762</v>
      </c>
      <c r="E19" s="1">
        <v>2641</v>
      </c>
      <c r="F19" s="1">
        <v>2641</v>
      </c>
      <c r="G19" s="1">
        <v>726</v>
      </c>
    </row>
    <row r="20" spans="1:17">
      <c r="A20" s="1" t="s">
        <v>6</v>
      </c>
      <c r="B20" s="1">
        <v>11075</v>
      </c>
      <c r="C20" s="1" t="s">
        <v>17</v>
      </c>
      <c r="D20" s="2">
        <v>45754</v>
      </c>
      <c r="E20" s="1">
        <v>2598</v>
      </c>
      <c r="F20" s="1">
        <v>2598</v>
      </c>
      <c r="G20" s="1">
        <v>341</v>
      </c>
    </row>
    <row r="21" spans="1:17">
      <c r="A21" s="1" t="s">
        <v>6</v>
      </c>
      <c r="B21" s="1">
        <v>11075</v>
      </c>
      <c r="C21" s="1" t="s">
        <v>16</v>
      </c>
      <c r="D21" s="2">
        <v>45756</v>
      </c>
      <c r="E21" s="1">
        <v>1679</v>
      </c>
      <c r="F21" s="1">
        <v>1679</v>
      </c>
      <c r="G21" s="1">
        <v>439</v>
      </c>
      <c r="J21" s="6"/>
      <c r="K21" s="6" t="s">
        <v>17</v>
      </c>
      <c r="L21" s="6"/>
      <c r="M21" s="6" t="s">
        <v>16</v>
      </c>
      <c r="N21" s="6"/>
    </row>
    <row r="22" spans="1:17">
      <c r="A22" s="1" t="s">
        <v>6</v>
      </c>
      <c r="B22" s="1">
        <v>11075</v>
      </c>
      <c r="C22" s="1" t="s">
        <v>17</v>
      </c>
      <c r="D22" s="2">
        <v>45765</v>
      </c>
      <c r="E22" s="1">
        <v>3108</v>
      </c>
      <c r="F22" s="1">
        <v>3108</v>
      </c>
      <c r="G22" s="1">
        <v>421</v>
      </c>
      <c r="J22" s="7" t="s">
        <v>8</v>
      </c>
      <c r="K22" s="7" t="s">
        <v>11</v>
      </c>
      <c r="L22" s="7" t="s">
        <v>14</v>
      </c>
      <c r="M22" s="7" t="s">
        <v>11</v>
      </c>
      <c r="N22" s="7" t="s">
        <v>14</v>
      </c>
      <c r="O22" s="16" t="s">
        <v>18</v>
      </c>
      <c r="P22" s="16" t="s">
        <v>19</v>
      </c>
      <c r="Q22" s="16" t="s">
        <v>20</v>
      </c>
    </row>
    <row r="23" spans="1:17">
      <c r="A23" s="1" t="s">
        <v>6</v>
      </c>
      <c r="B23" s="1">
        <v>11075</v>
      </c>
      <c r="C23" s="1" t="s">
        <v>16</v>
      </c>
      <c r="D23" s="2">
        <v>45763</v>
      </c>
      <c r="E23" s="1">
        <v>2698</v>
      </c>
      <c r="F23" s="1">
        <v>2698</v>
      </c>
      <c r="G23" s="1">
        <v>751</v>
      </c>
      <c r="J23" s="11" t="s">
        <v>6</v>
      </c>
      <c r="K23" s="12"/>
      <c r="L23" s="12"/>
      <c r="M23" s="12"/>
      <c r="N23" s="12"/>
      <c r="O23" s="15"/>
      <c r="P23" s="15"/>
    </row>
    <row r="24" spans="1:17">
      <c r="A24" s="1" t="s">
        <v>6</v>
      </c>
      <c r="B24" s="1">
        <v>11075</v>
      </c>
      <c r="C24" s="1" t="s">
        <v>17</v>
      </c>
      <c r="D24" s="2">
        <v>45766</v>
      </c>
      <c r="E24" s="1">
        <v>3625</v>
      </c>
      <c r="F24" s="1">
        <v>3625</v>
      </c>
      <c r="G24" s="1">
        <v>521</v>
      </c>
      <c r="J24" s="10">
        <v>11075</v>
      </c>
      <c r="K24" s="8">
        <v>44269</v>
      </c>
      <c r="L24" s="8">
        <v>5751</v>
      </c>
      <c r="M24" s="8">
        <v>31038</v>
      </c>
      <c r="N24" s="8">
        <v>8472</v>
      </c>
      <c r="O24" s="15">
        <f>L24/K24</f>
        <v>0.12991032099211638</v>
      </c>
      <c r="P24" s="15">
        <f>N24/M24</f>
        <v>0.27295573168374249</v>
      </c>
      <c r="Q24">
        <f>(N24+L24)/(M24+K24)</f>
        <v>0.18886690480300636</v>
      </c>
    </row>
    <row r="25" spans="1:17">
      <c r="A25" s="1" t="s">
        <v>6</v>
      </c>
      <c r="B25" s="1">
        <v>11075</v>
      </c>
      <c r="C25" s="1" t="s">
        <v>17</v>
      </c>
      <c r="D25" s="2">
        <v>45750</v>
      </c>
      <c r="E25" s="1">
        <v>134</v>
      </c>
      <c r="F25" s="1">
        <v>134</v>
      </c>
      <c r="G25" s="1">
        <v>17</v>
      </c>
      <c r="J25" s="10">
        <v>11076</v>
      </c>
      <c r="K25" s="8">
        <v>43817</v>
      </c>
      <c r="L25" s="8">
        <v>6914</v>
      </c>
      <c r="M25" s="8">
        <v>35143</v>
      </c>
      <c r="N25" s="8">
        <v>9754</v>
      </c>
      <c r="O25" s="15">
        <f>L25/K25</f>
        <v>0.15779263756076409</v>
      </c>
      <c r="P25" s="15">
        <f>N25/M25</f>
        <v>0.277551717269442</v>
      </c>
      <c r="Q25">
        <f>(N25+L25)/(M25+K25)</f>
        <v>0.21109422492401217</v>
      </c>
    </row>
    <row r="26" spans="1:17">
      <c r="A26" s="1" t="s">
        <v>6</v>
      </c>
      <c r="B26" s="1">
        <v>11075</v>
      </c>
      <c r="C26" s="1" t="s">
        <v>16</v>
      </c>
      <c r="D26" s="2">
        <v>45766</v>
      </c>
      <c r="E26" s="1">
        <v>3287</v>
      </c>
      <c r="F26" s="1">
        <v>3287</v>
      </c>
      <c r="G26" s="1">
        <v>1005</v>
      </c>
      <c r="J26" s="10">
        <v>11077</v>
      </c>
      <c r="K26" s="8">
        <v>43823</v>
      </c>
      <c r="L26" s="8">
        <v>6479</v>
      </c>
      <c r="M26" s="8">
        <v>33219</v>
      </c>
      <c r="N26" s="8">
        <v>9062</v>
      </c>
      <c r="O26" s="15">
        <f>L26/K26</f>
        <v>0.14784473906396184</v>
      </c>
      <c r="P26" s="15">
        <f>N26/M26</f>
        <v>0.27279568921400404</v>
      </c>
      <c r="Q26">
        <f>(N26+L26)/(M26+K26)</f>
        <v>0.20172113911892214</v>
      </c>
    </row>
    <row r="27" spans="1:17">
      <c r="A27" s="1" t="s">
        <v>6</v>
      </c>
      <c r="B27" s="1">
        <v>11075</v>
      </c>
      <c r="C27" s="1" t="s">
        <v>16</v>
      </c>
      <c r="D27" s="2">
        <v>45765</v>
      </c>
      <c r="E27" s="1">
        <v>2938</v>
      </c>
      <c r="F27" s="1">
        <v>2938</v>
      </c>
      <c r="G27" s="1">
        <v>827</v>
      </c>
      <c r="J27" s="11" t="s">
        <v>7</v>
      </c>
      <c r="K27" s="12"/>
      <c r="L27" s="12"/>
      <c r="M27" s="12"/>
      <c r="N27" s="12"/>
      <c r="O27" s="15"/>
      <c r="P27" s="15"/>
    </row>
    <row r="28" spans="1:17">
      <c r="A28" s="1" t="s">
        <v>6</v>
      </c>
      <c r="B28" s="1">
        <v>11075</v>
      </c>
      <c r="C28" s="1" t="s">
        <v>16</v>
      </c>
      <c r="D28" s="2">
        <v>45759</v>
      </c>
      <c r="E28" s="1">
        <v>2207</v>
      </c>
      <c r="F28" s="1">
        <v>2207</v>
      </c>
      <c r="G28" s="1">
        <v>612</v>
      </c>
      <c r="J28" s="10">
        <v>11072</v>
      </c>
      <c r="K28" s="8">
        <v>42066</v>
      </c>
      <c r="L28" s="8">
        <v>6566</v>
      </c>
      <c r="M28" s="8">
        <v>107570</v>
      </c>
      <c r="N28" s="8">
        <v>25813</v>
      </c>
      <c r="O28" s="15">
        <f>L28/K28</f>
        <v>0.15608805210859125</v>
      </c>
      <c r="P28" s="15">
        <f>N28/M28</f>
        <v>0.23996467416565956</v>
      </c>
      <c r="Q28">
        <f>(N28+L28)/(M28+K28)</f>
        <v>0.2163850944959769</v>
      </c>
    </row>
    <row r="29" spans="1:17">
      <c r="A29" s="1" t="s">
        <v>6</v>
      </c>
      <c r="B29" s="1">
        <v>11075</v>
      </c>
      <c r="C29" s="1" t="s">
        <v>16</v>
      </c>
      <c r="D29" s="2">
        <v>45752</v>
      </c>
      <c r="E29" s="1">
        <v>334</v>
      </c>
      <c r="F29" s="1">
        <v>334</v>
      </c>
      <c r="G29" s="1">
        <v>72</v>
      </c>
      <c r="J29" s="10">
        <v>11073</v>
      </c>
      <c r="K29" s="8">
        <v>42676</v>
      </c>
      <c r="L29" s="8">
        <v>7959</v>
      </c>
      <c r="M29" s="8">
        <v>114815</v>
      </c>
      <c r="N29" s="8">
        <v>28141</v>
      </c>
      <c r="O29" s="15">
        <f>L29/K29</f>
        <v>0.18649826600431155</v>
      </c>
      <c r="P29" s="15">
        <f>N29/M29</f>
        <v>0.24509863693768236</v>
      </c>
      <c r="Q29">
        <f>(N29+L29)/(M29+K29)</f>
        <v>0.22921944746048981</v>
      </c>
    </row>
    <row r="30" spans="1:17">
      <c r="A30" s="1" t="s">
        <v>6</v>
      </c>
      <c r="B30" s="1">
        <v>11075</v>
      </c>
      <c r="C30" s="1" t="s">
        <v>17</v>
      </c>
      <c r="D30" s="2">
        <v>45755</v>
      </c>
      <c r="E30" s="1">
        <v>3158</v>
      </c>
      <c r="F30" s="1">
        <v>3158</v>
      </c>
      <c r="G30" s="1">
        <v>388</v>
      </c>
      <c r="J30" s="10">
        <v>11074</v>
      </c>
      <c r="K30" s="8">
        <v>42168</v>
      </c>
      <c r="L30" s="8">
        <v>7459</v>
      </c>
      <c r="M30" s="8">
        <v>111900</v>
      </c>
      <c r="N30" s="8">
        <v>26948</v>
      </c>
      <c r="O30" s="15">
        <f>L30/K30</f>
        <v>0.17688768734585467</v>
      </c>
      <c r="P30" s="15">
        <f>N30/M30</f>
        <v>0.24082216264521894</v>
      </c>
      <c r="Q30">
        <f>(N30+L30)/(M30+K30)</f>
        <v>0.2233234675597788</v>
      </c>
    </row>
    <row r="31" spans="1:17">
      <c r="A31" s="1" t="s">
        <v>6</v>
      </c>
      <c r="B31" s="1">
        <v>11075</v>
      </c>
      <c r="C31" s="1" t="s">
        <v>17</v>
      </c>
      <c r="D31" s="2">
        <v>45762</v>
      </c>
      <c r="E31" s="1">
        <v>2950</v>
      </c>
      <c r="F31" s="1">
        <v>2950</v>
      </c>
      <c r="G31" s="1">
        <v>380</v>
      </c>
      <c r="I31" s="21"/>
      <c r="J31" s="22"/>
      <c r="K31" s="23" t="s">
        <v>17</v>
      </c>
      <c r="L31" s="23"/>
      <c r="M31" s="23" t="s">
        <v>16</v>
      </c>
      <c r="N31" s="22"/>
      <c r="O31" s="24"/>
      <c r="P31" s="24"/>
      <c r="Q31" s="25"/>
    </row>
    <row r="32" spans="1:17">
      <c r="A32" s="1" t="s">
        <v>6</v>
      </c>
      <c r="B32" s="1">
        <v>11075</v>
      </c>
      <c r="C32" s="1" t="s">
        <v>16</v>
      </c>
      <c r="D32" s="2">
        <v>45753</v>
      </c>
      <c r="E32" s="1">
        <v>536</v>
      </c>
      <c r="F32" s="1">
        <v>536</v>
      </c>
      <c r="G32" s="1">
        <v>128</v>
      </c>
      <c r="I32" s="82" t="s">
        <v>24</v>
      </c>
      <c r="J32" s="17" t="s">
        <v>21</v>
      </c>
      <c r="K32" s="26">
        <f t="shared" ref="K32:N34" si="0">K24+K28</f>
        <v>86335</v>
      </c>
      <c r="L32" s="26">
        <f t="shared" si="0"/>
        <v>12317</v>
      </c>
      <c r="M32" s="26">
        <f t="shared" si="0"/>
        <v>138608</v>
      </c>
      <c r="N32" s="26">
        <f t="shared" si="0"/>
        <v>34285</v>
      </c>
      <c r="O32" s="27">
        <f>L32/K32</f>
        <v>0.14266519951352291</v>
      </c>
      <c r="P32" s="27">
        <f>N32/M32</f>
        <v>0.24735224518065335</v>
      </c>
      <c r="Q32" s="28">
        <f>(N32+L32)/(M32+K32)</f>
        <v>0.20717248369586963</v>
      </c>
    </row>
    <row r="33" spans="1:17">
      <c r="A33" s="1" t="s">
        <v>6</v>
      </c>
      <c r="B33" s="1">
        <v>11075</v>
      </c>
      <c r="C33" s="1" t="s">
        <v>16</v>
      </c>
      <c r="D33" s="2">
        <v>45751</v>
      </c>
      <c r="E33" s="1">
        <v>114</v>
      </c>
      <c r="F33" s="1">
        <v>114</v>
      </c>
      <c r="G33" s="1">
        <v>24</v>
      </c>
      <c r="I33" s="82"/>
      <c r="J33" s="17" t="s">
        <v>22</v>
      </c>
      <c r="K33" s="26">
        <f t="shared" si="0"/>
        <v>86493</v>
      </c>
      <c r="L33" s="26">
        <f t="shared" si="0"/>
        <v>14873</v>
      </c>
      <c r="M33" s="26">
        <f t="shared" si="0"/>
        <v>149958</v>
      </c>
      <c r="N33" s="26">
        <f t="shared" si="0"/>
        <v>37895</v>
      </c>
      <c r="O33" s="27">
        <f>L33/K33</f>
        <v>0.17195611205531083</v>
      </c>
      <c r="P33" s="27">
        <f>N33/M33</f>
        <v>0.25270409047866738</v>
      </c>
      <c r="Q33" s="28">
        <f>(N33+L33)/(M33+K33)</f>
        <v>0.2231667449069786</v>
      </c>
    </row>
    <row r="34" spans="1:17">
      <c r="A34" s="1" t="s">
        <v>6</v>
      </c>
      <c r="B34" s="1">
        <v>11075</v>
      </c>
      <c r="C34" s="1" t="s">
        <v>17</v>
      </c>
      <c r="D34" s="2">
        <v>45756</v>
      </c>
      <c r="E34" s="1">
        <v>3005</v>
      </c>
      <c r="F34" s="1">
        <v>3005</v>
      </c>
      <c r="G34" s="1">
        <v>371</v>
      </c>
      <c r="I34" s="83"/>
      <c r="J34" s="29" t="s">
        <v>23</v>
      </c>
      <c r="K34" s="30">
        <f t="shared" si="0"/>
        <v>85991</v>
      </c>
      <c r="L34" s="30">
        <f t="shared" si="0"/>
        <v>13938</v>
      </c>
      <c r="M34" s="30">
        <f t="shared" si="0"/>
        <v>145119</v>
      </c>
      <c r="N34" s="30">
        <f t="shared" si="0"/>
        <v>36010</v>
      </c>
      <c r="O34" s="31">
        <f>L34/K34</f>
        <v>0.1620867300066286</v>
      </c>
      <c r="P34" s="31">
        <f>N34/M34</f>
        <v>0.24814118068619548</v>
      </c>
      <c r="Q34" s="32">
        <f>(N34+L34)/(M34+K34)</f>
        <v>0.21612219289515816</v>
      </c>
    </row>
    <row r="35" spans="1:17">
      <c r="A35" s="1" t="s">
        <v>6</v>
      </c>
      <c r="B35" s="1">
        <v>11075</v>
      </c>
      <c r="C35" s="1" t="s">
        <v>17</v>
      </c>
      <c r="D35" s="2">
        <v>45764</v>
      </c>
      <c r="E35" s="1">
        <v>3026</v>
      </c>
      <c r="F35" s="1">
        <v>3026</v>
      </c>
      <c r="G35" s="1">
        <v>382</v>
      </c>
    </row>
    <row r="36" spans="1:17">
      <c r="A36" s="1" t="s">
        <v>6</v>
      </c>
      <c r="B36" s="1">
        <v>11076</v>
      </c>
      <c r="C36" s="1" t="s">
        <v>16</v>
      </c>
      <c r="D36" s="2">
        <v>45751</v>
      </c>
      <c r="E36" s="1">
        <v>130</v>
      </c>
      <c r="F36" s="1">
        <v>130</v>
      </c>
      <c r="G36" s="1">
        <v>38</v>
      </c>
      <c r="K36" t="s">
        <v>45</v>
      </c>
    </row>
    <row r="37" spans="1:17">
      <c r="A37" s="1" t="s">
        <v>6</v>
      </c>
      <c r="B37" s="1">
        <v>11076</v>
      </c>
      <c r="C37" s="1" t="s">
        <v>16</v>
      </c>
      <c r="D37" s="2">
        <v>45764</v>
      </c>
      <c r="E37" s="1">
        <v>3250</v>
      </c>
      <c r="F37" s="1">
        <v>3250</v>
      </c>
      <c r="G37" s="1">
        <v>886</v>
      </c>
      <c r="I37" s="84" t="s">
        <v>24</v>
      </c>
      <c r="J37" s="17" t="s">
        <v>21</v>
      </c>
      <c r="K37">
        <f t="shared" ref="K37:L39" si="1">K32+M32</f>
        <v>224943</v>
      </c>
      <c r="L37">
        <f t="shared" si="1"/>
        <v>46602</v>
      </c>
      <c r="M37">
        <f>L37/K37</f>
        <v>0.20717248369586963</v>
      </c>
    </row>
    <row r="38" spans="1:17">
      <c r="A38" s="1" t="s">
        <v>6</v>
      </c>
      <c r="B38" s="1">
        <v>11076</v>
      </c>
      <c r="C38" s="1" t="s">
        <v>17</v>
      </c>
      <c r="D38" s="2">
        <v>45750</v>
      </c>
      <c r="E38" s="1">
        <v>139</v>
      </c>
      <c r="F38" s="1">
        <v>139</v>
      </c>
      <c r="G38" s="1">
        <v>33</v>
      </c>
      <c r="I38" s="84"/>
      <c r="J38" s="17" t="s">
        <v>22</v>
      </c>
      <c r="K38">
        <f t="shared" si="1"/>
        <v>236451</v>
      </c>
      <c r="L38">
        <f t="shared" si="1"/>
        <v>52768</v>
      </c>
      <c r="M38">
        <f>L38/K38</f>
        <v>0.2231667449069786</v>
      </c>
    </row>
    <row r="39" spans="1:17">
      <c r="A39" s="1" t="s">
        <v>6</v>
      </c>
      <c r="B39" s="1">
        <v>11076</v>
      </c>
      <c r="C39" s="1" t="s">
        <v>17</v>
      </c>
      <c r="D39" s="2">
        <v>45765</v>
      </c>
      <c r="E39" s="1">
        <v>2994</v>
      </c>
      <c r="F39" s="1">
        <v>2994</v>
      </c>
      <c r="G39" s="1">
        <v>513</v>
      </c>
      <c r="I39" s="84"/>
      <c r="J39" s="17" t="s">
        <v>23</v>
      </c>
      <c r="K39">
        <f t="shared" si="1"/>
        <v>231110</v>
      </c>
      <c r="L39">
        <f t="shared" si="1"/>
        <v>49948</v>
      </c>
      <c r="M39">
        <f>L39/K39</f>
        <v>0.21612219289515816</v>
      </c>
    </row>
    <row r="40" spans="1:17">
      <c r="A40" s="1" t="s">
        <v>6</v>
      </c>
      <c r="B40" s="1">
        <v>11076</v>
      </c>
      <c r="C40" s="1" t="s">
        <v>17</v>
      </c>
      <c r="D40" s="2">
        <v>45766</v>
      </c>
      <c r="E40" s="1">
        <v>3509</v>
      </c>
      <c r="F40" s="1">
        <v>3509</v>
      </c>
      <c r="G40" s="1">
        <v>535</v>
      </c>
    </row>
    <row r="41" spans="1:17">
      <c r="A41" s="1" t="s">
        <v>6</v>
      </c>
      <c r="B41" s="1">
        <v>11076</v>
      </c>
      <c r="C41" s="1" t="s">
        <v>16</v>
      </c>
      <c r="D41" s="2">
        <v>45757</v>
      </c>
      <c r="E41" s="1">
        <v>2189</v>
      </c>
      <c r="F41" s="1">
        <v>2189</v>
      </c>
      <c r="G41" s="1">
        <v>569</v>
      </c>
    </row>
    <row r="42" spans="1:17">
      <c r="A42" s="1" t="s">
        <v>6</v>
      </c>
      <c r="B42" s="1">
        <v>11076</v>
      </c>
      <c r="C42" s="1" t="s">
        <v>16</v>
      </c>
      <c r="D42" s="2">
        <v>45755</v>
      </c>
      <c r="E42" s="1">
        <v>1527</v>
      </c>
      <c r="F42" s="1">
        <v>1527</v>
      </c>
      <c r="G42" s="1">
        <v>384</v>
      </c>
    </row>
    <row r="43" spans="1:17">
      <c r="A43" s="1" t="s">
        <v>6</v>
      </c>
      <c r="B43" s="1">
        <v>11076</v>
      </c>
      <c r="C43" s="1" t="s">
        <v>17</v>
      </c>
      <c r="D43" s="2">
        <v>45760</v>
      </c>
      <c r="E43" s="1">
        <v>3301</v>
      </c>
      <c r="F43" s="1">
        <v>3301</v>
      </c>
      <c r="G43" s="1">
        <v>558</v>
      </c>
    </row>
    <row r="44" spans="1:17">
      <c r="A44" s="1" t="s">
        <v>6</v>
      </c>
      <c r="B44" s="1">
        <v>11076</v>
      </c>
      <c r="C44" s="1" t="s">
        <v>16</v>
      </c>
      <c r="D44" s="2">
        <v>45754</v>
      </c>
      <c r="E44" s="1">
        <v>1020</v>
      </c>
      <c r="F44" s="1">
        <v>1020</v>
      </c>
      <c r="G44" s="1">
        <v>266</v>
      </c>
    </row>
    <row r="45" spans="1:17">
      <c r="A45" s="1" t="s">
        <v>6</v>
      </c>
      <c r="B45" s="1">
        <v>11076</v>
      </c>
      <c r="C45" s="1" t="s">
        <v>16</v>
      </c>
      <c r="D45" s="2">
        <v>45752</v>
      </c>
      <c r="E45" s="1">
        <v>430</v>
      </c>
      <c r="F45" s="1">
        <v>430</v>
      </c>
      <c r="G45" s="1">
        <v>128</v>
      </c>
    </row>
    <row r="46" spans="1:17">
      <c r="A46" s="1" t="s">
        <v>6</v>
      </c>
      <c r="B46" s="1">
        <v>11076</v>
      </c>
      <c r="C46" s="1" t="s">
        <v>17</v>
      </c>
      <c r="D46" s="2">
        <v>45761</v>
      </c>
      <c r="E46" s="1">
        <v>3591</v>
      </c>
      <c r="F46" s="1">
        <v>3591</v>
      </c>
      <c r="G46" s="1">
        <v>510</v>
      </c>
    </row>
    <row r="47" spans="1:17">
      <c r="A47" s="1" t="s">
        <v>6</v>
      </c>
      <c r="B47" s="1">
        <v>11076</v>
      </c>
      <c r="C47" s="1" t="s">
        <v>17</v>
      </c>
      <c r="D47" s="2">
        <v>45759</v>
      </c>
      <c r="E47" s="1">
        <v>2888</v>
      </c>
      <c r="F47" s="1">
        <v>2888</v>
      </c>
      <c r="G47" s="1">
        <v>466</v>
      </c>
    </row>
    <row r="48" spans="1:17">
      <c r="A48" s="1" t="s">
        <v>6</v>
      </c>
      <c r="B48" s="1">
        <v>11076</v>
      </c>
      <c r="C48" s="1" t="s">
        <v>17</v>
      </c>
      <c r="D48" s="2">
        <v>45755</v>
      </c>
      <c r="E48" s="1">
        <v>3201</v>
      </c>
      <c r="F48" s="1">
        <v>3201</v>
      </c>
      <c r="G48" s="1">
        <v>489</v>
      </c>
    </row>
    <row r="49" spans="1:7">
      <c r="A49" s="1" t="s">
        <v>6</v>
      </c>
      <c r="B49" s="1">
        <v>11076</v>
      </c>
      <c r="C49" s="1" t="s">
        <v>16</v>
      </c>
      <c r="D49" s="2">
        <v>45761</v>
      </c>
      <c r="E49" s="1">
        <v>3103</v>
      </c>
      <c r="F49" s="1">
        <v>3103</v>
      </c>
      <c r="G49" s="1">
        <v>846</v>
      </c>
    </row>
    <row r="50" spans="1:7">
      <c r="A50" s="1" t="s">
        <v>6</v>
      </c>
      <c r="B50" s="1">
        <v>11076</v>
      </c>
      <c r="C50" s="1" t="s">
        <v>16</v>
      </c>
      <c r="D50" s="2">
        <v>45759</v>
      </c>
      <c r="E50" s="1">
        <v>2537</v>
      </c>
      <c r="F50" s="1">
        <v>2537</v>
      </c>
      <c r="G50" s="1">
        <v>740</v>
      </c>
    </row>
    <row r="51" spans="1:7">
      <c r="A51" s="1" t="s">
        <v>6</v>
      </c>
      <c r="B51" s="1">
        <v>11076</v>
      </c>
      <c r="C51" s="1" t="s">
        <v>16</v>
      </c>
      <c r="D51" s="2">
        <v>45760</v>
      </c>
      <c r="E51" s="1">
        <v>2933</v>
      </c>
      <c r="F51" s="1">
        <v>2933</v>
      </c>
      <c r="G51" s="1">
        <v>824</v>
      </c>
    </row>
    <row r="52" spans="1:7">
      <c r="A52" s="1" t="s">
        <v>6</v>
      </c>
      <c r="B52" s="1">
        <v>11076</v>
      </c>
      <c r="C52" s="1" t="s">
        <v>17</v>
      </c>
      <c r="D52" s="2">
        <v>45756</v>
      </c>
      <c r="E52" s="1">
        <v>2897</v>
      </c>
      <c r="F52" s="1">
        <v>2897</v>
      </c>
      <c r="G52" s="1">
        <v>471</v>
      </c>
    </row>
    <row r="53" spans="1:7">
      <c r="A53" s="1" t="s">
        <v>6</v>
      </c>
      <c r="B53" s="1">
        <v>11076</v>
      </c>
      <c r="C53" s="1" t="s">
        <v>17</v>
      </c>
      <c r="D53" s="2">
        <v>45758</v>
      </c>
      <c r="E53" s="1">
        <v>3009</v>
      </c>
      <c r="F53" s="1">
        <v>3009</v>
      </c>
      <c r="G53" s="1">
        <v>467</v>
      </c>
    </row>
    <row r="54" spans="1:7">
      <c r="A54" s="1" t="s">
        <v>6</v>
      </c>
      <c r="B54" s="1">
        <v>11076</v>
      </c>
      <c r="C54" s="1" t="s">
        <v>16</v>
      </c>
      <c r="D54" s="2">
        <v>45758</v>
      </c>
      <c r="E54" s="1">
        <v>2348</v>
      </c>
      <c r="F54" s="1">
        <v>2348</v>
      </c>
      <c r="G54" s="1">
        <v>627</v>
      </c>
    </row>
    <row r="55" spans="1:7">
      <c r="A55" s="1" t="s">
        <v>6</v>
      </c>
      <c r="B55" s="1">
        <v>11076</v>
      </c>
      <c r="C55" s="1" t="s">
        <v>16</v>
      </c>
      <c r="D55" s="2">
        <v>45753</v>
      </c>
      <c r="E55" s="1">
        <v>669</v>
      </c>
      <c r="F55" s="1">
        <v>669</v>
      </c>
      <c r="G55" s="1">
        <v>186</v>
      </c>
    </row>
    <row r="56" spans="1:7">
      <c r="A56" s="1" t="s">
        <v>6</v>
      </c>
      <c r="B56" s="1">
        <v>11076</v>
      </c>
      <c r="C56" s="1" t="s">
        <v>16</v>
      </c>
      <c r="D56" s="2">
        <v>45756</v>
      </c>
      <c r="E56" s="1">
        <v>1946</v>
      </c>
      <c r="F56" s="1">
        <v>1946</v>
      </c>
      <c r="G56" s="1">
        <v>514</v>
      </c>
    </row>
    <row r="57" spans="1:7">
      <c r="A57" s="1" t="s">
        <v>6</v>
      </c>
      <c r="B57" s="1">
        <v>11076</v>
      </c>
      <c r="C57" s="1" t="s">
        <v>17</v>
      </c>
      <c r="D57" s="2">
        <v>45751</v>
      </c>
      <c r="E57" s="1">
        <v>908</v>
      </c>
      <c r="F57" s="1">
        <v>908</v>
      </c>
      <c r="G57" s="1">
        <v>140</v>
      </c>
    </row>
    <row r="58" spans="1:7">
      <c r="A58" s="1" t="s">
        <v>6</v>
      </c>
      <c r="B58" s="1">
        <v>11076</v>
      </c>
      <c r="C58" s="1" t="s">
        <v>16</v>
      </c>
      <c r="D58" s="2">
        <v>45750</v>
      </c>
      <c r="E58" s="1">
        <v>12</v>
      </c>
      <c r="F58" s="1">
        <v>12</v>
      </c>
      <c r="G58" s="1">
        <v>4</v>
      </c>
    </row>
    <row r="59" spans="1:7">
      <c r="A59" s="1" t="s">
        <v>6</v>
      </c>
      <c r="B59" s="1">
        <v>11076</v>
      </c>
      <c r="C59" s="1" t="s">
        <v>17</v>
      </c>
      <c r="D59" s="2">
        <v>45764</v>
      </c>
      <c r="E59" s="1">
        <v>2981</v>
      </c>
      <c r="F59" s="1">
        <v>2981</v>
      </c>
      <c r="G59" s="1">
        <v>455</v>
      </c>
    </row>
    <row r="60" spans="1:7">
      <c r="A60" s="1" t="s">
        <v>6</v>
      </c>
      <c r="B60" s="1">
        <v>11076</v>
      </c>
      <c r="C60" s="1" t="s">
        <v>17</v>
      </c>
      <c r="D60" s="2">
        <v>45757</v>
      </c>
      <c r="E60" s="1">
        <v>3134</v>
      </c>
      <c r="F60" s="1">
        <v>3134</v>
      </c>
      <c r="G60" s="1">
        <v>469</v>
      </c>
    </row>
    <row r="61" spans="1:7">
      <c r="A61" s="1" t="s">
        <v>6</v>
      </c>
      <c r="B61" s="1">
        <v>11076</v>
      </c>
      <c r="C61" s="1" t="s">
        <v>16</v>
      </c>
      <c r="D61" s="2">
        <v>45766</v>
      </c>
      <c r="E61" s="1">
        <v>3609</v>
      </c>
      <c r="F61" s="1">
        <v>3609</v>
      </c>
      <c r="G61" s="1">
        <v>1068</v>
      </c>
    </row>
    <row r="62" spans="1:7">
      <c r="A62" s="1" t="s">
        <v>6</v>
      </c>
      <c r="B62" s="1">
        <v>11076</v>
      </c>
      <c r="C62" s="1" t="s">
        <v>17</v>
      </c>
      <c r="D62" s="2">
        <v>45762</v>
      </c>
      <c r="E62" s="1">
        <v>2953</v>
      </c>
      <c r="F62" s="1">
        <v>2953</v>
      </c>
      <c r="G62" s="1">
        <v>474</v>
      </c>
    </row>
    <row r="63" spans="1:7">
      <c r="A63" s="1" t="s">
        <v>6</v>
      </c>
      <c r="B63" s="1">
        <v>11076</v>
      </c>
      <c r="C63" s="1" t="s">
        <v>17</v>
      </c>
      <c r="D63" s="2">
        <v>45754</v>
      </c>
      <c r="E63" s="1">
        <v>2717</v>
      </c>
      <c r="F63" s="1">
        <v>2717</v>
      </c>
      <c r="G63" s="1">
        <v>435</v>
      </c>
    </row>
    <row r="64" spans="1:7">
      <c r="A64" s="1" t="s">
        <v>6</v>
      </c>
      <c r="B64" s="1">
        <v>11076</v>
      </c>
      <c r="C64" s="1" t="s">
        <v>17</v>
      </c>
      <c r="D64" s="2">
        <v>45752</v>
      </c>
      <c r="E64" s="1">
        <v>1173</v>
      </c>
      <c r="F64" s="1">
        <v>1173</v>
      </c>
      <c r="G64" s="1">
        <v>183</v>
      </c>
    </row>
    <row r="65" spans="1:7">
      <c r="A65" s="1" t="s">
        <v>6</v>
      </c>
      <c r="B65" s="1">
        <v>11076</v>
      </c>
      <c r="C65" s="1" t="s">
        <v>17</v>
      </c>
      <c r="D65" s="2">
        <v>45763</v>
      </c>
      <c r="E65" s="1">
        <v>2826</v>
      </c>
      <c r="F65" s="1">
        <v>2826</v>
      </c>
      <c r="G65" s="1">
        <v>469</v>
      </c>
    </row>
    <row r="66" spans="1:7">
      <c r="A66" s="1" t="s">
        <v>6</v>
      </c>
      <c r="B66" s="1">
        <v>11076</v>
      </c>
      <c r="C66" s="1" t="s">
        <v>16</v>
      </c>
      <c r="D66" s="2">
        <v>45763</v>
      </c>
      <c r="E66" s="1">
        <v>3082</v>
      </c>
      <c r="F66" s="1">
        <v>3082</v>
      </c>
      <c r="G66" s="1">
        <v>872</v>
      </c>
    </row>
    <row r="67" spans="1:7">
      <c r="A67" s="1" t="s">
        <v>6</v>
      </c>
      <c r="B67" s="1">
        <v>11076</v>
      </c>
      <c r="C67" s="1" t="s">
        <v>16</v>
      </c>
      <c r="D67" s="2">
        <v>45762</v>
      </c>
      <c r="E67" s="1">
        <v>2975</v>
      </c>
      <c r="F67" s="1">
        <v>2975</v>
      </c>
      <c r="G67" s="1">
        <v>828</v>
      </c>
    </row>
    <row r="68" spans="1:7">
      <c r="A68" s="1" t="s">
        <v>6</v>
      </c>
      <c r="B68" s="1">
        <v>11076</v>
      </c>
      <c r="C68" s="1" t="s">
        <v>16</v>
      </c>
      <c r="D68" s="2">
        <v>45765</v>
      </c>
      <c r="E68" s="1">
        <v>3383</v>
      </c>
      <c r="F68" s="1">
        <v>3383</v>
      </c>
      <c r="G68" s="1">
        <v>974</v>
      </c>
    </row>
    <row r="69" spans="1:7">
      <c r="A69" s="1" t="s">
        <v>6</v>
      </c>
      <c r="B69" s="1">
        <v>11076</v>
      </c>
      <c r="C69" s="1" t="s">
        <v>17</v>
      </c>
      <c r="D69" s="2">
        <v>45753</v>
      </c>
      <c r="E69" s="1">
        <v>1596</v>
      </c>
      <c r="F69" s="1">
        <v>1596</v>
      </c>
      <c r="G69" s="1">
        <v>247</v>
      </c>
    </row>
    <row r="70" spans="1:7">
      <c r="A70" s="1" t="s">
        <v>6</v>
      </c>
      <c r="B70" s="1">
        <v>11077</v>
      </c>
      <c r="C70" s="1" t="s">
        <v>16</v>
      </c>
      <c r="D70" s="2">
        <v>45762</v>
      </c>
      <c r="E70" s="1">
        <v>2794</v>
      </c>
      <c r="F70" s="1">
        <v>2794</v>
      </c>
      <c r="G70" s="1">
        <v>697</v>
      </c>
    </row>
    <row r="71" spans="1:7">
      <c r="A71" s="1" t="s">
        <v>6</v>
      </c>
      <c r="B71" s="1">
        <v>11077</v>
      </c>
      <c r="C71" s="1" t="s">
        <v>17</v>
      </c>
      <c r="D71" s="2">
        <v>45754</v>
      </c>
      <c r="E71" s="1">
        <v>2626</v>
      </c>
      <c r="F71" s="1">
        <v>2626</v>
      </c>
      <c r="G71" s="1">
        <v>371</v>
      </c>
    </row>
    <row r="72" spans="1:7">
      <c r="A72" s="1" t="s">
        <v>6</v>
      </c>
      <c r="B72" s="1">
        <v>11077</v>
      </c>
      <c r="C72" s="1" t="s">
        <v>16</v>
      </c>
      <c r="D72" s="2">
        <v>45750</v>
      </c>
      <c r="E72" s="1">
        <v>11</v>
      </c>
      <c r="F72" s="1">
        <v>11</v>
      </c>
      <c r="G72" s="1">
        <v>7</v>
      </c>
    </row>
    <row r="73" spans="1:7">
      <c r="A73" s="1" t="s">
        <v>6</v>
      </c>
      <c r="B73" s="1">
        <v>11077</v>
      </c>
      <c r="C73" s="1" t="s">
        <v>16</v>
      </c>
      <c r="D73" s="2">
        <v>45759</v>
      </c>
      <c r="E73" s="1">
        <v>2384</v>
      </c>
      <c r="F73" s="1">
        <v>2384</v>
      </c>
      <c r="G73" s="1">
        <v>695</v>
      </c>
    </row>
    <row r="74" spans="1:7">
      <c r="A74" s="1" t="s">
        <v>6</v>
      </c>
      <c r="B74" s="1">
        <v>11077</v>
      </c>
      <c r="C74" s="1" t="s">
        <v>17</v>
      </c>
      <c r="D74" s="2">
        <v>45763</v>
      </c>
      <c r="E74" s="1">
        <v>2727</v>
      </c>
      <c r="F74" s="1">
        <v>2727</v>
      </c>
      <c r="G74" s="1">
        <v>409</v>
      </c>
    </row>
    <row r="75" spans="1:7">
      <c r="A75" s="1" t="s">
        <v>6</v>
      </c>
      <c r="B75" s="1">
        <v>11077</v>
      </c>
      <c r="C75" s="1" t="s">
        <v>16</v>
      </c>
      <c r="D75" s="2">
        <v>45760</v>
      </c>
      <c r="E75" s="1">
        <v>2808</v>
      </c>
      <c r="F75" s="1">
        <v>2808</v>
      </c>
      <c r="G75" s="1">
        <v>771</v>
      </c>
    </row>
    <row r="76" spans="1:7">
      <c r="A76" s="1" t="s">
        <v>6</v>
      </c>
      <c r="B76" s="1">
        <v>11077</v>
      </c>
      <c r="C76" s="1" t="s">
        <v>16</v>
      </c>
      <c r="D76" s="2">
        <v>45752</v>
      </c>
      <c r="E76" s="1">
        <v>384</v>
      </c>
      <c r="F76" s="1">
        <v>384</v>
      </c>
      <c r="G76" s="1">
        <v>120</v>
      </c>
    </row>
    <row r="77" spans="1:7">
      <c r="A77" s="1" t="s">
        <v>6</v>
      </c>
      <c r="B77" s="1">
        <v>11077</v>
      </c>
      <c r="C77" s="1" t="s">
        <v>17</v>
      </c>
      <c r="D77" s="2">
        <v>45753</v>
      </c>
      <c r="E77" s="1">
        <v>1632</v>
      </c>
      <c r="F77" s="1">
        <v>1632</v>
      </c>
      <c r="G77" s="1">
        <v>238</v>
      </c>
    </row>
    <row r="78" spans="1:7">
      <c r="A78" s="1" t="s">
        <v>6</v>
      </c>
      <c r="B78" s="1">
        <v>11077</v>
      </c>
      <c r="C78" s="1" t="s">
        <v>16</v>
      </c>
      <c r="D78" s="2">
        <v>45754</v>
      </c>
      <c r="E78" s="1">
        <v>966</v>
      </c>
      <c r="F78" s="1">
        <v>966</v>
      </c>
      <c r="G78" s="1">
        <v>221</v>
      </c>
    </row>
    <row r="79" spans="1:7">
      <c r="A79" s="1" t="s">
        <v>6</v>
      </c>
      <c r="B79" s="1">
        <v>11077</v>
      </c>
      <c r="C79" s="1" t="s">
        <v>16</v>
      </c>
      <c r="D79" s="2">
        <v>45757</v>
      </c>
      <c r="E79" s="1">
        <v>2122</v>
      </c>
      <c r="F79" s="1">
        <v>2122</v>
      </c>
      <c r="G79" s="1">
        <v>561</v>
      </c>
    </row>
    <row r="80" spans="1:7">
      <c r="A80" s="1" t="s">
        <v>6</v>
      </c>
      <c r="B80" s="1">
        <v>11077</v>
      </c>
      <c r="C80" s="1" t="s">
        <v>17</v>
      </c>
      <c r="D80" s="2">
        <v>45758</v>
      </c>
      <c r="E80" s="1">
        <v>3023</v>
      </c>
      <c r="F80" s="1">
        <v>3023</v>
      </c>
      <c r="G80" s="1">
        <v>439</v>
      </c>
    </row>
    <row r="81" spans="1:7">
      <c r="A81" s="1" t="s">
        <v>6</v>
      </c>
      <c r="B81" s="1">
        <v>11077</v>
      </c>
      <c r="C81" s="1" t="s">
        <v>16</v>
      </c>
      <c r="D81" s="2">
        <v>45761</v>
      </c>
      <c r="E81" s="1">
        <v>3004</v>
      </c>
      <c r="F81" s="1">
        <v>3004</v>
      </c>
      <c r="G81" s="1">
        <v>748</v>
      </c>
    </row>
    <row r="82" spans="1:7">
      <c r="A82" s="1" t="s">
        <v>6</v>
      </c>
      <c r="B82" s="1">
        <v>11077</v>
      </c>
      <c r="C82" s="1" t="s">
        <v>16</v>
      </c>
      <c r="D82" s="2">
        <v>45758</v>
      </c>
      <c r="E82" s="1">
        <v>2272</v>
      </c>
      <c r="F82" s="1">
        <v>2272</v>
      </c>
      <c r="G82" s="1">
        <v>624</v>
      </c>
    </row>
    <row r="83" spans="1:7">
      <c r="A83" s="1" t="s">
        <v>6</v>
      </c>
      <c r="B83" s="1">
        <v>11077</v>
      </c>
      <c r="C83" s="1" t="s">
        <v>17</v>
      </c>
      <c r="D83" s="2">
        <v>45757</v>
      </c>
      <c r="E83" s="1">
        <v>3259</v>
      </c>
      <c r="F83" s="1">
        <v>3259</v>
      </c>
      <c r="G83" s="1">
        <v>405</v>
      </c>
    </row>
    <row r="84" spans="1:7">
      <c r="A84" s="1" t="s">
        <v>6</v>
      </c>
      <c r="B84" s="1">
        <v>11077</v>
      </c>
      <c r="C84" s="1" t="s">
        <v>17</v>
      </c>
      <c r="D84" s="2">
        <v>45764</v>
      </c>
      <c r="E84" s="1">
        <v>3014</v>
      </c>
      <c r="F84" s="1">
        <v>3014</v>
      </c>
      <c r="G84" s="1">
        <v>451</v>
      </c>
    </row>
    <row r="85" spans="1:7">
      <c r="A85" s="1" t="s">
        <v>6</v>
      </c>
      <c r="B85" s="1">
        <v>11077</v>
      </c>
      <c r="C85" s="1" t="s">
        <v>16</v>
      </c>
      <c r="D85" s="2">
        <v>45753</v>
      </c>
      <c r="E85" s="1">
        <v>646</v>
      </c>
      <c r="F85" s="1">
        <v>646</v>
      </c>
      <c r="G85" s="1">
        <v>165</v>
      </c>
    </row>
    <row r="86" spans="1:7">
      <c r="A86" s="1" t="s">
        <v>6</v>
      </c>
      <c r="B86" s="1">
        <v>11077</v>
      </c>
      <c r="C86" s="1" t="s">
        <v>16</v>
      </c>
      <c r="D86" s="2">
        <v>45763</v>
      </c>
      <c r="E86" s="1">
        <v>2754</v>
      </c>
      <c r="F86" s="1">
        <v>2754</v>
      </c>
      <c r="G86" s="1">
        <v>757</v>
      </c>
    </row>
    <row r="87" spans="1:7">
      <c r="A87" s="1" t="s">
        <v>6</v>
      </c>
      <c r="B87" s="1">
        <v>11077</v>
      </c>
      <c r="C87" s="1" t="s">
        <v>17</v>
      </c>
      <c r="D87" s="2">
        <v>45756</v>
      </c>
      <c r="E87" s="1">
        <v>2854</v>
      </c>
      <c r="F87" s="1">
        <v>2854</v>
      </c>
      <c r="G87" s="1">
        <v>453</v>
      </c>
    </row>
    <row r="88" spans="1:7">
      <c r="A88" s="1" t="s">
        <v>6</v>
      </c>
      <c r="B88" s="1">
        <v>11077</v>
      </c>
      <c r="C88" s="1" t="s">
        <v>17</v>
      </c>
      <c r="D88" s="2">
        <v>45755</v>
      </c>
      <c r="E88" s="1">
        <v>3147</v>
      </c>
      <c r="F88" s="1">
        <v>3147</v>
      </c>
      <c r="G88" s="1">
        <v>432</v>
      </c>
    </row>
    <row r="89" spans="1:7">
      <c r="A89" s="1" t="s">
        <v>6</v>
      </c>
      <c r="B89" s="1">
        <v>11077</v>
      </c>
      <c r="C89" s="1" t="s">
        <v>17</v>
      </c>
      <c r="D89" s="2">
        <v>45762</v>
      </c>
      <c r="E89" s="1">
        <v>2926</v>
      </c>
      <c r="F89" s="1">
        <v>2926</v>
      </c>
      <c r="G89" s="1">
        <v>409</v>
      </c>
    </row>
    <row r="90" spans="1:7">
      <c r="A90" s="1" t="s">
        <v>6</v>
      </c>
      <c r="B90" s="1">
        <v>11077</v>
      </c>
      <c r="C90" s="1" t="s">
        <v>16</v>
      </c>
      <c r="D90" s="2">
        <v>45765</v>
      </c>
      <c r="E90" s="1">
        <v>3199</v>
      </c>
      <c r="F90" s="1">
        <v>3199</v>
      </c>
      <c r="G90" s="1">
        <v>916</v>
      </c>
    </row>
    <row r="91" spans="1:7">
      <c r="A91" s="1" t="s">
        <v>6</v>
      </c>
      <c r="B91" s="1">
        <v>11077</v>
      </c>
      <c r="C91" s="1" t="s">
        <v>17</v>
      </c>
      <c r="D91" s="2">
        <v>45750</v>
      </c>
      <c r="E91" s="1">
        <v>154</v>
      </c>
      <c r="F91" s="1">
        <v>154</v>
      </c>
      <c r="G91" s="1">
        <v>32</v>
      </c>
    </row>
    <row r="92" spans="1:7">
      <c r="A92" s="1" t="s">
        <v>6</v>
      </c>
      <c r="B92" s="1">
        <v>11077</v>
      </c>
      <c r="C92" s="1" t="s">
        <v>17</v>
      </c>
      <c r="D92" s="2">
        <v>45765</v>
      </c>
      <c r="E92" s="1">
        <v>3046</v>
      </c>
      <c r="F92" s="1">
        <v>3046</v>
      </c>
      <c r="G92" s="1">
        <v>470</v>
      </c>
    </row>
    <row r="93" spans="1:7">
      <c r="A93" s="1" t="s">
        <v>6</v>
      </c>
      <c r="B93" s="1">
        <v>11077</v>
      </c>
      <c r="C93" s="1" t="s">
        <v>17</v>
      </c>
      <c r="D93" s="2">
        <v>45766</v>
      </c>
      <c r="E93" s="1">
        <v>3564</v>
      </c>
      <c r="F93" s="1">
        <v>3564</v>
      </c>
      <c r="G93" s="1">
        <v>602</v>
      </c>
    </row>
    <row r="94" spans="1:7">
      <c r="A94" s="1" t="s">
        <v>6</v>
      </c>
      <c r="B94" s="1">
        <v>11077</v>
      </c>
      <c r="C94" s="1" t="s">
        <v>17</v>
      </c>
      <c r="D94" s="2">
        <v>45751</v>
      </c>
      <c r="E94" s="1">
        <v>845</v>
      </c>
      <c r="F94" s="1">
        <v>845</v>
      </c>
      <c r="G94" s="1">
        <v>121</v>
      </c>
    </row>
    <row r="95" spans="1:7">
      <c r="A95" s="1" t="s">
        <v>6</v>
      </c>
      <c r="B95" s="1">
        <v>11077</v>
      </c>
      <c r="C95" s="1" t="s">
        <v>16</v>
      </c>
      <c r="D95" s="2">
        <v>45756</v>
      </c>
      <c r="E95" s="1">
        <v>1841</v>
      </c>
      <c r="F95" s="1">
        <v>1841</v>
      </c>
      <c r="G95" s="1">
        <v>464</v>
      </c>
    </row>
    <row r="96" spans="1:7">
      <c r="A96" s="1" t="s">
        <v>6</v>
      </c>
      <c r="B96" s="1">
        <v>11077</v>
      </c>
      <c r="C96" s="1" t="s">
        <v>16</v>
      </c>
      <c r="D96" s="2">
        <v>45755</v>
      </c>
      <c r="E96" s="1">
        <v>1433</v>
      </c>
      <c r="F96" s="1">
        <v>1433</v>
      </c>
      <c r="G96" s="1">
        <v>371</v>
      </c>
    </row>
    <row r="97" spans="1:7">
      <c r="A97" s="1" t="s">
        <v>6</v>
      </c>
      <c r="B97" s="1">
        <v>11077</v>
      </c>
      <c r="C97" s="1" t="s">
        <v>16</v>
      </c>
      <c r="D97" s="2">
        <v>45764</v>
      </c>
      <c r="E97" s="1">
        <v>2977</v>
      </c>
      <c r="F97" s="1">
        <v>2977</v>
      </c>
      <c r="G97" s="1">
        <v>881</v>
      </c>
    </row>
    <row r="98" spans="1:7">
      <c r="A98" s="1" t="s">
        <v>6</v>
      </c>
      <c r="B98" s="1">
        <v>11077</v>
      </c>
      <c r="C98" s="1" t="s">
        <v>17</v>
      </c>
      <c r="D98" s="2">
        <v>45760</v>
      </c>
      <c r="E98" s="1">
        <v>3488</v>
      </c>
      <c r="F98" s="1">
        <v>3488</v>
      </c>
      <c r="G98" s="1">
        <v>537</v>
      </c>
    </row>
    <row r="99" spans="1:7">
      <c r="A99" s="1" t="s">
        <v>6</v>
      </c>
      <c r="B99" s="1">
        <v>11077</v>
      </c>
      <c r="C99" s="1" t="s">
        <v>16</v>
      </c>
      <c r="D99" s="2">
        <v>45751</v>
      </c>
      <c r="E99" s="1">
        <v>130</v>
      </c>
      <c r="F99" s="1">
        <v>130</v>
      </c>
      <c r="G99" s="1">
        <v>49</v>
      </c>
    </row>
    <row r="100" spans="1:7">
      <c r="A100" s="1" t="s">
        <v>6</v>
      </c>
      <c r="B100" s="1">
        <v>11077</v>
      </c>
      <c r="C100" s="1" t="s">
        <v>17</v>
      </c>
      <c r="D100" s="2">
        <v>45752</v>
      </c>
      <c r="E100" s="1">
        <v>1192</v>
      </c>
      <c r="F100" s="1">
        <v>1192</v>
      </c>
      <c r="G100" s="1">
        <v>148</v>
      </c>
    </row>
    <row r="101" spans="1:7">
      <c r="A101" s="1" t="s">
        <v>6</v>
      </c>
      <c r="B101" s="1">
        <v>11077</v>
      </c>
      <c r="C101" s="1" t="s">
        <v>17</v>
      </c>
      <c r="D101" s="2">
        <v>45761</v>
      </c>
      <c r="E101" s="1">
        <v>3506</v>
      </c>
      <c r="F101" s="1">
        <v>3506</v>
      </c>
      <c r="G101" s="1">
        <v>490</v>
      </c>
    </row>
    <row r="102" spans="1:7">
      <c r="A102" s="1" t="s">
        <v>6</v>
      </c>
      <c r="B102" s="1">
        <v>11077</v>
      </c>
      <c r="C102" s="1" t="s">
        <v>17</v>
      </c>
      <c r="D102" s="2">
        <v>45759</v>
      </c>
      <c r="E102" s="1">
        <v>2820</v>
      </c>
      <c r="F102" s="1">
        <v>2820</v>
      </c>
      <c r="G102" s="1">
        <v>472</v>
      </c>
    </row>
    <row r="103" spans="1:7">
      <c r="A103" s="1" t="s">
        <v>6</v>
      </c>
      <c r="B103" s="1">
        <v>11077</v>
      </c>
      <c r="C103" s="1" t="s">
        <v>16</v>
      </c>
      <c r="D103" s="2">
        <v>45766</v>
      </c>
      <c r="E103" s="1">
        <v>3494</v>
      </c>
      <c r="F103" s="1">
        <v>3494</v>
      </c>
      <c r="G103" s="1">
        <v>1015</v>
      </c>
    </row>
    <row r="104" spans="1:7">
      <c r="A104" s="1" t="s">
        <v>7</v>
      </c>
      <c r="B104" s="1">
        <v>11072</v>
      </c>
      <c r="C104" s="1" t="s">
        <v>16</v>
      </c>
      <c r="D104" s="2">
        <v>45761</v>
      </c>
      <c r="E104" s="1">
        <v>9452</v>
      </c>
      <c r="F104" s="1">
        <v>9452</v>
      </c>
      <c r="G104" s="1">
        <v>2009</v>
      </c>
    </row>
    <row r="105" spans="1:7">
      <c r="A105" s="1" t="s">
        <v>7</v>
      </c>
      <c r="B105" s="1">
        <v>11072</v>
      </c>
      <c r="C105" s="1" t="s">
        <v>16</v>
      </c>
      <c r="D105" s="2">
        <v>45752</v>
      </c>
      <c r="E105" s="1">
        <v>3229</v>
      </c>
      <c r="F105" s="1">
        <v>3229</v>
      </c>
      <c r="G105" s="1">
        <v>728</v>
      </c>
    </row>
    <row r="106" spans="1:7">
      <c r="A106" s="1" t="s">
        <v>7</v>
      </c>
      <c r="B106" s="1">
        <v>11072</v>
      </c>
      <c r="C106" s="1" t="s">
        <v>17</v>
      </c>
      <c r="D106" s="2">
        <v>45758</v>
      </c>
      <c r="E106" s="1">
        <v>2243</v>
      </c>
      <c r="F106" s="1">
        <v>2243</v>
      </c>
      <c r="G106" s="1">
        <v>344</v>
      </c>
    </row>
    <row r="107" spans="1:7">
      <c r="A107" s="1" t="s">
        <v>7</v>
      </c>
      <c r="B107" s="1">
        <v>11072</v>
      </c>
      <c r="C107" s="1" t="s">
        <v>16</v>
      </c>
      <c r="D107" s="2">
        <v>45763</v>
      </c>
      <c r="E107" s="1">
        <v>7944</v>
      </c>
      <c r="F107" s="1">
        <v>7944</v>
      </c>
      <c r="G107" s="1">
        <v>1868</v>
      </c>
    </row>
    <row r="108" spans="1:7">
      <c r="A108" s="1" t="s">
        <v>7</v>
      </c>
      <c r="B108" s="1">
        <v>11072</v>
      </c>
      <c r="C108" s="1" t="s">
        <v>17</v>
      </c>
      <c r="D108" s="2">
        <v>45764</v>
      </c>
      <c r="E108" s="1">
        <v>2269</v>
      </c>
      <c r="F108" s="1">
        <v>2269</v>
      </c>
      <c r="G108" s="1">
        <v>341</v>
      </c>
    </row>
    <row r="109" spans="1:7">
      <c r="A109" s="1" t="s">
        <v>7</v>
      </c>
      <c r="B109" s="1">
        <v>11072</v>
      </c>
      <c r="C109" s="1" t="s">
        <v>17</v>
      </c>
      <c r="D109" s="2">
        <v>45755</v>
      </c>
      <c r="E109" s="1">
        <v>2187</v>
      </c>
      <c r="F109" s="1">
        <v>2187</v>
      </c>
      <c r="G109" s="1">
        <v>299</v>
      </c>
    </row>
    <row r="110" spans="1:7">
      <c r="A110" s="1" t="s">
        <v>7</v>
      </c>
      <c r="B110" s="1">
        <v>11072</v>
      </c>
      <c r="C110" s="1" t="s">
        <v>16</v>
      </c>
      <c r="D110" s="2">
        <v>45758</v>
      </c>
      <c r="E110" s="1">
        <v>6419</v>
      </c>
      <c r="F110" s="1">
        <v>6419</v>
      </c>
      <c r="G110" s="1">
        <v>1638</v>
      </c>
    </row>
    <row r="111" spans="1:7">
      <c r="A111" s="1" t="s">
        <v>7</v>
      </c>
      <c r="B111" s="1">
        <v>11072</v>
      </c>
      <c r="C111" s="1" t="s">
        <v>17</v>
      </c>
      <c r="D111" s="2">
        <v>45750</v>
      </c>
      <c r="E111" s="1">
        <v>2058</v>
      </c>
      <c r="F111" s="1">
        <v>2058</v>
      </c>
      <c r="G111" s="1">
        <v>343</v>
      </c>
    </row>
    <row r="112" spans="1:7">
      <c r="A112" s="1" t="s">
        <v>7</v>
      </c>
      <c r="B112" s="1">
        <v>11072</v>
      </c>
      <c r="C112" s="1" t="s">
        <v>16</v>
      </c>
      <c r="D112" s="2">
        <v>45759</v>
      </c>
      <c r="E112" s="1">
        <v>7400</v>
      </c>
      <c r="F112" s="1">
        <v>7400</v>
      </c>
      <c r="G112" s="1">
        <v>1930</v>
      </c>
    </row>
    <row r="113" spans="1:7">
      <c r="A113" s="1" t="s">
        <v>7</v>
      </c>
      <c r="B113" s="1">
        <v>11072</v>
      </c>
      <c r="C113" s="1" t="s">
        <v>17</v>
      </c>
      <c r="D113" s="2">
        <v>45761</v>
      </c>
      <c r="E113" s="1">
        <v>3165</v>
      </c>
      <c r="F113" s="1">
        <v>3165</v>
      </c>
      <c r="G113" s="1">
        <v>441</v>
      </c>
    </row>
    <row r="114" spans="1:7">
      <c r="A114" s="1" t="s">
        <v>7</v>
      </c>
      <c r="B114" s="1">
        <v>11072</v>
      </c>
      <c r="C114" s="1" t="s">
        <v>17</v>
      </c>
      <c r="D114" s="2">
        <v>45760</v>
      </c>
      <c r="E114" s="1">
        <v>3085</v>
      </c>
      <c r="F114" s="1">
        <v>3085</v>
      </c>
      <c r="G114" s="1">
        <v>471</v>
      </c>
    </row>
    <row r="115" spans="1:7">
      <c r="A115" s="1" t="s">
        <v>7</v>
      </c>
      <c r="B115" s="1">
        <v>11072</v>
      </c>
      <c r="C115" s="1" t="s">
        <v>16</v>
      </c>
      <c r="D115" s="2">
        <v>45765</v>
      </c>
      <c r="E115" s="1">
        <v>8779</v>
      </c>
      <c r="F115" s="1">
        <v>8779</v>
      </c>
      <c r="G115" s="1">
        <v>2298</v>
      </c>
    </row>
    <row r="116" spans="1:7">
      <c r="A116" s="1" t="s">
        <v>7</v>
      </c>
      <c r="B116" s="1">
        <v>11072</v>
      </c>
      <c r="C116" s="1" t="s">
        <v>17</v>
      </c>
      <c r="D116" s="2">
        <v>45753</v>
      </c>
      <c r="E116" s="1">
        <v>3067</v>
      </c>
      <c r="F116" s="1">
        <v>3067</v>
      </c>
      <c r="G116" s="1">
        <v>483</v>
      </c>
    </row>
    <row r="117" spans="1:7">
      <c r="A117" s="1" t="s">
        <v>7</v>
      </c>
      <c r="B117" s="1">
        <v>11072</v>
      </c>
      <c r="C117" s="1" t="s">
        <v>16</v>
      </c>
      <c r="D117" s="2">
        <v>45762</v>
      </c>
      <c r="E117" s="1">
        <v>8073</v>
      </c>
      <c r="F117" s="1">
        <v>8073</v>
      </c>
      <c r="G117" s="1">
        <v>1823</v>
      </c>
    </row>
    <row r="118" spans="1:7">
      <c r="A118" s="1" t="s">
        <v>7</v>
      </c>
      <c r="B118" s="1">
        <v>11072</v>
      </c>
      <c r="C118" s="1" t="s">
        <v>17</v>
      </c>
      <c r="D118" s="2">
        <v>45757</v>
      </c>
      <c r="E118" s="1">
        <v>2183</v>
      </c>
      <c r="F118" s="1">
        <v>2183</v>
      </c>
      <c r="G118" s="1">
        <v>352</v>
      </c>
    </row>
    <row r="119" spans="1:7">
      <c r="A119" s="1" t="s">
        <v>7</v>
      </c>
      <c r="B119" s="1">
        <v>11072</v>
      </c>
      <c r="C119" s="1" t="s">
        <v>17</v>
      </c>
      <c r="D119" s="2">
        <v>45766</v>
      </c>
      <c r="E119" s="1">
        <v>2748</v>
      </c>
      <c r="F119" s="1">
        <v>2748</v>
      </c>
      <c r="G119" s="1">
        <v>480</v>
      </c>
    </row>
    <row r="120" spans="1:7">
      <c r="A120" s="1" t="s">
        <v>7</v>
      </c>
      <c r="B120" s="1">
        <v>11072</v>
      </c>
      <c r="C120" s="1" t="s">
        <v>17</v>
      </c>
      <c r="D120" s="2">
        <v>45759</v>
      </c>
      <c r="E120" s="1">
        <v>2292</v>
      </c>
      <c r="F120" s="1">
        <v>2292</v>
      </c>
      <c r="G120" s="1">
        <v>394</v>
      </c>
    </row>
    <row r="121" spans="1:7">
      <c r="A121" s="1" t="s">
        <v>7</v>
      </c>
      <c r="B121" s="1">
        <v>11072</v>
      </c>
      <c r="C121" s="1" t="s">
        <v>17</v>
      </c>
      <c r="D121" s="2">
        <v>45756</v>
      </c>
      <c r="E121" s="1">
        <v>2151</v>
      </c>
      <c r="F121" s="1">
        <v>2151</v>
      </c>
      <c r="G121" s="1">
        <v>357</v>
      </c>
    </row>
    <row r="122" spans="1:7">
      <c r="A122" s="1" t="s">
        <v>7</v>
      </c>
      <c r="B122" s="1">
        <v>11072</v>
      </c>
      <c r="C122" s="1" t="s">
        <v>17</v>
      </c>
      <c r="D122" s="2">
        <v>45765</v>
      </c>
      <c r="E122" s="1">
        <v>2343</v>
      </c>
      <c r="F122" s="1">
        <v>2343</v>
      </c>
      <c r="G122" s="1">
        <v>373</v>
      </c>
    </row>
    <row r="123" spans="1:7">
      <c r="A123" s="1" t="s">
        <v>7</v>
      </c>
      <c r="B123" s="1">
        <v>11072</v>
      </c>
      <c r="C123" s="1" t="s">
        <v>16</v>
      </c>
      <c r="D123" s="2">
        <v>45750</v>
      </c>
      <c r="E123" s="1">
        <v>1593</v>
      </c>
      <c r="F123" s="1">
        <v>1593</v>
      </c>
      <c r="G123" s="1">
        <v>216</v>
      </c>
    </row>
    <row r="124" spans="1:7">
      <c r="A124" s="1" t="s">
        <v>7</v>
      </c>
      <c r="B124" s="1">
        <v>11072</v>
      </c>
      <c r="C124" s="1" t="s">
        <v>17</v>
      </c>
      <c r="D124" s="2">
        <v>45754</v>
      </c>
      <c r="E124" s="1">
        <v>2945</v>
      </c>
      <c r="F124" s="1">
        <v>2945</v>
      </c>
      <c r="G124" s="1">
        <v>409</v>
      </c>
    </row>
    <row r="125" spans="1:7">
      <c r="A125" s="1" t="s">
        <v>7</v>
      </c>
      <c r="B125" s="1">
        <v>11072</v>
      </c>
      <c r="C125" s="1" t="s">
        <v>16</v>
      </c>
      <c r="D125" s="2">
        <v>45755</v>
      </c>
      <c r="E125" s="1">
        <v>4759</v>
      </c>
      <c r="F125" s="1">
        <v>4759</v>
      </c>
      <c r="G125" s="1">
        <v>1034</v>
      </c>
    </row>
    <row r="126" spans="1:7">
      <c r="A126" s="1" t="s">
        <v>7</v>
      </c>
      <c r="B126" s="1">
        <v>11072</v>
      </c>
      <c r="C126" s="1" t="s">
        <v>16</v>
      </c>
      <c r="D126" s="2">
        <v>45754</v>
      </c>
      <c r="E126" s="1">
        <v>5147</v>
      </c>
      <c r="F126" s="1">
        <v>5147</v>
      </c>
      <c r="G126" s="1">
        <v>1155</v>
      </c>
    </row>
    <row r="127" spans="1:7">
      <c r="A127" s="1" t="s">
        <v>7</v>
      </c>
      <c r="B127" s="1">
        <v>11072</v>
      </c>
      <c r="C127" s="1" t="s">
        <v>16</v>
      </c>
      <c r="D127" s="2">
        <v>45753</v>
      </c>
      <c r="E127" s="1">
        <v>4555</v>
      </c>
      <c r="F127" s="1">
        <v>4555</v>
      </c>
      <c r="G127" s="1">
        <v>1084</v>
      </c>
    </row>
    <row r="128" spans="1:7">
      <c r="A128" s="1" t="s">
        <v>7</v>
      </c>
      <c r="B128" s="1">
        <v>11072</v>
      </c>
      <c r="C128" s="1" t="s">
        <v>16</v>
      </c>
      <c r="D128" s="2">
        <v>45756</v>
      </c>
      <c r="E128" s="1">
        <v>4605</v>
      </c>
      <c r="F128" s="1">
        <v>4605</v>
      </c>
      <c r="G128" s="1">
        <v>1067</v>
      </c>
    </row>
    <row r="129" spans="1:7">
      <c r="A129" s="1" t="s">
        <v>7</v>
      </c>
      <c r="B129" s="1">
        <v>11072</v>
      </c>
      <c r="C129" s="1" t="s">
        <v>16</v>
      </c>
      <c r="D129" s="2">
        <v>45764</v>
      </c>
      <c r="E129" s="1">
        <v>8244</v>
      </c>
      <c r="F129" s="1">
        <v>8244</v>
      </c>
      <c r="G129" s="1">
        <v>1965</v>
      </c>
    </row>
    <row r="130" spans="1:7">
      <c r="A130" s="1" t="s">
        <v>7</v>
      </c>
      <c r="B130" s="1">
        <v>11072</v>
      </c>
      <c r="C130" s="1" t="s">
        <v>17</v>
      </c>
      <c r="D130" s="2">
        <v>45752</v>
      </c>
      <c r="E130" s="1">
        <v>2360</v>
      </c>
      <c r="F130" s="1">
        <v>2360</v>
      </c>
      <c r="G130" s="1">
        <v>365</v>
      </c>
    </row>
    <row r="131" spans="1:7">
      <c r="A131" s="1" t="s">
        <v>7</v>
      </c>
      <c r="B131" s="1">
        <v>11072</v>
      </c>
      <c r="C131" s="1" t="s">
        <v>17</v>
      </c>
      <c r="D131" s="2">
        <v>45762</v>
      </c>
      <c r="E131" s="1">
        <v>2436</v>
      </c>
      <c r="F131" s="1">
        <v>2436</v>
      </c>
      <c r="G131" s="1">
        <v>381</v>
      </c>
    </row>
    <row r="132" spans="1:7">
      <c r="A132" s="1" t="s">
        <v>7</v>
      </c>
      <c r="B132" s="1">
        <v>11072</v>
      </c>
      <c r="C132" s="1" t="s">
        <v>16</v>
      </c>
      <c r="D132" s="2">
        <v>45766</v>
      </c>
      <c r="E132" s="1">
        <v>9929</v>
      </c>
      <c r="F132" s="1">
        <v>9929</v>
      </c>
      <c r="G132" s="1">
        <v>2833</v>
      </c>
    </row>
    <row r="133" spans="1:7">
      <c r="A133" s="1" t="s">
        <v>7</v>
      </c>
      <c r="B133" s="1">
        <v>11072</v>
      </c>
      <c r="C133" s="1" t="s">
        <v>17</v>
      </c>
      <c r="D133" s="2">
        <v>45763</v>
      </c>
      <c r="E133" s="1">
        <v>2354</v>
      </c>
      <c r="F133" s="1">
        <v>2354</v>
      </c>
      <c r="G133" s="1">
        <v>373</v>
      </c>
    </row>
    <row r="134" spans="1:7">
      <c r="A134" s="1" t="s">
        <v>7</v>
      </c>
      <c r="B134" s="1">
        <v>11072</v>
      </c>
      <c r="C134" s="1" t="s">
        <v>17</v>
      </c>
      <c r="D134" s="2">
        <v>45751</v>
      </c>
      <c r="E134" s="1">
        <v>2180</v>
      </c>
      <c r="F134" s="1">
        <v>2180</v>
      </c>
      <c r="G134" s="1">
        <v>360</v>
      </c>
    </row>
    <row r="135" spans="1:7">
      <c r="A135" s="1" t="s">
        <v>7</v>
      </c>
      <c r="B135" s="1">
        <v>11072</v>
      </c>
      <c r="C135" s="1" t="s">
        <v>16</v>
      </c>
      <c r="D135" s="2">
        <v>45757</v>
      </c>
      <c r="E135" s="1">
        <v>5507</v>
      </c>
      <c r="F135" s="1">
        <v>5507</v>
      </c>
      <c r="G135" s="1">
        <v>1426</v>
      </c>
    </row>
    <row r="136" spans="1:7">
      <c r="A136" s="1" t="s">
        <v>7</v>
      </c>
      <c r="B136" s="1">
        <v>11072</v>
      </c>
      <c r="C136" s="1" t="s">
        <v>16</v>
      </c>
      <c r="D136" s="2">
        <v>45760</v>
      </c>
      <c r="E136" s="1">
        <v>9366</v>
      </c>
      <c r="F136" s="1">
        <v>9366</v>
      </c>
      <c r="G136" s="1">
        <v>2241</v>
      </c>
    </row>
    <row r="137" spans="1:7">
      <c r="A137" s="1" t="s">
        <v>7</v>
      </c>
      <c r="B137" s="1">
        <v>11072</v>
      </c>
      <c r="C137" s="1" t="s">
        <v>16</v>
      </c>
      <c r="D137" s="2">
        <v>45751</v>
      </c>
      <c r="E137" s="1">
        <v>2569</v>
      </c>
      <c r="F137" s="1">
        <v>2569</v>
      </c>
      <c r="G137" s="1">
        <v>498</v>
      </c>
    </row>
    <row r="138" spans="1:7">
      <c r="A138" s="1" t="s">
        <v>7</v>
      </c>
      <c r="B138" s="1">
        <v>11073</v>
      </c>
      <c r="C138" s="1" t="s">
        <v>16</v>
      </c>
      <c r="D138" s="2">
        <v>45751</v>
      </c>
      <c r="E138" s="1">
        <v>2564</v>
      </c>
      <c r="F138" s="1">
        <v>2564</v>
      </c>
      <c r="G138" s="1">
        <v>585</v>
      </c>
    </row>
    <row r="139" spans="1:7">
      <c r="A139" s="1" t="s">
        <v>7</v>
      </c>
      <c r="B139" s="1">
        <v>11073</v>
      </c>
      <c r="C139" s="1" t="s">
        <v>16</v>
      </c>
      <c r="D139" s="2">
        <v>45755</v>
      </c>
      <c r="E139" s="1">
        <v>5070</v>
      </c>
      <c r="F139" s="1">
        <v>5070</v>
      </c>
      <c r="G139" s="1">
        <v>1142</v>
      </c>
    </row>
    <row r="140" spans="1:7">
      <c r="A140" s="1" t="s">
        <v>7</v>
      </c>
      <c r="B140" s="1">
        <v>11073</v>
      </c>
      <c r="C140" s="1" t="s">
        <v>17</v>
      </c>
      <c r="D140" s="2">
        <v>45766</v>
      </c>
      <c r="E140" s="1">
        <v>2887</v>
      </c>
      <c r="F140" s="1">
        <v>2887</v>
      </c>
      <c r="G140" s="1">
        <v>607</v>
      </c>
    </row>
    <row r="141" spans="1:7">
      <c r="A141" s="1" t="s">
        <v>7</v>
      </c>
      <c r="B141" s="1">
        <v>11073</v>
      </c>
      <c r="C141" s="1" t="s">
        <v>17</v>
      </c>
      <c r="D141" s="2">
        <v>45763</v>
      </c>
      <c r="E141" s="1">
        <v>2332</v>
      </c>
      <c r="F141" s="1">
        <v>2332</v>
      </c>
      <c r="G141" s="1">
        <v>399</v>
      </c>
    </row>
    <row r="142" spans="1:7">
      <c r="A142" s="1" t="s">
        <v>7</v>
      </c>
      <c r="B142" s="1">
        <v>11073</v>
      </c>
      <c r="C142" s="1" t="s">
        <v>17</v>
      </c>
      <c r="D142" s="2">
        <v>45762</v>
      </c>
      <c r="E142" s="1">
        <v>2426</v>
      </c>
      <c r="F142" s="1">
        <v>2426</v>
      </c>
      <c r="G142" s="1">
        <v>448</v>
      </c>
    </row>
    <row r="143" spans="1:7">
      <c r="A143" s="1" t="s">
        <v>7</v>
      </c>
      <c r="B143" s="1">
        <v>11073</v>
      </c>
      <c r="C143" s="1" t="s">
        <v>16</v>
      </c>
      <c r="D143" s="2">
        <v>45752</v>
      </c>
      <c r="E143" s="1">
        <v>3432</v>
      </c>
      <c r="F143" s="1">
        <v>3432</v>
      </c>
      <c r="G143" s="1">
        <v>784</v>
      </c>
    </row>
    <row r="144" spans="1:7">
      <c r="A144" s="1" t="s">
        <v>7</v>
      </c>
      <c r="B144" s="1">
        <v>11073</v>
      </c>
      <c r="C144" s="1" t="s">
        <v>17</v>
      </c>
      <c r="D144" s="2">
        <v>45750</v>
      </c>
      <c r="E144" s="1">
        <v>1990</v>
      </c>
      <c r="F144" s="1">
        <v>1990</v>
      </c>
      <c r="G144" s="1">
        <v>356</v>
      </c>
    </row>
    <row r="145" spans="1:7">
      <c r="A145" s="1" t="s">
        <v>7</v>
      </c>
      <c r="B145" s="1">
        <v>11073</v>
      </c>
      <c r="C145" s="1" t="s">
        <v>17</v>
      </c>
      <c r="D145" s="2">
        <v>45753</v>
      </c>
      <c r="E145" s="1">
        <v>3094</v>
      </c>
      <c r="F145" s="1">
        <v>3094</v>
      </c>
      <c r="G145" s="1">
        <v>579</v>
      </c>
    </row>
    <row r="146" spans="1:7">
      <c r="A146" s="1" t="s">
        <v>7</v>
      </c>
      <c r="B146" s="1">
        <v>11073</v>
      </c>
      <c r="C146" s="1" t="s">
        <v>17</v>
      </c>
      <c r="D146" s="2">
        <v>45757</v>
      </c>
      <c r="E146" s="1">
        <v>2163</v>
      </c>
      <c r="F146" s="1">
        <v>2163</v>
      </c>
      <c r="G146" s="1">
        <v>430</v>
      </c>
    </row>
    <row r="147" spans="1:7">
      <c r="A147" s="1" t="s">
        <v>7</v>
      </c>
      <c r="B147" s="1">
        <v>11073</v>
      </c>
      <c r="C147" s="1" t="s">
        <v>16</v>
      </c>
      <c r="D147" s="2">
        <v>45754</v>
      </c>
      <c r="E147" s="1">
        <v>5442</v>
      </c>
      <c r="F147" s="1">
        <v>5442</v>
      </c>
      <c r="G147" s="1">
        <v>1215</v>
      </c>
    </row>
    <row r="148" spans="1:7">
      <c r="A148" s="1" t="s">
        <v>7</v>
      </c>
      <c r="B148" s="1">
        <v>11073</v>
      </c>
      <c r="C148" s="1" t="s">
        <v>16</v>
      </c>
      <c r="D148" s="2">
        <v>45753</v>
      </c>
      <c r="E148" s="1">
        <v>4715</v>
      </c>
      <c r="F148" s="1">
        <v>4715</v>
      </c>
      <c r="G148" s="1">
        <v>1110</v>
      </c>
    </row>
    <row r="149" spans="1:7">
      <c r="A149" s="1" t="s">
        <v>7</v>
      </c>
      <c r="B149" s="1">
        <v>11073</v>
      </c>
      <c r="C149" s="1" t="s">
        <v>16</v>
      </c>
      <c r="D149" s="2">
        <v>45765</v>
      </c>
      <c r="E149" s="1">
        <v>9464</v>
      </c>
      <c r="F149" s="1">
        <v>9464</v>
      </c>
      <c r="G149" s="1">
        <v>2523</v>
      </c>
    </row>
    <row r="150" spans="1:7">
      <c r="A150" s="1" t="s">
        <v>7</v>
      </c>
      <c r="B150" s="1">
        <v>11073</v>
      </c>
      <c r="C150" s="1" t="s">
        <v>16</v>
      </c>
      <c r="D150" s="2">
        <v>45762</v>
      </c>
      <c r="E150" s="1">
        <v>8863</v>
      </c>
      <c r="F150" s="1">
        <v>8863</v>
      </c>
      <c r="G150" s="1">
        <v>2068</v>
      </c>
    </row>
    <row r="151" spans="1:7">
      <c r="A151" s="1" t="s">
        <v>7</v>
      </c>
      <c r="B151" s="1">
        <v>11073</v>
      </c>
      <c r="C151" s="1" t="s">
        <v>17</v>
      </c>
      <c r="D151" s="2">
        <v>45756</v>
      </c>
      <c r="E151" s="1">
        <v>2200</v>
      </c>
      <c r="F151" s="1">
        <v>2200</v>
      </c>
      <c r="G151" s="1">
        <v>412</v>
      </c>
    </row>
    <row r="152" spans="1:7">
      <c r="A152" s="1" t="s">
        <v>7</v>
      </c>
      <c r="B152" s="1">
        <v>11073</v>
      </c>
      <c r="C152" s="1" t="s">
        <v>16</v>
      </c>
      <c r="D152" s="2">
        <v>45757</v>
      </c>
      <c r="E152" s="1">
        <v>5883</v>
      </c>
      <c r="F152" s="1">
        <v>5883</v>
      </c>
      <c r="G152" s="1">
        <v>1488</v>
      </c>
    </row>
    <row r="153" spans="1:7">
      <c r="A153" s="1" t="s">
        <v>7</v>
      </c>
      <c r="B153" s="1">
        <v>11073</v>
      </c>
      <c r="C153" s="1" t="s">
        <v>17</v>
      </c>
      <c r="D153" s="2">
        <v>45759</v>
      </c>
      <c r="E153" s="1">
        <v>2416</v>
      </c>
      <c r="F153" s="1">
        <v>2416</v>
      </c>
      <c r="G153" s="1">
        <v>482</v>
      </c>
    </row>
    <row r="154" spans="1:7">
      <c r="A154" s="1" t="s">
        <v>7</v>
      </c>
      <c r="B154" s="1">
        <v>11073</v>
      </c>
      <c r="C154" s="1" t="s">
        <v>16</v>
      </c>
      <c r="D154" s="2">
        <v>45763</v>
      </c>
      <c r="E154" s="1">
        <v>8530</v>
      </c>
      <c r="F154" s="1">
        <v>8530</v>
      </c>
      <c r="G154" s="1">
        <v>2073</v>
      </c>
    </row>
    <row r="155" spans="1:7">
      <c r="A155" s="1" t="s">
        <v>7</v>
      </c>
      <c r="B155" s="1">
        <v>11073</v>
      </c>
      <c r="C155" s="1" t="s">
        <v>17</v>
      </c>
      <c r="D155" s="2">
        <v>45760</v>
      </c>
      <c r="E155" s="1">
        <v>3119</v>
      </c>
      <c r="F155" s="1">
        <v>3119</v>
      </c>
      <c r="G155" s="1">
        <v>611</v>
      </c>
    </row>
    <row r="156" spans="1:7">
      <c r="A156" s="1" t="s">
        <v>7</v>
      </c>
      <c r="B156" s="1">
        <v>11073</v>
      </c>
      <c r="C156" s="1" t="s">
        <v>17</v>
      </c>
      <c r="D156" s="2">
        <v>45758</v>
      </c>
      <c r="E156" s="1">
        <v>2175</v>
      </c>
      <c r="F156" s="1">
        <v>2175</v>
      </c>
      <c r="G156" s="1">
        <v>422</v>
      </c>
    </row>
    <row r="157" spans="1:7">
      <c r="A157" s="1" t="s">
        <v>7</v>
      </c>
      <c r="B157" s="1">
        <v>11073</v>
      </c>
      <c r="C157" s="1" t="s">
        <v>16</v>
      </c>
      <c r="D157" s="2">
        <v>45750</v>
      </c>
      <c r="E157" s="1">
        <v>1596</v>
      </c>
      <c r="F157" s="1">
        <v>1596</v>
      </c>
      <c r="G157" s="1">
        <v>221</v>
      </c>
    </row>
    <row r="158" spans="1:7">
      <c r="A158" s="1" t="s">
        <v>7</v>
      </c>
      <c r="B158" s="1">
        <v>11073</v>
      </c>
      <c r="C158" s="1" t="s">
        <v>17</v>
      </c>
      <c r="D158" s="2">
        <v>45761</v>
      </c>
      <c r="E158" s="1">
        <v>3069</v>
      </c>
      <c r="F158" s="1">
        <v>3069</v>
      </c>
      <c r="G158" s="1">
        <v>504</v>
      </c>
    </row>
    <row r="159" spans="1:7">
      <c r="A159" s="1" t="s">
        <v>7</v>
      </c>
      <c r="B159" s="1">
        <v>11073</v>
      </c>
      <c r="C159" s="1" t="s">
        <v>16</v>
      </c>
      <c r="D159" s="2">
        <v>45764</v>
      </c>
      <c r="E159" s="1">
        <v>8618</v>
      </c>
      <c r="F159" s="1">
        <v>8618</v>
      </c>
      <c r="G159" s="1">
        <v>2145</v>
      </c>
    </row>
    <row r="160" spans="1:7">
      <c r="A160" s="1" t="s">
        <v>7</v>
      </c>
      <c r="B160" s="1">
        <v>11073</v>
      </c>
      <c r="C160" s="1" t="s">
        <v>16</v>
      </c>
      <c r="D160" s="2">
        <v>45761</v>
      </c>
      <c r="E160" s="1">
        <v>10082</v>
      </c>
      <c r="F160" s="1">
        <v>10082</v>
      </c>
      <c r="G160" s="1">
        <v>2255</v>
      </c>
    </row>
    <row r="161" spans="1:7">
      <c r="A161" s="1" t="s">
        <v>7</v>
      </c>
      <c r="B161" s="1">
        <v>11073</v>
      </c>
      <c r="C161" s="1" t="s">
        <v>16</v>
      </c>
      <c r="D161" s="2">
        <v>45756</v>
      </c>
      <c r="E161" s="1">
        <v>5160</v>
      </c>
      <c r="F161" s="1">
        <v>5160</v>
      </c>
      <c r="G161" s="1">
        <v>1232</v>
      </c>
    </row>
    <row r="162" spans="1:7">
      <c r="A162" s="1" t="s">
        <v>7</v>
      </c>
      <c r="B162" s="1">
        <v>11073</v>
      </c>
      <c r="C162" s="1" t="s">
        <v>16</v>
      </c>
      <c r="D162" s="2">
        <v>45759</v>
      </c>
      <c r="E162" s="1">
        <v>7838</v>
      </c>
      <c r="F162" s="1">
        <v>7838</v>
      </c>
      <c r="G162" s="1">
        <v>2082</v>
      </c>
    </row>
    <row r="163" spans="1:7">
      <c r="A163" s="1" t="s">
        <v>7</v>
      </c>
      <c r="B163" s="1">
        <v>11073</v>
      </c>
      <c r="C163" s="1" t="s">
        <v>16</v>
      </c>
      <c r="D163" s="2">
        <v>45760</v>
      </c>
      <c r="E163" s="1">
        <v>9954</v>
      </c>
      <c r="F163" s="1">
        <v>9954</v>
      </c>
      <c r="G163" s="1">
        <v>2391</v>
      </c>
    </row>
    <row r="164" spans="1:7">
      <c r="A164" s="1" t="s">
        <v>7</v>
      </c>
      <c r="B164" s="1">
        <v>11073</v>
      </c>
      <c r="C164" s="1" t="s">
        <v>17</v>
      </c>
      <c r="D164" s="2">
        <v>45765</v>
      </c>
      <c r="E164" s="1">
        <v>2536</v>
      </c>
      <c r="F164" s="1">
        <v>2536</v>
      </c>
      <c r="G164" s="1">
        <v>496</v>
      </c>
    </row>
    <row r="165" spans="1:7">
      <c r="A165" s="1" t="s">
        <v>7</v>
      </c>
      <c r="B165" s="1">
        <v>11073</v>
      </c>
      <c r="C165" s="1" t="s">
        <v>16</v>
      </c>
      <c r="D165" s="2">
        <v>45766</v>
      </c>
      <c r="E165" s="1">
        <v>10783</v>
      </c>
      <c r="F165" s="1">
        <v>10783</v>
      </c>
      <c r="G165" s="1">
        <v>3062</v>
      </c>
    </row>
    <row r="166" spans="1:7">
      <c r="A166" s="1" t="s">
        <v>7</v>
      </c>
      <c r="B166" s="1">
        <v>11073</v>
      </c>
      <c r="C166" s="1" t="s">
        <v>17</v>
      </c>
      <c r="D166" s="2">
        <v>45751</v>
      </c>
      <c r="E166" s="1">
        <v>2191</v>
      </c>
      <c r="F166" s="1">
        <v>2191</v>
      </c>
      <c r="G166" s="1">
        <v>413</v>
      </c>
    </row>
    <row r="167" spans="1:7">
      <c r="A167" s="1" t="s">
        <v>7</v>
      </c>
      <c r="B167" s="1">
        <v>11073</v>
      </c>
      <c r="C167" s="1" t="s">
        <v>17</v>
      </c>
      <c r="D167" s="2">
        <v>45752</v>
      </c>
      <c r="E167" s="1">
        <v>2385</v>
      </c>
      <c r="F167" s="1">
        <v>2385</v>
      </c>
      <c r="G167" s="1">
        <v>497</v>
      </c>
    </row>
    <row r="168" spans="1:7">
      <c r="A168" s="1" t="s">
        <v>7</v>
      </c>
      <c r="B168" s="1">
        <v>11073</v>
      </c>
      <c r="C168" s="1" t="s">
        <v>17</v>
      </c>
      <c r="D168" s="2">
        <v>45764</v>
      </c>
      <c r="E168" s="1">
        <v>2294</v>
      </c>
      <c r="F168" s="1">
        <v>2294</v>
      </c>
      <c r="G168" s="1">
        <v>413</v>
      </c>
    </row>
    <row r="169" spans="1:7">
      <c r="A169" s="1" t="s">
        <v>7</v>
      </c>
      <c r="B169" s="1">
        <v>11073</v>
      </c>
      <c r="C169" s="1" t="s">
        <v>16</v>
      </c>
      <c r="D169" s="2">
        <v>45758</v>
      </c>
      <c r="E169" s="1">
        <v>6821</v>
      </c>
      <c r="F169" s="1">
        <v>6821</v>
      </c>
      <c r="G169" s="1">
        <v>1765</v>
      </c>
    </row>
    <row r="170" spans="1:7">
      <c r="A170" s="1" t="s">
        <v>7</v>
      </c>
      <c r="B170" s="1">
        <v>11073</v>
      </c>
      <c r="C170" s="1" t="s">
        <v>17</v>
      </c>
      <c r="D170" s="2">
        <v>45754</v>
      </c>
      <c r="E170" s="1">
        <v>2978</v>
      </c>
      <c r="F170" s="1">
        <v>2978</v>
      </c>
      <c r="G170" s="1">
        <v>473</v>
      </c>
    </row>
    <row r="171" spans="1:7">
      <c r="A171" s="1" t="s">
        <v>7</v>
      </c>
      <c r="B171" s="1">
        <v>11073</v>
      </c>
      <c r="C171" s="1" t="s">
        <v>17</v>
      </c>
      <c r="D171" s="2">
        <v>45755</v>
      </c>
      <c r="E171" s="1">
        <v>2421</v>
      </c>
      <c r="F171" s="1">
        <v>2421</v>
      </c>
      <c r="G171" s="1">
        <v>417</v>
      </c>
    </row>
    <row r="172" spans="1:7">
      <c r="A172" s="1" t="s">
        <v>7</v>
      </c>
      <c r="B172" s="1">
        <v>11074</v>
      </c>
      <c r="C172" s="1" t="s">
        <v>16</v>
      </c>
      <c r="D172" s="2">
        <v>45762</v>
      </c>
      <c r="E172" s="1">
        <v>8465</v>
      </c>
      <c r="F172" s="1">
        <v>8465</v>
      </c>
      <c r="G172" s="1">
        <v>2049</v>
      </c>
    </row>
    <row r="173" spans="1:7">
      <c r="A173" s="1" t="s">
        <v>7</v>
      </c>
      <c r="B173" s="1">
        <v>11074</v>
      </c>
      <c r="C173" s="1" t="s">
        <v>17</v>
      </c>
      <c r="D173" s="2">
        <v>45754</v>
      </c>
      <c r="E173" s="1">
        <v>2966</v>
      </c>
      <c r="F173" s="1">
        <v>2966</v>
      </c>
      <c r="G173" s="1">
        <v>504</v>
      </c>
    </row>
    <row r="174" spans="1:7">
      <c r="A174" s="1" t="s">
        <v>7</v>
      </c>
      <c r="B174" s="1">
        <v>11074</v>
      </c>
      <c r="C174" s="1" t="s">
        <v>16</v>
      </c>
      <c r="D174" s="2">
        <v>45755</v>
      </c>
      <c r="E174" s="1">
        <v>4968</v>
      </c>
      <c r="F174" s="1">
        <v>4968</v>
      </c>
      <c r="G174" s="1">
        <v>1053</v>
      </c>
    </row>
    <row r="175" spans="1:7">
      <c r="A175" s="1" t="s">
        <v>7</v>
      </c>
      <c r="B175" s="1">
        <v>11074</v>
      </c>
      <c r="C175" s="1" t="s">
        <v>16</v>
      </c>
      <c r="D175" s="2">
        <v>45753</v>
      </c>
      <c r="E175" s="1">
        <v>4652</v>
      </c>
      <c r="F175" s="1">
        <v>4652</v>
      </c>
      <c r="G175" s="1">
        <v>1057</v>
      </c>
    </row>
    <row r="176" spans="1:7">
      <c r="A176" s="1" t="s">
        <v>7</v>
      </c>
      <c r="B176" s="1">
        <v>11074</v>
      </c>
      <c r="C176" s="1" t="s">
        <v>16</v>
      </c>
      <c r="D176" s="2">
        <v>45761</v>
      </c>
      <c r="E176" s="1">
        <v>10038</v>
      </c>
      <c r="F176" s="1">
        <v>10038</v>
      </c>
      <c r="G176" s="1">
        <v>2235</v>
      </c>
    </row>
    <row r="177" spans="1:7">
      <c r="A177" s="1" t="s">
        <v>7</v>
      </c>
      <c r="B177" s="1">
        <v>11074</v>
      </c>
      <c r="C177" s="1" t="s">
        <v>17</v>
      </c>
      <c r="D177" s="2">
        <v>45750</v>
      </c>
      <c r="E177" s="1">
        <v>2081</v>
      </c>
      <c r="F177" s="1">
        <v>2081</v>
      </c>
      <c r="G177" s="1">
        <v>361</v>
      </c>
    </row>
    <row r="178" spans="1:7">
      <c r="A178" s="1" t="s">
        <v>7</v>
      </c>
      <c r="B178" s="1">
        <v>11074</v>
      </c>
      <c r="C178" s="1" t="s">
        <v>17</v>
      </c>
      <c r="D178" s="2">
        <v>45753</v>
      </c>
      <c r="E178" s="1">
        <v>3014</v>
      </c>
      <c r="F178" s="1">
        <v>3014</v>
      </c>
      <c r="G178" s="1">
        <v>518</v>
      </c>
    </row>
    <row r="179" spans="1:7">
      <c r="A179" s="1" t="s">
        <v>7</v>
      </c>
      <c r="B179" s="1">
        <v>11074</v>
      </c>
      <c r="C179" s="1" t="s">
        <v>17</v>
      </c>
      <c r="D179" s="2">
        <v>45765</v>
      </c>
      <c r="E179" s="1">
        <v>2428</v>
      </c>
      <c r="F179" s="1">
        <v>2428</v>
      </c>
      <c r="G179" s="1">
        <v>445</v>
      </c>
    </row>
    <row r="180" spans="1:7">
      <c r="A180" s="1" t="s">
        <v>7</v>
      </c>
      <c r="B180" s="1">
        <v>11074</v>
      </c>
      <c r="C180" s="1" t="s">
        <v>16</v>
      </c>
      <c r="D180" s="2">
        <v>45752</v>
      </c>
      <c r="E180" s="1">
        <v>3180</v>
      </c>
      <c r="F180" s="1">
        <v>3180</v>
      </c>
      <c r="G180" s="1">
        <v>716</v>
      </c>
    </row>
    <row r="181" spans="1:7">
      <c r="A181" s="1" t="s">
        <v>7</v>
      </c>
      <c r="B181" s="1">
        <v>11074</v>
      </c>
      <c r="C181" s="1" t="s">
        <v>16</v>
      </c>
      <c r="D181" s="2">
        <v>45751</v>
      </c>
      <c r="E181" s="1">
        <v>2590</v>
      </c>
      <c r="F181" s="1">
        <v>2590</v>
      </c>
      <c r="G181" s="1">
        <v>539</v>
      </c>
    </row>
    <row r="182" spans="1:7">
      <c r="A182" s="1" t="s">
        <v>7</v>
      </c>
      <c r="B182" s="1">
        <v>11074</v>
      </c>
      <c r="C182" s="1" t="s">
        <v>17</v>
      </c>
      <c r="D182" s="2">
        <v>45761</v>
      </c>
      <c r="E182" s="1">
        <v>2986</v>
      </c>
      <c r="F182" s="1">
        <v>2986</v>
      </c>
      <c r="G182" s="1">
        <v>475</v>
      </c>
    </row>
    <row r="183" spans="1:7">
      <c r="A183" s="1" t="s">
        <v>7</v>
      </c>
      <c r="B183" s="1">
        <v>11074</v>
      </c>
      <c r="C183" s="1" t="s">
        <v>17</v>
      </c>
      <c r="D183" s="2">
        <v>45756</v>
      </c>
      <c r="E183" s="1">
        <v>2188</v>
      </c>
      <c r="F183" s="1">
        <v>2188</v>
      </c>
      <c r="G183" s="1">
        <v>401</v>
      </c>
    </row>
    <row r="184" spans="1:7">
      <c r="A184" s="1" t="s">
        <v>7</v>
      </c>
      <c r="B184" s="1">
        <v>11074</v>
      </c>
      <c r="C184" s="1" t="s">
        <v>17</v>
      </c>
      <c r="D184" s="2">
        <v>45762</v>
      </c>
      <c r="E184" s="1">
        <v>2377</v>
      </c>
      <c r="F184" s="1">
        <v>2377</v>
      </c>
      <c r="G184" s="1">
        <v>396</v>
      </c>
    </row>
    <row r="185" spans="1:7">
      <c r="A185" s="1" t="s">
        <v>7</v>
      </c>
      <c r="B185" s="1">
        <v>11074</v>
      </c>
      <c r="C185" s="1" t="s">
        <v>16</v>
      </c>
      <c r="D185" s="2">
        <v>45766</v>
      </c>
      <c r="E185" s="1">
        <v>10283</v>
      </c>
      <c r="F185" s="1">
        <v>10283</v>
      </c>
      <c r="G185" s="1">
        <v>2886</v>
      </c>
    </row>
    <row r="186" spans="1:7">
      <c r="A186" s="1" t="s">
        <v>7</v>
      </c>
      <c r="B186" s="1">
        <v>11074</v>
      </c>
      <c r="C186" s="1" t="s">
        <v>17</v>
      </c>
      <c r="D186" s="2">
        <v>45763</v>
      </c>
      <c r="E186" s="1">
        <v>2301</v>
      </c>
      <c r="F186" s="1">
        <v>2301</v>
      </c>
      <c r="G186" s="1">
        <v>403</v>
      </c>
    </row>
    <row r="187" spans="1:7">
      <c r="A187" s="1" t="s">
        <v>7</v>
      </c>
      <c r="B187" s="1">
        <v>11074</v>
      </c>
      <c r="C187" s="1" t="s">
        <v>17</v>
      </c>
      <c r="D187" s="2">
        <v>45758</v>
      </c>
      <c r="E187" s="1">
        <v>2247</v>
      </c>
      <c r="F187" s="1">
        <v>2247</v>
      </c>
      <c r="G187" s="1">
        <v>378</v>
      </c>
    </row>
    <row r="188" spans="1:7">
      <c r="A188" s="1" t="s">
        <v>7</v>
      </c>
      <c r="B188" s="1">
        <v>11074</v>
      </c>
      <c r="C188" s="1" t="s">
        <v>16</v>
      </c>
      <c r="D188" s="2">
        <v>45764</v>
      </c>
      <c r="E188" s="1">
        <v>8469</v>
      </c>
      <c r="F188" s="1">
        <v>8469</v>
      </c>
      <c r="G188" s="1">
        <v>2080</v>
      </c>
    </row>
    <row r="189" spans="1:7">
      <c r="A189" s="1" t="s">
        <v>7</v>
      </c>
      <c r="B189" s="1">
        <v>11074</v>
      </c>
      <c r="C189" s="1" t="s">
        <v>16</v>
      </c>
      <c r="D189" s="2">
        <v>45763</v>
      </c>
      <c r="E189" s="1">
        <v>8355</v>
      </c>
      <c r="F189" s="1">
        <v>8355</v>
      </c>
      <c r="G189" s="1">
        <v>1967</v>
      </c>
    </row>
    <row r="190" spans="1:7">
      <c r="A190" s="1" t="s">
        <v>7</v>
      </c>
      <c r="B190" s="1">
        <v>11074</v>
      </c>
      <c r="C190" s="1" t="s">
        <v>16</v>
      </c>
      <c r="D190" s="2">
        <v>45765</v>
      </c>
      <c r="E190" s="1">
        <v>9227</v>
      </c>
      <c r="F190" s="1">
        <v>9227</v>
      </c>
      <c r="G190" s="1">
        <v>2394</v>
      </c>
    </row>
    <row r="191" spans="1:7">
      <c r="A191" s="1" t="s">
        <v>7</v>
      </c>
      <c r="B191" s="1">
        <v>11074</v>
      </c>
      <c r="C191" s="1" t="s">
        <v>17</v>
      </c>
      <c r="D191" s="2">
        <v>45766</v>
      </c>
      <c r="E191" s="1">
        <v>2795</v>
      </c>
      <c r="F191" s="1">
        <v>2795</v>
      </c>
      <c r="G191" s="1">
        <v>522</v>
      </c>
    </row>
    <row r="192" spans="1:7">
      <c r="A192" s="1" t="s">
        <v>7</v>
      </c>
      <c r="B192" s="1">
        <v>11074</v>
      </c>
      <c r="C192" s="1" t="s">
        <v>16</v>
      </c>
      <c r="D192" s="2">
        <v>45754</v>
      </c>
      <c r="E192" s="1">
        <v>5296</v>
      </c>
      <c r="F192" s="1">
        <v>5296</v>
      </c>
      <c r="G192" s="1">
        <v>1136</v>
      </c>
    </row>
    <row r="193" spans="1:7">
      <c r="A193" s="1" t="s">
        <v>7</v>
      </c>
      <c r="B193" s="1">
        <v>11074</v>
      </c>
      <c r="C193" s="1" t="s">
        <v>16</v>
      </c>
      <c r="D193" s="2">
        <v>45758</v>
      </c>
      <c r="E193" s="1">
        <v>6643</v>
      </c>
      <c r="F193" s="1">
        <v>6643</v>
      </c>
      <c r="G193" s="1">
        <v>1637</v>
      </c>
    </row>
    <row r="194" spans="1:7">
      <c r="A194" s="1" t="s">
        <v>7</v>
      </c>
      <c r="B194" s="1">
        <v>11074</v>
      </c>
      <c r="C194" s="1" t="s">
        <v>16</v>
      </c>
      <c r="D194" s="2">
        <v>45759</v>
      </c>
      <c r="E194" s="1">
        <v>7500</v>
      </c>
      <c r="F194" s="1">
        <v>7500</v>
      </c>
      <c r="G194" s="1">
        <v>2105</v>
      </c>
    </row>
    <row r="195" spans="1:7">
      <c r="A195" s="1" t="s">
        <v>7</v>
      </c>
      <c r="B195" s="1">
        <v>11074</v>
      </c>
      <c r="C195" s="1" t="s">
        <v>16</v>
      </c>
      <c r="D195" s="2">
        <v>45760</v>
      </c>
      <c r="E195" s="1">
        <v>10008</v>
      </c>
      <c r="F195" s="1">
        <v>10008</v>
      </c>
      <c r="G195" s="1">
        <v>2341</v>
      </c>
    </row>
    <row r="196" spans="1:7">
      <c r="A196" s="1" t="s">
        <v>7</v>
      </c>
      <c r="B196" s="1">
        <v>11074</v>
      </c>
      <c r="C196" s="1" t="s">
        <v>17</v>
      </c>
      <c r="D196" s="2">
        <v>45751</v>
      </c>
      <c r="E196" s="1">
        <v>2138</v>
      </c>
      <c r="F196" s="1">
        <v>2138</v>
      </c>
      <c r="G196" s="1">
        <v>359</v>
      </c>
    </row>
    <row r="197" spans="1:7">
      <c r="A197" s="1" t="s">
        <v>7</v>
      </c>
      <c r="B197" s="1">
        <v>11074</v>
      </c>
      <c r="C197" s="1" t="s">
        <v>17</v>
      </c>
      <c r="D197" s="2">
        <v>45760</v>
      </c>
      <c r="E197" s="1">
        <v>3101</v>
      </c>
      <c r="F197" s="1">
        <v>3101</v>
      </c>
      <c r="G197" s="1">
        <v>601</v>
      </c>
    </row>
    <row r="198" spans="1:7">
      <c r="A198" s="1" t="s">
        <v>7</v>
      </c>
      <c r="B198" s="1">
        <v>11074</v>
      </c>
      <c r="C198" s="1" t="s">
        <v>16</v>
      </c>
      <c r="D198" s="2">
        <v>45750</v>
      </c>
      <c r="E198" s="1">
        <v>1597</v>
      </c>
      <c r="F198" s="1">
        <v>1597</v>
      </c>
      <c r="G198" s="1">
        <v>233</v>
      </c>
    </row>
    <row r="199" spans="1:7">
      <c r="A199" s="1" t="s">
        <v>7</v>
      </c>
      <c r="B199" s="1">
        <v>11074</v>
      </c>
      <c r="C199" s="1" t="s">
        <v>17</v>
      </c>
      <c r="D199" s="2">
        <v>45757</v>
      </c>
      <c r="E199" s="1">
        <v>2194</v>
      </c>
      <c r="F199" s="1">
        <v>2194</v>
      </c>
      <c r="G199" s="1">
        <v>383</v>
      </c>
    </row>
    <row r="200" spans="1:7">
      <c r="A200" s="1" t="s">
        <v>7</v>
      </c>
      <c r="B200" s="1">
        <v>11074</v>
      </c>
      <c r="C200" s="1" t="s">
        <v>17</v>
      </c>
      <c r="D200" s="2">
        <v>45764</v>
      </c>
      <c r="E200" s="1">
        <v>2282</v>
      </c>
      <c r="F200" s="1">
        <v>2282</v>
      </c>
      <c r="G200" s="1">
        <v>438</v>
      </c>
    </row>
    <row r="201" spans="1:7">
      <c r="A201" s="1" t="s">
        <v>7</v>
      </c>
      <c r="B201" s="1">
        <v>11074</v>
      </c>
      <c r="C201" s="1" t="s">
        <v>16</v>
      </c>
      <c r="D201" s="2">
        <v>45757</v>
      </c>
      <c r="E201" s="1">
        <v>5680</v>
      </c>
      <c r="F201" s="1">
        <v>5680</v>
      </c>
      <c r="G201" s="1">
        <v>1418</v>
      </c>
    </row>
    <row r="202" spans="1:7">
      <c r="A202" s="1" t="s">
        <v>7</v>
      </c>
      <c r="B202" s="1">
        <v>11074</v>
      </c>
      <c r="C202" s="1" t="s">
        <v>16</v>
      </c>
      <c r="D202" s="2">
        <v>45756</v>
      </c>
      <c r="E202" s="1">
        <v>4949</v>
      </c>
      <c r="F202" s="1">
        <v>4949</v>
      </c>
      <c r="G202" s="1">
        <v>1102</v>
      </c>
    </row>
    <row r="203" spans="1:7">
      <c r="A203" s="1" t="s">
        <v>7</v>
      </c>
      <c r="B203" s="1">
        <v>11074</v>
      </c>
      <c r="C203" s="1" t="s">
        <v>17</v>
      </c>
      <c r="D203" s="2">
        <v>45759</v>
      </c>
      <c r="E203" s="1">
        <v>2342</v>
      </c>
      <c r="F203" s="1">
        <v>2342</v>
      </c>
      <c r="G203" s="1">
        <v>428</v>
      </c>
    </row>
    <row r="204" spans="1:7">
      <c r="A204" s="1" t="s">
        <v>7</v>
      </c>
      <c r="B204" s="1">
        <v>11074</v>
      </c>
      <c r="C204" s="1" t="s">
        <v>17</v>
      </c>
      <c r="D204" s="2">
        <v>45752</v>
      </c>
      <c r="E204" s="1">
        <v>2342</v>
      </c>
      <c r="F204" s="1">
        <v>2342</v>
      </c>
      <c r="G204" s="1">
        <v>464</v>
      </c>
    </row>
    <row r="205" spans="1:7">
      <c r="A205" s="1" t="s">
        <v>7</v>
      </c>
      <c r="B205" s="1">
        <v>11074</v>
      </c>
      <c r="C205" s="1" t="s">
        <v>17</v>
      </c>
      <c r="D205" s="2">
        <v>45755</v>
      </c>
      <c r="E205" s="1">
        <v>2386</v>
      </c>
      <c r="F205" s="1">
        <v>2386</v>
      </c>
      <c r="G205" s="1">
        <v>383</v>
      </c>
    </row>
  </sheetData>
  <mergeCells count="2">
    <mergeCell ref="I32:I34"/>
    <mergeCell ref="I37:I39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C2C9-31B2-CB49-93CF-D10518508A7B}">
  <dimension ref="A1:BO109"/>
  <sheetViews>
    <sheetView topLeftCell="W32" workbookViewId="0">
      <selection activeCell="AE50" sqref="AE50"/>
    </sheetView>
  </sheetViews>
  <sheetFormatPr baseColWidth="10" defaultRowHeight="16"/>
  <cols>
    <col min="7" max="7" width="11.33203125" style="57" bestFit="1" customWidth="1"/>
    <col min="10" max="10" width="23.83203125" bestFit="1" customWidth="1"/>
    <col min="11" max="11" width="10.5" bestFit="1" customWidth="1"/>
    <col min="12" max="13" width="8.83203125" bestFit="1" customWidth="1"/>
    <col min="14" max="17" width="7.83203125" bestFit="1" customWidth="1"/>
    <col min="19" max="19" width="11.5" bestFit="1" customWidth="1"/>
    <col min="20" max="20" width="24" bestFit="1" customWidth="1"/>
    <col min="25" max="25" width="14.6640625" bestFit="1" customWidth="1"/>
    <col min="26" max="26" width="13.1640625" bestFit="1" customWidth="1"/>
    <col min="27" max="29" width="11.33203125" bestFit="1" customWidth="1"/>
    <col min="30" max="31" width="15.6640625" bestFit="1" customWidth="1"/>
    <col min="37" max="37" width="11.33203125" bestFit="1" customWidth="1"/>
    <col min="38" max="38" width="12.33203125" bestFit="1" customWidth="1"/>
    <col min="39" max="43" width="7.83203125" bestFit="1" customWidth="1"/>
    <col min="44" max="44" width="15.33203125" bestFit="1" customWidth="1"/>
    <col min="45" max="45" width="11.5" bestFit="1" customWidth="1"/>
    <col min="46" max="47" width="9" bestFit="1" customWidth="1"/>
    <col min="48" max="50" width="7.83203125" bestFit="1" customWidth="1"/>
    <col min="51" max="51" width="14.33203125" bestFit="1" customWidth="1"/>
    <col min="52" max="52" width="9" bestFit="1" customWidth="1"/>
    <col min="53" max="53" width="10.1640625" bestFit="1" customWidth="1"/>
    <col min="54" max="54" width="9.33203125" bestFit="1" customWidth="1"/>
    <col min="55" max="55" width="12.1640625" bestFit="1" customWidth="1"/>
    <col min="56" max="56" width="9" bestFit="1" customWidth="1"/>
  </cols>
  <sheetData>
    <row r="1" spans="1:67" s="18" customFormat="1" ht="68">
      <c r="A1" s="18" t="s">
        <v>262</v>
      </c>
      <c r="B1" s="18" t="s">
        <v>1</v>
      </c>
      <c r="C1" s="18" t="s">
        <v>25</v>
      </c>
      <c r="D1" s="18" t="s">
        <v>3</v>
      </c>
      <c r="E1" s="18" t="s">
        <v>28</v>
      </c>
      <c r="F1" s="18" t="s">
        <v>29</v>
      </c>
      <c r="G1" s="56" t="s">
        <v>30</v>
      </c>
      <c r="J1" s="3" t="s">
        <v>1</v>
      </c>
      <c r="K1" t="s">
        <v>7</v>
      </c>
      <c r="S1" s="85" t="s">
        <v>353</v>
      </c>
      <c r="T1" s="85"/>
      <c r="Y1" s="3" t="s">
        <v>1</v>
      </c>
      <c r="Z1" t="s">
        <v>6</v>
      </c>
      <c r="AK1" s="3" t="s">
        <v>1</v>
      </c>
      <c r="AL1" t="s">
        <v>252</v>
      </c>
      <c r="AM1"/>
      <c r="AN1"/>
      <c r="AO1"/>
      <c r="AP1"/>
      <c r="AQ1"/>
      <c r="AR1"/>
      <c r="BD1" s="18" t="s">
        <v>271</v>
      </c>
      <c r="BJ1" s="18" t="s">
        <v>272</v>
      </c>
      <c r="BK1" s="18" t="s">
        <v>1</v>
      </c>
      <c r="BL1" s="18" t="s">
        <v>2</v>
      </c>
      <c r="BM1" s="18" t="s">
        <v>41</v>
      </c>
      <c r="BN1" s="18" t="s">
        <v>42</v>
      </c>
      <c r="BO1" s="18" t="s">
        <v>43</v>
      </c>
    </row>
    <row r="2" spans="1:67">
      <c r="A2" s="55">
        <v>45750</v>
      </c>
      <c r="B2" t="s">
        <v>7</v>
      </c>
      <c r="C2">
        <v>11072</v>
      </c>
      <c r="D2">
        <v>487</v>
      </c>
      <c r="E2">
        <v>485</v>
      </c>
      <c r="F2">
        <v>144</v>
      </c>
      <c r="G2" s="57">
        <v>5450.2997889244198</v>
      </c>
      <c r="S2" s="3" t="s">
        <v>1</v>
      </c>
      <c r="T2" t="s">
        <v>7</v>
      </c>
      <c r="Y2" s="3" t="s">
        <v>15</v>
      </c>
      <c r="Z2" t="s">
        <v>263</v>
      </c>
      <c r="BD2" s="41" t="s">
        <v>273</v>
      </c>
      <c r="BJ2" s="55">
        <v>45750</v>
      </c>
      <c r="BK2" t="s">
        <v>6</v>
      </c>
      <c r="BL2">
        <v>11075</v>
      </c>
      <c r="BM2">
        <v>0.24717500000000001</v>
      </c>
      <c r="BN2">
        <v>3839</v>
      </c>
      <c r="BO2">
        <v>6.4384999999999998E-2</v>
      </c>
    </row>
    <row r="3" spans="1:67">
      <c r="A3" s="55">
        <v>45750</v>
      </c>
      <c r="B3" t="s">
        <v>7</v>
      </c>
      <c r="C3">
        <v>11073</v>
      </c>
      <c r="D3">
        <v>376</v>
      </c>
      <c r="E3">
        <v>372</v>
      </c>
      <c r="F3">
        <v>91</v>
      </c>
      <c r="G3" s="57">
        <v>3924.8505628027401</v>
      </c>
      <c r="J3" s="3" t="s">
        <v>251</v>
      </c>
      <c r="K3" s="3" t="s">
        <v>10</v>
      </c>
      <c r="S3" s="3" t="s">
        <v>262</v>
      </c>
      <c r="T3" t="s">
        <v>263</v>
      </c>
      <c r="AK3" s="3" t="s">
        <v>11</v>
      </c>
      <c r="AL3" s="3" t="s">
        <v>10</v>
      </c>
      <c r="BD3" s="39" t="s">
        <v>274</v>
      </c>
      <c r="BJ3" s="55">
        <v>45750</v>
      </c>
      <c r="BK3" t="s">
        <v>6</v>
      </c>
      <c r="BL3">
        <v>11076</v>
      </c>
      <c r="BM3">
        <v>0.51476900000000003</v>
      </c>
      <c r="BN3">
        <v>1370</v>
      </c>
      <c r="BO3">
        <v>0.37574400000000002</v>
      </c>
    </row>
    <row r="4" spans="1:67">
      <c r="A4" s="55">
        <v>45750</v>
      </c>
      <c r="B4" t="s">
        <v>7</v>
      </c>
      <c r="C4">
        <v>11074</v>
      </c>
      <c r="D4">
        <v>370</v>
      </c>
      <c r="E4">
        <v>369</v>
      </c>
      <c r="F4">
        <v>105</v>
      </c>
      <c r="G4" s="57">
        <v>4406.8281860177303</v>
      </c>
      <c r="J4" s="3" t="s">
        <v>8</v>
      </c>
      <c r="K4">
        <v>11072</v>
      </c>
      <c r="L4">
        <v>11073</v>
      </c>
      <c r="M4">
        <v>11074</v>
      </c>
      <c r="N4" t="s">
        <v>9</v>
      </c>
      <c r="Z4" s="3" t="s">
        <v>10</v>
      </c>
      <c r="AL4" t="s">
        <v>17</v>
      </c>
      <c r="AR4" t="s">
        <v>268</v>
      </c>
      <c r="AS4" t="s">
        <v>16</v>
      </c>
      <c r="AY4" t="s">
        <v>269</v>
      </c>
      <c r="AZ4" t="s">
        <v>9</v>
      </c>
      <c r="BD4" s="39" t="s">
        <v>51</v>
      </c>
      <c r="BJ4" s="55">
        <v>45750</v>
      </c>
      <c r="BK4" t="s">
        <v>6</v>
      </c>
      <c r="BL4">
        <v>11077</v>
      </c>
      <c r="BM4">
        <v>1.3158939999999999</v>
      </c>
      <c r="BN4">
        <v>5457</v>
      </c>
      <c r="BO4">
        <v>0.24113899999999999</v>
      </c>
    </row>
    <row r="5" spans="1:67">
      <c r="A5" s="55">
        <v>45751</v>
      </c>
      <c r="B5" t="s">
        <v>6</v>
      </c>
      <c r="C5">
        <v>11075</v>
      </c>
      <c r="D5">
        <v>20</v>
      </c>
      <c r="E5">
        <v>20</v>
      </c>
      <c r="F5">
        <v>3</v>
      </c>
      <c r="G5" s="57">
        <v>20.843417096728999</v>
      </c>
      <c r="J5" s="58">
        <v>45750</v>
      </c>
      <c r="K5" s="52">
        <v>487</v>
      </c>
      <c r="L5" s="52">
        <v>376</v>
      </c>
      <c r="M5" s="52">
        <v>370</v>
      </c>
      <c r="N5" s="8">
        <v>1233</v>
      </c>
      <c r="S5" s="3" t="s">
        <v>8</v>
      </c>
      <c r="T5" t="s">
        <v>264</v>
      </c>
      <c r="Z5" t="s">
        <v>17</v>
      </c>
      <c r="AB5" t="s">
        <v>16</v>
      </c>
      <c r="AD5" t="s">
        <v>12</v>
      </c>
      <c r="AE5" t="s">
        <v>13</v>
      </c>
      <c r="AK5" s="3" t="s">
        <v>8</v>
      </c>
      <c r="AL5">
        <v>11072</v>
      </c>
      <c r="AM5">
        <v>11073</v>
      </c>
      <c r="AN5">
        <v>11074</v>
      </c>
      <c r="AO5">
        <v>11075</v>
      </c>
      <c r="AP5">
        <v>11076</v>
      </c>
      <c r="AQ5">
        <v>11077</v>
      </c>
      <c r="AS5">
        <v>11072</v>
      </c>
      <c r="AT5">
        <v>11073</v>
      </c>
      <c r="AU5">
        <v>11074</v>
      </c>
      <c r="AV5">
        <v>11075</v>
      </c>
      <c r="AW5">
        <v>11076</v>
      </c>
      <c r="AX5">
        <v>11077</v>
      </c>
      <c r="BD5" s="42" t="s">
        <v>272</v>
      </c>
      <c r="BJ5" s="55">
        <v>45750</v>
      </c>
      <c r="BK5" t="s">
        <v>7</v>
      </c>
      <c r="BL5">
        <v>11073</v>
      </c>
      <c r="BM5">
        <v>12.225545</v>
      </c>
      <c r="BN5">
        <v>23820</v>
      </c>
      <c r="BO5">
        <v>0.51324700000000001</v>
      </c>
    </row>
    <row r="6" spans="1:67">
      <c r="A6" s="55">
        <v>45751</v>
      </c>
      <c r="B6" t="s">
        <v>6</v>
      </c>
      <c r="C6">
        <v>11076</v>
      </c>
      <c r="D6">
        <v>7</v>
      </c>
      <c r="E6">
        <v>7</v>
      </c>
      <c r="F6">
        <v>3</v>
      </c>
      <c r="G6" s="57">
        <v>17.565368894285299</v>
      </c>
      <c r="J6" s="58">
        <v>45751</v>
      </c>
      <c r="K6" s="52">
        <v>513</v>
      </c>
      <c r="L6" s="52">
        <v>402</v>
      </c>
      <c r="M6" s="52">
        <v>414</v>
      </c>
      <c r="N6" s="8">
        <v>1329</v>
      </c>
      <c r="S6" s="4">
        <v>11072</v>
      </c>
      <c r="T6" s="52">
        <v>6824.5770806985947</v>
      </c>
      <c r="V6" s="52">
        <v>6824.5770806985947</v>
      </c>
      <c r="Y6" s="3" t="s">
        <v>8</v>
      </c>
      <c r="Z6" t="s">
        <v>11</v>
      </c>
      <c r="AA6" t="s">
        <v>14</v>
      </c>
      <c r="AB6" t="s">
        <v>11</v>
      </c>
      <c r="AC6" t="s">
        <v>14</v>
      </c>
      <c r="AK6" s="58">
        <v>45750</v>
      </c>
      <c r="AL6" s="8">
        <v>2058</v>
      </c>
      <c r="AM6" s="8">
        <v>1990</v>
      </c>
      <c r="AN6" s="8">
        <v>2081</v>
      </c>
      <c r="AO6" s="8">
        <v>134</v>
      </c>
      <c r="AP6" s="8">
        <v>139</v>
      </c>
      <c r="AQ6" s="8">
        <v>154</v>
      </c>
      <c r="AR6" s="8">
        <v>6556</v>
      </c>
      <c r="AS6" s="8">
        <v>1593</v>
      </c>
      <c r="AT6" s="8">
        <v>1596</v>
      </c>
      <c r="AU6" s="8">
        <v>1597</v>
      </c>
      <c r="AV6" s="8">
        <v>4</v>
      </c>
      <c r="AW6" s="8">
        <v>12</v>
      </c>
      <c r="AX6" s="8">
        <v>11</v>
      </c>
      <c r="AY6" s="8">
        <v>4813</v>
      </c>
      <c r="AZ6" s="8">
        <v>11369</v>
      </c>
      <c r="BD6" s="40" t="s">
        <v>275</v>
      </c>
      <c r="BJ6" s="55">
        <v>45750</v>
      </c>
      <c r="BK6" t="s">
        <v>7</v>
      </c>
      <c r="BL6">
        <v>11074</v>
      </c>
      <c r="BM6">
        <v>24.146625</v>
      </c>
      <c r="BN6">
        <v>65322</v>
      </c>
      <c r="BO6">
        <v>0.36965500000000001</v>
      </c>
    </row>
    <row r="7" spans="1:67">
      <c r="A7" s="55">
        <v>45751</v>
      </c>
      <c r="B7" t="s">
        <v>6</v>
      </c>
      <c r="C7">
        <v>11077</v>
      </c>
      <c r="D7">
        <v>12</v>
      </c>
      <c r="E7">
        <v>12</v>
      </c>
      <c r="F7">
        <v>4</v>
      </c>
      <c r="G7" s="57">
        <v>25.999884912621201</v>
      </c>
      <c r="J7" s="58">
        <v>45752</v>
      </c>
      <c r="K7" s="52">
        <v>560</v>
      </c>
      <c r="L7" s="52">
        <v>463</v>
      </c>
      <c r="M7" s="52">
        <v>456</v>
      </c>
      <c r="N7" s="8">
        <v>1479</v>
      </c>
      <c r="S7" s="4">
        <v>11073</v>
      </c>
      <c r="T7" s="52">
        <v>5770.3937189843227</v>
      </c>
      <c r="V7" s="52">
        <v>5770.3937189843227</v>
      </c>
      <c r="W7" s="52">
        <f>V7-V6</f>
        <v>-1054.183361714272</v>
      </c>
      <c r="Y7" s="4">
        <v>11075</v>
      </c>
      <c r="Z7" s="8">
        <v>40442</v>
      </c>
      <c r="AA7" s="8">
        <v>5290</v>
      </c>
      <c r="AB7" s="8">
        <v>30050</v>
      </c>
      <c r="AC7" s="8">
        <v>8246</v>
      </c>
      <c r="AD7" s="8">
        <v>70492</v>
      </c>
      <c r="AE7" s="8">
        <v>13536</v>
      </c>
      <c r="AK7" s="58">
        <v>45751</v>
      </c>
      <c r="AL7" s="8">
        <v>2180</v>
      </c>
      <c r="AM7" s="8">
        <v>2191</v>
      </c>
      <c r="AN7" s="8">
        <v>2138</v>
      </c>
      <c r="AO7" s="8">
        <v>867</v>
      </c>
      <c r="AP7" s="8">
        <v>908</v>
      </c>
      <c r="AQ7" s="8">
        <v>845</v>
      </c>
      <c r="AR7" s="8">
        <v>9129</v>
      </c>
      <c r="AS7" s="8">
        <v>2569</v>
      </c>
      <c r="AT7" s="8">
        <v>2564</v>
      </c>
      <c r="AU7" s="8">
        <v>2590</v>
      </c>
      <c r="AV7" s="8">
        <v>114</v>
      </c>
      <c r="AW7" s="8">
        <v>130</v>
      </c>
      <c r="AX7" s="8">
        <v>130</v>
      </c>
      <c r="AY7" s="8">
        <v>8097</v>
      </c>
      <c r="AZ7" s="8">
        <v>17226</v>
      </c>
      <c r="BD7" s="40" t="s">
        <v>276</v>
      </c>
      <c r="BJ7" s="55">
        <v>45750</v>
      </c>
      <c r="BK7" t="s">
        <v>7</v>
      </c>
      <c r="BL7">
        <v>11072</v>
      </c>
      <c r="BM7">
        <v>26.159939000000001</v>
      </c>
      <c r="BN7">
        <v>79524</v>
      </c>
      <c r="BO7">
        <v>0.328957</v>
      </c>
    </row>
    <row r="8" spans="1:67">
      <c r="A8" s="55">
        <v>45751</v>
      </c>
      <c r="B8" t="s">
        <v>7</v>
      </c>
      <c r="C8">
        <v>11072</v>
      </c>
      <c r="D8">
        <v>513</v>
      </c>
      <c r="E8">
        <v>511</v>
      </c>
      <c r="F8">
        <v>145</v>
      </c>
      <c r="G8" s="57">
        <v>5675.4836355797997</v>
      </c>
      <c r="J8" s="58">
        <v>45753</v>
      </c>
      <c r="K8" s="52">
        <v>755</v>
      </c>
      <c r="L8" s="52">
        <v>590</v>
      </c>
      <c r="M8" s="52">
        <v>637</v>
      </c>
      <c r="N8" s="8">
        <v>1982</v>
      </c>
      <c r="S8" s="4">
        <v>11074</v>
      </c>
      <c r="T8" s="52">
        <v>5855.3628178999243</v>
      </c>
      <c r="V8" s="52">
        <v>5855.3628178999243</v>
      </c>
      <c r="W8" s="52">
        <f>V8-V6</f>
        <v>-969.21426279867046</v>
      </c>
      <c r="Y8" s="4">
        <v>11076</v>
      </c>
      <c r="Z8" s="8">
        <v>40001</v>
      </c>
      <c r="AA8" s="8">
        <v>6311</v>
      </c>
      <c r="AB8" s="8">
        <v>33902</v>
      </c>
      <c r="AC8" s="8">
        <v>9398</v>
      </c>
      <c r="AD8" s="8">
        <v>73903</v>
      </c>
      <c r="AE8" s="8">
        <v>15709</v>
      </c>
      <c r="AK8" s="58">
        <v>45752</v>
      </c>
      <c r="AL8" s="8">
        <v>2360</v>
      </c>
      <c r="AM8" s="8">
        <v>2385</v>
      </c>
      <c r="AN8" s="8">
        <v>2342</v>
      </c>
      <c r="AO8" s="8">
        <v>1226</v>
      </c>
      <c r="AP8" s="8">
        <v>1173</v>
      </c>
      <c r="AQ8" s="8">
        <v>1192</v>
      </c>
      <c r="AR8" s="8">
        <v>10678</v>
      </c>
      <c r="AS8" s="8">
        <v>3229</v>
      </c>
      <c r="AT8" s="8">
        <v>3432</v>
      </c>
      <c r="AU8" s="8">
        <v>3180</v>
      </c>
      <c r="AV8" s="8">
        <v>334</v>
      </c>
      <c r="AW8" s="8">
        <v>430</v>
      </c>
      <c r="AX8" s="8">
        <v>384</v>
      </c>
      <c r="AY8" s="8">
        <v>10989</v>
      </c>
      <c r="AZ8" s="8">
        <v>21667</v>
      </c>
      <c r="BD8" s="40" t="s">
        <v>277</v>
      </c>
      <c r="BJ8" s="55">
        <v>45751</v>
      </c>
      <c r="BK8" t="s">
        <v>6</v>
      </c>
      <c r="BL8">
        <v>11075</v>
      </c>
      <c r="BM8">
        <v>2.3184619999999998</v>
      </c>
      <c r="BN8">
        <v>28224</v>
      </c>
      <c r="BO8">
        <v>8.2144999999999996E-2</v>
      </c>
    </row>
    <row r="9" spans="1:67">
      <c r="A9" s="55">
        <v>45751</v>
      </c>
      <c r="B9" t="s">
        <v>7</v>
      </c>
      <c r="C9">
        <v>11073</v>
      </c>
      <c r="D9">
        <v>402</v>
      </c>
      <c r="E9">
        <v>402</v>
      </c>
      <c r="F9">
        <v>98</v>
      </c>
      <c r="G9" s="57">
        <v>4123.3724771843799</v>
      </c>
      <c r="J9" s="58">
        <v>45754</v>
      </c>
      <c r="K9" s="52">
        <v>726</v>
      </c>
      <c r="L9" s="52">
        <v>613</v>
      </c>
      <c r="M9" s="52">
        <v>640</v>
      </c>
      <c r="N9" s="8">
        <v>1979</v>
      </c>
      <c r="S9" s="4" t="s">
        <v>9</v>
      </c>
      <c r="T9" s="8">
        <v>6150.1112058609478</v>
      </c>
      <c r="Y9" s="4">
        <v>11077</v>
      </c>
      <c r="Z9" s="8">
        <v>40000</v>
      </c>
      <c r="AA9" s="8">
        <v>5940</v>
      </c>
      <c r="AB9" s="8">
        <v>32048</v>
      </c>
      <c r="AC9" s="8">
        <v>8721</v>
      </c>
      <c r="AD9" s="8">
        <v>72048</v>
      </c>
      <c r="AE9" s="8">
        <v>14661</v>
      </c>
      <c r="AK9" s="58">
        <v>45753</v>
      </c>
      <c r="AL9" s="8">
        <v>3067</v>
      </c>
      <c r="AM9" s="8">
        <v>3094</v>
      </c>
      <c r="AN9" s="8">
        <v>3014</v>
      </c>
      <c r="AO9" s="8">
        <v>1600</v>
      </c>
      <c r="AP9" s="8">
        <v>1596</v>
      </c>
      <c r="AQ9" s="8">
        <v>1632</v>
      </c>
      <c r="AR9" s="8">
        <v>14003</v>
      </c>
      <c r="AS9" s="8">
        <v>4555</v>
      </c>
      <c r="AT9" s="8">
        <v>4715</v>
      </c>
      <c r="AU9" s="8">
        <v>4652</v>
      </c>
      <c r="AV9" s="8">
        <v>536</v>
      </c>
      <c r="AW9" s="8">
        <v>669</v>
      </c>
      <c r="AX9" s="8">
        <v>646</v>
      </c>
      <c r="AY9" s="8">
        <v>15773</v>
      </c>
      <c r="AZ9" s="8">
        <v>29776</v>
      </c>
      <c r="BD9" s="40" t="s">
        <v>278</v>
      </c>
      <c r="BJ9" s="55">
        <v>45751</v>
      </c>
      <c r="BK9" t="s">
        <v>6</v>
      </c>
      <c r="BL9">
        <v>11077</v>
      </c>
      <c r="BM9">
        <v>6.2545809999999999</v>
      </c>
      <c r="BN9">
        <v>31270</v>
      </c>
      <c r="BO9">
        <v>0.200019</v>
      </c>
    </row>
    <row r="10" spans="1:67">
      <c r="A10" s="55">
        <v>45751</v>
      </c>
      <c r="B10" t="s">
        <v>7</v>
      </c>
      <c r="C10">
        <v>11074</v>
      </c>
      <c r="D10">
        <v>414</v>
      </c>
      <c r="E10">
        <v>414</v>
      </c>
      <c r="F10">
        <v>117</v>
      </c>
      <c r="G10" s="57">
        <v>4223.7478655899204</v>
      </c>
      <c r="J10" s="58">
        <v>45755</v>
      </c>
      <c r="K10" s="52">
        <v>537</v>
      </c>
      <c r="L10" s="52">
        <v>509</v>
      </c>
      <c r="M10" s="52">
        <v>540</v>
      </c>
      <c r="N10" s="8">
        <v>1586</v>
      </c>
      <c r="Y10" s="4" t="s">
        <v>9</v>
      </c>
      <c r="Z10" s="8">
        <v>120443</v>
      </c>
      <c r="AA10" s="8">
        <v>17541</v>
      </c>
      <c r="AB10" s="8">
        <v>96000</v>
      </c>
      <c r="AC10" s="8">
        <v>26365</v>
      </c>
      <c r="AD10" s="8">
        <v>216443</v>
      </c>
      <c r="AE10" s="8">
        <v>43906</v>
      </c>
      <c r="AK10" s="58">
        <v>45754</v>
      </c>
      <c r="AL10" s="8">
        <v>2945</v>
      </c>
      <c r="AM10" s="8">
        <v>2978</v>
      </c>
      <c r="AN10" s="8">
        <v>2966</v>
      </c>
      <c r="AO10" s="8">
        <v>2598</v>
      </c>
      <c r="AP10" s="8">
        <v>2717</v>
      </c>
      <c r="AQ10" s="8">
        <v>2626</v>
      </c>
      <c r="AR10" s="8">
        <v>16830</v>
      </c>
      <c r="AS10" s="8">
        <v>5147</v>
      </c>
      <c r="AT10" s="8">
        <v>5442</v>
      </c>
      <c r="AU10" s="8">
        <v>5296</v>
      </c>
      <c r="AV10" s="8">
        <v>906</v>
      </c>
      <c r="AW10" s="8">
        <v>1020</v>
      </c>
      <c r="AX10" s="8">
        <v>966</v>
      </c>
      <c r="AY10" s="8">
        <v>18777</v>
      </c>
      <c r="AZ10" s="8">
        <v>35607</v>
      </c>
      <c r="BD10" s="39" t="s">
        <v>279</v>
      </c>
      <c r="BJ10" s="55">
        <v>45751</v>
      </c>
      <c r="BK10" t="s">
        <v>6</v>
      </c>
      <c r="BL10">
        <v>11076</v>
      </c>
      <c r="BM10">
        <v>0.90337199999999995</v>
      </c>
      <c r="BN10">
        <v>8391</v>
      </c>
      <c r="BO10">
        <v>0.10766000000000001</v>
      </c>
    </row>
    <row r="11" spans="1:67">
      <c r="A11" s="55">
        <v>45752</v>
      </c>
      <c r="B11" t="s">
        <v>6</v>
      </c>
      <c r="C11">
        <v>11075</v>
      </c>
      <c r="D11">
        <v>29</v>
      </c>
      <c r="E11">
        <v>29</v>
      </c>
      <c r="F11">
        <v>11</v>
      </c>
      <c r="G11" s="57">
        <v>155.018025148303</v>
      </c>
      <c r="J11" s="58">
        <v>45756</v>
      </c>
      <c r="K11" s="52">
        <v>532</v>
      </c>
      <c r="L11" s="52">
        <v>474</v>
      </c>
      <c r="M11" s="52">
        <v>513</v>
      </c>
      <c r="N11" s="8">
        <v>1519</v>
      </c>
      <c r="S11" s="3" t="s">
        <v>1</v>
      </c>
      <c r="T11" t="s">
        <v>6</v>
      </c>
      <c r="AK11" s="58">
        <v>45755</v>
      </c>
      <c r="AL11" s="8">
        <v>2187</v>
      </c>
      <c r="AM11" s="8">
        <v>2421</v>
      </c>
      <c r="AN11" s="8">
        <v>2386</v>
      </c>
      <c r="AO11" s="8">
        <v>3158</v>
      </c>
      <c r="AP11" s="8">
        <v>3201</v>
      </c>
      <c r="AQ11" s="8">
        <v>3147</v>
      </c>
      <c r="AR11" s="8">
        <v>16500</v>
      </c>
      <c r="AS11" s="8">
        <v>4759</v>
      </c>
      <c r="AT11" s="8">
        <v>5070</v>
      </c>
      <c r="AU11" s="8">
        <v>4968</v>
      </c>
      <c r="AV11" s="8">
        <v>1371</v>
      </c>
      <c r="AW11" s="8">
        <v>1527</v>
      </c>
      <c r="AX11" s="8">
        <v>1433</v>
      </c>
      <c r="AY11" s="8">
        <v>19128</v>
      </c>
      <c r="AZ11" s="8">
        <v>35628</v>
      </c>
      <c r="BD11" s="39" t="s">
        <v>280</v>
      </c>
      <c r="BJ11" s="55">
        <v>45751</v>
      </c>
      <c r="BK11" t="s">
        <v>7</v>
      </c>
      <c r="BL11">
        <v>11073</v>
      </c>
      <c r="BM11">
        <v>17.23077</v>
      </c>
      <c r="BN11">
        <v>36270</v>
      </c>
      <c r="BO11">
        <v>0.47506900000000002</v>
      </c>
    </row>
    <row r="12" spans="1:67">
      <c r="A12" s="55">
        <v>45752</v>
      </c>
      <c r="B12" t="s">
        <v>6</v>
      </c>
      <c r="C12">
        <v>11076</v>
      </c>
      <c r="D12">
        <v>6</v>
      </c>
      <c r="E12">
        <v>6</v>
      </c>
      <c r="F12">
        <v>2</v>
      </c>
      <c r="G12" s="57">
        <v>47.2116145951967</v>
      </c>
      <c r="J12" s="58">
        <v>45757</v>
      </c>
      <c r="K12" s="52">
        <v>572</v>
      </c>
      <c r="L12" s="52">
        <v>455</v>
      </c>
      <c r="M12" s="52">
        <v>491</v>
      </c>
      <c r="N12" s="8">
        <v>1518</v>
      </c>
      <c r="S12" s="3" t="s">
        <v>262</v>
      </c>
      <c r="T12" t="s">
        <v>263</v>
      </c>
      <c r="Y12" s="3" t="s">
        <v>1</v>
      </c>
      <c r="Z12" t="s">
        <v>7</v>
      </c>
      <c r="AK12" s="58">
        <v>45756</v>
      </c>
      <c r="AL12" s="8">
        <v>2151</v>
      </c>
      <c r="AM12" s="8">
        <v>2200</v>
      </c>
      <c r="AN12" s="8">
        <v>2188</v>
      </c>
      <c r="AO12" s="8">
        <v>3005</v>
      </c>
      <c r="AP12" s="8">
        <v>2897</v>
      </c>
      <c r="AQ12" s="8">
        <v>2854</v>
      </c>
      <c r="AR12" s="8">
        <v>15295</v>
      </c>
      <c r="AS12" s="8">
        <v>4605</v>
      </c>
      <c r="AT12" s="8">
        <v>5160</v>
      </c>
      <c r="AU12" s="8">
        <v>4949</v>
      </c>
      <c r="AV12" s="8">
        <v>1679</v>
      </c>
      <c r="AW12" s="8">
        <v>1946</v>
      </c>
      <c r="AX12" s="8">
        <v>1841</v>
      </c>
      <c r="AY12" s="8">
        <v>20180</v>
      </c>
      <c r="AZ12" s="8">
        <v>35475</v>
      </c>
      <c r="BD12" s="39" t="s">
        <v>281</v>
      </c>
      <c r="BJ12" s="55">
        <v>45751</v>
      </c>
      <c r="BK12" t="s">
        <v>7</v>
      </c>
      <c r="BL12">
        <v>11074</v>
      </c>
      <c r="BM12">
        <v>31.963325000000001</v>
      </c>
      <c r="BN12">
        <v>77850</v>
      </c>
      <c r="BO12">
        <v>0.410576</v>
      </c>
    </row>
    <row r="13" spans="1:67">
      <c r="A13" s="55">
        <v>45752</v>
      </c>
      <c r="B13" t="s">
        <v>6</v>
      </c>
      <c r="C13">
        <v>11077</v>
      </c>
      <c r="D13">
        <v>22</v>
      </c>
      <c r="E13">
        <v>21</v>
      </c>
      <c r="F13">
        <v>8</v>
      </c>
      <c r="G13" s="57">
        <v>39.229443621084499</v>
      </c>
      <c r="J13" s="58">
        <v>45758</v>
      </c>
      <c r="K13" s="52">
        <v>586</v>
      </c>
      <c r="L13" s="52">
        <v>473</v>
      </c>
      <c r="M13" s="52">
        <v>528</v>
      </c>
      <c r="N13" s="8">
        <v>1587</v>
      </c>
      <c r="Y13" s="3" t="s">
        <v>15</v>
      </c>
      <c r="Z13" t="s">
        <v>263</v>
      </c>
      <c r="AK13" s="58">
        <v>45757</v>
      </c>
      <c r="AL13" s="8">
        <v>2183</v>
      </c>
      <c r="AM13" s="8">
        <v>2163</v>
      </c>
      <c r="AN13" s="8">
        <v>2194</v>
      </c>
      <c r="AO13" s="8">
        <v>3227</v>
      </c>
      <c r="AP13" s="8">
        <v>3134</v>
      </c>
      <c r="AQ13" s="8">
        <v>3259</v>
      </c>
      <c r="AR13" s="8">
        <v>16160</v>
      </c>
      <c r="AS13" s="8">
        <v>5507</v>
      </c>
      <c r="AT13" s="8">
        <v>5883</v>
      </c>
      <c r="AU13" s="8">
        <v>5680</v>
      </c>
      <c r="AV13" s="8">
        <v>2016</v>
      </c>
      <c r="AW13" s="8">
        <v>2189</v>
      </c>
      <c r="AX13" s="8">
        <v>2122</v>
      </c>
      <c r="AY13" s="8">
        <v>23397</v>
      </c>
      <c r="AZ13" s="8">
        <v>39557</v>
      </c>
      <c r="BD13" s="39" t="s">
        <v>165</v>
      </c>
      <c r="BJ13" s="55">
        <v>45751</v>
      </c>
      <c r="BK13" t="s">
        <v>7</v>
      </c>
      <c r="BL13">
        <v>11072</v>
      </c>
      <c r="BM13">
        <v>31.973966999999998</v>
      </c>
      <c r="BN13">
        <v>96107</v>
      </c>
      <c r="BO13">
        <v>0.33269100000000001</v>
      </c>
    </row>
    <row r="14" spans="1:67">
      <c r="A14" s="55">
        <v>45752</v>
      </c>
      <c r="B14" t="s">
        <v>7</v>
      </c>
      <c r="C14">
        <v>11072</v>
      </c>
      <c r="D14">
        <v>560</v>
      </c>
      <c r="E14">
        <v>557</v>
      </c>
      <c r="F14">
        <v>162</v>
      </c>
      <c r="G14" s="57">
        <v>5617.1277037521704</v>
      </c>
      <c r="J14" s="58">
        <v>45759</v>
      </c>
      <c r="K14" s="52">
        <v>600</v>
      </c>
      <c r="L14" s="52">
        <v>498</v>
      </c>
      <c r="M14" s="52">
        <v>480</v>
      </c>
      <c r="N14" s="8">
        <v>1578</v>
      </c>
      <c r="S14" s="3" t="s">
        <v>8</v>
      </c>
      <c r="T14" t="s">
        <v>264</v>
      </c>
      <c r="AK14" s="58">
        <v>45758</v>
      </c>
      <c r="AL14" s="8">
        <v>2243</v>
      </c>
      <c r="AM14" s="8">
        <v>2175</v>
      </c>
      <c r="AN14" s="8">
        <v>2247</v>
      </c>
      <c r="AO14" s="8">
        <v>3187</v>
      </c>
      <c r="AP14" s="8">
        <v>3009</v>
      </c>
      <c r="AQ14" s="8">
        <v>3023</v>
      </c>
      <c r="AR14" s="8">
        <v>15884</v>
      </c>
      <c r="AS14" s="8">
        <v>6419</v>
      </c>
      <c r="AT14" s="8">
        <v>6821</v>
      </c>
      <c r="AU14" s="8">
        <v>6643</v>
      </c>
      <c r="AV14" s="8">
        <v>2097</v>
      </c>
      <c r="AW14" s="8">
        <v>2348</v>
      </c>
      <c r="AX14" s="8">
        <v>2272</v>
      </c>
      <c r="AY14" s="8">
        <v>26600</v>
      </c>
      <c r="AZ14" s="8">
        <v>42484</v>
      </c>
      <c r="BD14" s="43" t="s">
        <v>66</v>
      </c>
      <c r="BJ14" s="55">
        <v>45752</v>
      </c>
      <c r="BK14" t="s">
        <v>6</v>
      </c>
      <c r="BL14">
        <v>11075</v>
      </c>
      <c r="BM14">
        <v>4.4943609999999996</v>
      </c>
      <c r="BN14">
        <v>47446</v>
      </c>
      <c r="BO14">
        <v>9.4726000000000005E-2</v>
      </c>
    </row>
    <row r="15" spans="1:67">
      <c r="A15" s="55">
        <v>45752</v>
      </c>
      <c r="B15" t="s">
        <v>7</v>
      </c>
      <c r="C15">
        <v>11073</v>
      </c>
      <c r="D15">
        <v>463</v>
      </c>
      <c r="E15">
        <v>463</v>
      </c>
      <c r="F15">
        <v>141</v>
      </c>
      <c r="G15" s="57">
        <v>5516.4779235776105</v>
      </c>
      <c r="J15" s="58">
        <v>45760</v>
      </c>
      <c r="K15" s="52">
        <v>870</v>
      </c>
      <c r="L15" s="52">
        <v>712</v>
      </c>
      <c r="M15" s="52">
        <v>754</v>
      </c>
      <c r="N15" s="8">
        <v>2336</v>
      </c>
      <c r="S15" s="4">
        <v>11075</v>
      </c>
      <c r="T15" s="52">
        <v>254.09160739202656</v>
      </c>
      <c r="V15" s="52">
        <v>254.09160739202656</v>
      </c>
      <c r="Z15" s="3" t="s">
        <v>10</v>
      </c>
      <c r="AK15" s="58">
        <v>45759</v>
      </c>
      <c r="AL15" s="8">
        <v>2292</v>
      </c>
      <c r="AM15" s="8">
        <v>2416</v>
      </c>
      <c r="AN15" s="8">
        <v>2342</v>
      </c>
      <c r="AO15" s="8">
        <v>2869</v>
      </c>
      <c r="AP15" s="8">
        <v>2888</v>
      </c>
      <c r="AQ15" s="8">
        <v>2820</v>
      </c>
      <c r="AR15" s="8">
        <v>15627</v>
      </c>
      <c r="AS15" s="8">
        <v>7400</v>
      </c>
      <c r="AT15" s="8">
        <v>7838</v>
      </c>
      <c r="AU15" s="8">
        <v>7500</v>
      </c>
      <c r="AV15" s="8">
        <v>2207</v>
      </c>
      <c r="AW15" s="8">
        <v>2537</v>
      </c>
      <c r="AX15" s="8">
        <v>2384</v>
      </c>
      <c r="AY15" s="8">
        <v>29866</v>
      </c>
      <c r="AZ15" s="8">
        <v>45493</v>
      </c>
      <c r="BD15" s="40" t="s">
        <v>282</v>
      </c>
      <c r="BJ15" s="55">
        <v>45752</v>
      </c>
      <c r="BK15" t="s">
        <v>6</v>
      </c>
      <c r="BL15">
        <v>11076</v>
      </c>
      <c r="BM15">
        <v>1.7626329999999999</v>
      </c>
      <c r="BN15">
        <v>15652</v>
      </c>
      <c r="BO15">
        <v>0.11261400000000001</v>
      </c>
    </row>
    <row r="16" spans="1:67">
      <c r="A16" s="55">
        <v>45752</v>
      </c>
      <c r="B16" t="s">
        <v>7</v>
      </c>
      <c r="C16">
        <v>11074</v>
      </c>
      <c r="D16">
        <v>456</v>
      </c>
      <c r="E16">
        <v>453</v>
      </c>
      <c r="F16">
        <v>123</v>
      </c>
      <c r="G16" s="57">
        <v>4323.5427280274998</v>
      </c>
      <c r="J16" s="58">
        <v>45761</v>
      </c>
      <c r="K16" s="52">
        <v>894</v>
      </c>
      <c r="L16" s="52">
        <v>658</v>
      </c>
      <c r="M16" s="52">
        <v>698</v>
      </c>
      <c r="N16" s="8">
        <v>2250</v>
      </c>
      <c r="S16" s="4">
        <v>11076</v>
      </c>
      <c r="T16" s="52">
        <v>211.38848339858424</v>
      </c>
      <c r="V16" s="52">
        <v>211.38848339858424</v>
      </c>
      <c r="W16" s="52">
        <f>V16-V15</f>
        <v>-42.703123993442318</v>
      </c>
      <c r="Z16" t="s">
        <v>17</v>
      </c>
      <c r="AB16" t="s">
        <v>16</v>
      </c>
      <c r="AD16" t="s">
        <v>12</v>
      </c>
      <c r="AE16" t="s">
        <v>13</v>
      </c>
      <c r="AK16" s="58">
        <v>45760</v>
      </c>
      <c r="AL16" s="8">
        <v>3085</v>
      </c>
      <c r="AM16" s="8">
        <v>3119</v>
      </c>
      <c r="AN16" s="8">
        <v>3101</v>
      </c>
      <c r="AO16" s="8">
        <v>3472</v>
      </c>
      <c r="AP16" s="8">
        <v>3301</v>
      </c>
      <c r="AQ16" s="8">
        <v>3488</v>
      </c>
      <c r="AR16" s="8">
        <v>19566</v>
      </c>
      <c r="AS16" s="8">
        <v>9366</v>
      </c>
      <c r="AT16" s="8">
        <v>9954</v>
      </c>
      <c r="AU16" s="8">
        <v>10008</v>
      </c>
      <c r="AV16" s="8">
        <v>2622</v>
      </c>
      <c r="AW16" s="8">
        <v>2933</v>
      </c>
      <c r="AX16" s="8">
        <v>2808</v>
      </c>
      <c r="AY16" s="8">
        <v>37691</v>
      </c>
      <c r="AZ16" s="8">
        <v>57257</v>
      </c>
      <c r="BD16" s="39" t="s">
        <v>51</v>
      </c>
      <c r="BJ16" s="55">
        <v>45752</v>
      </c>
      <c r="BK16" t="s">
        <v>6</v>
      </c>
      <c r="BL16">
        <v>11077</v>
      </c>
      <c r="BM16">
        <v>9.1766190000000005</v>
      </c>
      <c r="BN16">
        <v>45843</v>
      </c>
      <c r="BO16">
        <v>0.20017499999999999</v>
      </c>
    </row>
    <row r="17" spans="1:67">
      <c r="A17" s="55">
        <v>45753</v>
      </c>
      <c r="B17" t="s">
        <v>6</v>
      </c>
      <c r="C17">
        <v>11075</v>
      </c>
      <c r="D17">
        <v>53</v>
      </c>
      <c r="E17">
        <v>53</v>
      </c>
      <c r="F17">
        <v>24</v>
      </c>
      <c r="G17" s="57">
        <v>218.58210166113199</v>
      </c>
      <c r="J17" s="58">
        <v>45762</v>
      </c>
      <c r="K17" s="52">
        <v>672</v>
      </c>
      <c r="L17" s="52">
        <v>511</v>
      </c>
      <c r="M17" s="52">
        <v>568</v>
      </c>
      <c r="N17" s="8">
        <v>1751</v>
      </c>
      <c r="S17" s="4">
        <v>11077</v>
      </c>
      <c r="T17" s="52">
        <v>232.67914618184111</v>
      </c>
      <c r="V17" s="52">
        <v>232.67914618184111</v>
      </c>
      <c r="W17" s="52">
        <f>V17-V15</f>
        <v>-21.412461210185455</v>
      </c>
      <c r="Y17" s="3" t="s">
        <v>8</v>
      </c>
      <c r="Z17" t="s">
        <v>11</v>
      </c>
      <c r="AA17" t="s">
        <v>14</v>
      </c>
      <c r="AB17" t="s">
        <v>11</v>
      </c>
      <c r="AC17" t="s">
        <v>14</v>
      </c>
      <c r="AK17" s="58">
        <v>45761</v>
      </c>
      <c r="AL17" s="8">
        <v>3165</v>
      </c>
      <c r="AM17" s="8">
        <v>3069</v>
      </c>
      <c r="AN17" s="8">
        <v>2986</v>
      </c>
      <c r="AO17" s="8">
        <v>3471</v>
      </c>
      <c r="AP17" s="8">
        <v>3591</v>
      </c>
      <c r="AQ17" s="8">
        <v>3506</v>
      </c>
      <c r="AR17" s="8">
        <v>19788</v>
      </c>
      <c r="AS17" s="8">
        <v>9452</v>
      </c>
      <c r="AT17" s="8">
        <v>10082</v>
      </c>
      <c r="AU17" s="8">
        <v>10038</v>
      </c>
      <c r="AV17" s="8">
        <v>2753</v>
      </c>
      <c r="AW17" s="8">
        <v>3103</v>
      </c>
      <c r="AX17" s="8">
        <v>3004</v>
      </c>
      <c r="AY17" s="8">
        <v>38432</v>
      </c>
      <c r="AZ17" s="8">
        <v>58220</v>
      </c>
      <c r="BD17" s="39" t="s">
        <v>52</v>
      </c>
      <c r="BJ17" s="55">
        <v>45752</v>
      </c>
      <c r="BK17" t="s">
        <v>7</v>
      </c>
      <c r="BL17">
        <v>11072</v>
      </c>
      <c r="BM17">
        <v>40.916356999999998</v>
      </c>
      <c r="BN17">
        <v>112623</v>
      </c>
      <c r="BO17">
        <v>0.36330400000000002</v>
      </c>
    </row>
    <row r="18" spans="1:67">
      <c r="A18" s="55">
        <v>45753</v>
      </c>
      <c r="B18" t="s">
        <v>6</v>
      </c>
      <c r="C18">
        <v>11076</v>
      </c>
      <c r="D18">
        <v>11</v>
      </c>
      <c r="E18">
        <v>11</v>
      </c>
      <c r="F18">
        <v>5</v>
      </c>
      <c r="G18" s="57">
        <v>50.0597600393221</v>
      </c>
      <c r="J18" s="58">
        <v>45763</v>
      </c>
      <c r="K18" s="52">
        <v>670</v>
      </c>
      <c r="L18" s="52">
        <v>493</v>
      </c>
      <c r="M18" s="52">
        <v>499</v>
      </c>
      <c r="N18" s="8">
        <v>1662</v>
      </c>
      <c r="S18" s="4" t="s">
        <v>9</v>
      </c>
      <c r="T18" s="8">
        <v>232.719745657484</v>
      </c>
      <c r="Y18" s="4">
        <v>11072</v>
      </c>
      <c r="Z18" s="8">
        <v>40008</v>
      </c>
      <c r="AA18" s="8">
        <v>6223</v>
      </c>
      <c r="AB18" s="8">
        <v>105977</v>
      </c>
      <c r="AC18" s="8">
        <v>25597</v>
      </c>
      <c r="AD18" s="8">
        <v>145985</v>
      </c>
      <c r="AE18" s="8">
        <v>31820</v>
      </c>
      <c r="AK18" s="58">
        <v>45762</v>
      </c>
      <c r="AL18" s="8">
        <v>2436</v>
      </c>
      <c r="AM18" s="8">
        <v>2426</v>
      </c>
      <c r="AN18" s="8">
        <v>2377</v>
      </c>
      <c r="AO18" s="8">
        <v>2950</v>
      </c>
      <c r="AP18" s="8">
        <v>2953</v>
      </c>
      <c r="AQ18" s="8">
        <v>2926</v>
      </c>
      <c r="AR18" s="8">
        <v>16068</v>
      </c>
      <c r="AS18" s="8">
        <v>8073</v>
      </c>
      <c r="AT18" s="8">
        <v>8863</v>
      </c>
      <c r="AU18" s="8">
        <v>8465</v>
      </c>
      <c r="AV18" s="8">
        <v>2641</v>
      </c>
      <c r="AW18" s="8">
        <v>2975</v>
      </c>
      <c r="AX18" s="8">
        <v>2794</v>
      </c>
      <c r="AY18" s="8">
        <v>33811</v>
      </c>
      <c r="AZ18" s="8">
        <v>49879</v>
      </c>
      <c r="BD18" s="39" t="s">
        <v>283</v>
      </c>
      <c r="BJ18" s="55">
        <v>45752</v>
      </c>
      <c r="BK18" t="s">
        <v>7</v>
      </c>
      <c r="BL18">
        <v>11073</v>
      </c>
      <c r="BM18">
        <v>22.347011999999999</v>
      </c>
      <c r="BN18">
        <v>42293</v>
      </c>
      <c r="BO18">
        <v>0.52838600000000002</v>
      </c>
    </row>
    <row r="19" spans="1:67">
      <c r="A19" s="55">
        <v>45753</v>
      </c>
      <c r="B19" t="s">
        <v>6</v>
      </c>
      <c r="C19">
        <v>11077</v>
      </c>
      <c r="D19">
        <v>21</v>
      </c>
      <c r="E19">
        <v>20</v>
      </c>
      <c r="F19">
        <v>7</v>
      </c>
      <c r="G19" s="57">
        <v>95.845647259346805</v>
      </c>
      <c r="J19" s="58">
        <v>45764</v>
      </c>
      <c r="K19" s="52">
        <v>607</v>
      </c>
      <c r="L19" s="52">
        <v>513</v>
      </c>
      <c r="M19" s="52">
        <v>529</v>
      </c>
      <c r="N19" s="8">
        <v>1649</v>
      </c>
      <c r="Y19" s="4">
        <v>11073</v>
      </c>
      <c r="Z19" s="8">
        <v>40686</v>
      </c>
      <c r="AA19" s="8">
        <v>7603</v>
      </c>
      <c r="AB19" s="8">
        <v>113219</v>
      </c>
      <c r="AC19" s="8">
        <v>27920</v>
      </c>
      <c r="AD19" s="8">
        <v>153905</v>
      </c>
      <c r="AE19" s="8">
        <v>35523</v>
      </c>
      <c r="AK19" s="58">
        <v>45763</v>
      </c>
      <c r="AL19" s="8">
        <v>2354</v>
      </c>
      <c r="AM19" s="8">
        <v>2332</v>
      </c>
      <c r="AN19" s="8">
        <v>2301</v>
      </c>
      <c r="AO19" s="8">
        <v>2746</v>
      </c>
      <c r="AP19" s="8">
        <v>2826</v>
      </c>
      <c r="AQ19" s="8">
        <v>2727</v>
      </c>
      <c r="AR19" s="8">
        <v>15286</v>
      </c>
      <c r="AS19" s="8">
        <v>7944</v>
      </c>
      <c r="AT19" s="8">
        <v>8530</v>
      </c>
      <c r="AU19" s="8">
        <v>8355</v>
      </c>
      <c r="AV19" s="8">
        <v>2698</v>
      </c>
      <c r="AW19" s="8">
        <v>3082</v>
      </c>
      <c r="AX19" s="8">
        <v>2754</v>
      </c>
      <c r="AY19" s="8">
        <v>33363</v>
      </c>
      <c r="AZ19" s="8">
        <v>48649</v>
      </c>
      <c r="BD19" s="40" t="s">
        <v>54</v>
      </c>
      <c r="BJ19" s="55">
        <v>45752</v>
      </c>
      <c r="BK19" t="s">
        <v>7</v>
      </c>
      <c r="BL19">
        <v>11074</v>
      </c>
      <c r="BM19">
        <v>41.897632999999999</v>
      </c>
      <c r="BN19">
        <v>95744</v>
      </c>
      <c r="BO19">
        <v>0.43760100000000002</v>
      </c>
    </row>
    <row r="20" spans="1:67">
      <c r="A20" s="55">
        <v>45753</v>
      </c>
      <c r="B20" t="s">
        <v>7</v>
      </c>
      <c r="C20">
        <v>11072</v>
      </c>
      <c r="D20">
        <v>755</v>
      </c>
      <c r="E20">
        <v>752</v>
      </c>
      <c r="F20">
        <v>222</v>
      </c>
      <c r="G20" s="57">
        <v>8684.7531586652804</v>
      </c>
      <c r="J20" s="58">
        <v>45765</v>
      </c>
      <c r="K20" s="52">
        <v>699</v>
      </c>
      <c r="L20" s="52">
        <v>547</v>
      </c>
      <c r="M20" s="52">
        <v>640</v>
      </c>
      <c r="N20" s="8">
        <v>1886</v>
      </c>
      <c r="Y20" s="4">
        <v>11074</v>
      </c>
      <c r="Z20" s="8">
        <v>40087</v>
      </c>
      <c r="AA20" s="8">
        <v>7098</v>
      </c>
      <c r="AB20" s="8">
        <v>110303</v>
      </c>
      <c r="AC20" s="8">
        <v>26715</v>
      </c>
      <c r="AD20" s="8">
        <v>150390</v>
      </c>
      <c r="AE20" s="8">
        <v>33813</v>
      </c>
      <c r="AK20" s="58">
        <v>45764</v>
      </c>
      <c r="AL20" s="8">
        <v>2269</v>
      </c>
      <c r="AM20" s="8">
        <v>2294</v>
      </c>
      <c r="AN20" s="8">
        <v>2282</v>
      </c>
      <c r="AO20" s="8">
        <v>3026</v>
      </c>
      <c r="AP20" s="8">
        <v>2981</v>
      </c>
      <c r="AQ20" s="8">
        <v>3014</v>
      </c>
      <c r="AR20" s="8">
        <v>15866</v>
      </c>
      <c r="AS20" s="8">
        <v>8244</v>
      </c>
      <c r="AT20" s="8">
        <v>8618</v>
      </c>
      <c r="AU20" s="8">
        <v>8469</v>
      </c>
      <c r="AV20" s="8">
        <v>2835</v>
      </c>
      <c r="AW20" s="8">
        <v>3250</v>
      </c>
      <c r="AX20" s="8">
        <v>2977</v>
      </c>
      <c r="AY20" s="8">
        <v>34393</v>
      </c>
      <c r="AZ20" s="8">
        <v>50259</v>
      </c>
      <c r="BD20" s="40" t="s">
        <v>55</v>
      </c>
      <c r="BJ20" s="55">
        <v>45753</v>
      </c>
      <c r="BK20" t="s">
        <v>6</v>
      </c>
      <c r="BL20">
        <v>11075</v>
      </c>
      <c r="BM20">
        <v>7.2050260000000002</v>
      </c>
      <c r="BN20">
        <v>66196</v>
      </c>
      <c r="BO20">
        <v>0.108844</v>
      </c>
    </row>
    <row r="21" spans="1:67">
      <c r="A21" s="55">
        <v>45753</v>
      </c>
      <c r="B21" t="s">
        <v>7</v>
      </c>
      <c r="C21">
        <v>11073</v>
      </c>
      <c r="D21">
        <v>590</v>
      </c>
      <c r="E21">
        <v>588</v>
      </c>
      <c r="F21">
        <v>153</v>
      </c>
      <c r="G21" s="57">
        <v>6832.8915161746299</v>
      </c>
      <c r="J21" s="58">
        <v>45766</v>
      </c>
      <c r="K21" s="52">
        <v>930</v>
      </c>
      <c r="L21" s="52">
        <v>777</v>
      </c>
      <c r="M21" s="52">
        <v>733</v>
      </c>
      <c r="N21" s="8">
        <v>2440</v>
      </c>
      <c r="S21" s="3" t="s">
        <v>272</v>
      </c>
      <c r="T21" t="s">
        <v>263</v>
      </c>
      <c r="Y21" s="4" t="s">
        <v>9</v>
      </c>
      <c r="Z21" s="8">
        <v>120781</v>
      </c>
      <c r="AA21" s="8">
        <v>20924</v>
      </c>
      <c r="AB21" s="8">
        <v>329499</v>
      </c>
      <c r="AC21" s="8">
        <v>80232</v>
      </c>
      <c r="AD21" s="8">
        <v>450280</v>
      </c>
      <c r="AE21" s="8">
        <v>101156</v>
      </c>
      <c r="AK21" s="58">
        <v>45765</v>
      </c>
      <c r="AL21" s="8">
        <v>2343</v>
      </c>
      <c r="AM21" s="8">
        <v>2536</v>
      </c>
      <c r="AN21" s="8">
        <v>2428</v>
      </c>
      <c r="AO21" s="8">
        <v>3108</v>
      </c>
      <c r="AP21" s="8">
        <v>2994</v>
      </c>
      <c r="AQ21" s="8">
        <v>3046</v>
      </c>
      <c r="AR21" s="8">
        <v>16455</v>
      </c>
      <c r="AS21" s="8">
        <v>8779</v>
      </c>
      <c r="AT21" s="8">
        <v>9464</v>
      </c>
      <c r="AU21" s="8">
        <v>9227</v>
      </c>
      <c r="AV21" s="8">
        <v>2938</v>
      </c>
      <c r="AW21" s="8">
        <v>3383</v>
      </c>
      <c r="AX21" s="8">
        <v>3199</v>
      </c>
      <c r="AY21" s="8">
        <v>36990</v>
      </c>
      <c r="AZ21" s="8">
        <v>53445</v>
      </c>
      <c r="BD21" s="41" t="s">
        <v>284</v>
      </c>
      <c r="BJ21" s="55">
        <v>45753</v>
      </c>
      <c r="BK21" t="s">
        <v>6</v>
      </c>
      <c r="BL21">
        <v>11077</v>
      </c>
      <c r="BM21">
        <v>5.9370149999999997</v>
      </c>
      <c r="BN21">
        <v>60092</v>
      </c>
      <c r="BO21">
        <v>9.8798999999999998E-2</v>
      </c>
    </row>
    <row r="22" spans="1:67">
      <c r="A22" s="55">
        <v>45753</v>
      </c>
      <c r="B22" t="s">
        <v>7</v>
      </c>
      <c r="C22">
        <v>11074</v>
      </c>
      <c r="D22">
        <v>637</v>
      </c>
      <c r="E22">
        <v>632</v>
      </c>
      <c r="F22">
        <v>184</v>
      </c>
      <c r="G22" s="57">
        <v>7428.7281146045298</v>
      </c>
      <c r="J22" s="58">
        <v>45767</v>
      </c>
      <c r="K22" s="52">
        <v>1163</v>
      </c>
      <c r="L22" s="52">
        <v>951</v>
      </c>
      <c r="M22" s="52">
        <v>951</v>
      </c>
      <c r="N22" s="8">
        <v>3065</v>
      </c>
      <c r="S22" s="3" t="s">
        <v>1</v>
      </c>
      <c r="T22" t="s">
        <v>7</v>
      </c>
      <c r="AK22" s="58">
        <v>45766</v>
      </c>
      <c r="AL22" s="8">
        <v>2748</v>
      </c>
      <c r="AM22" s="8">
        <v>2887</v>
      </c>
      <c r="AN22" s="8">
        <v>2795</v>
      </c>
      <c r="AO22" s="8">
        <v>3625</v>
      </c>
      <c r="AP22" s="8">
        <v>3509</v>
      </c>
      <c r="AQ22" s="8">
        <v>3564</v>
      </c>
      <c r="AR22" s="8">
        <v>19128</v>
      </c>
      <c r="AS22" s="8">
        <v>9929</v>
      </c>
      <c r="AT22" s="8">
        <v>10783</v>
      </c>
      <c r="AU22" s="8">
        <v>10283</v>
      </c>
      <c r="AV22" s="8">
        <v>3287</v>
      </c>
      <c r="AW22" s="8">
        <v>3609</v>
      </c>
      <c r="AX22" s="8">
        <v>3494</v>
      </c>
      <c r="AY22" s="8">
        <v>41385</v>
      </c>
      <c r="AZ22" s="8">
        <v>60513</v>
      </c>
      <c r="BD22" s="40" t="s">
        <v>285</v>
      </c>
      <c r="BJ22" s="55">
        <v>45753</v>
      </c>
      <c r="BK22" t="s">
        <v>6</v>
      </c>
      <c r="BL22">
        <v>11076</v>
      </c>
      <c r="BM22">
        <v>3.5511379999999999</v>
      </c>
      <c r="BN22">
        <v>21850</v>
      </c>
      <c r="BO22">
        <v>0.162523</v>
      </c>
    </row>
    <row r="23" spans="1:67">
      <c r="A23" s="55">
        <v>45754</v>
      </c>
      <c r="B23" t="s">
        <v>6</v>
      </c>
      <c r="C23">
        <v>11075</v>
      </c>
      <c r="D23">
        <v>48</v>
      </c>
      <c r="E23">
        <v>48</v>
      </c>
      <c r="F23">
        <v>11</v>
      </c>
      <c r="G23" s="57">
        <v>109.10494475107799</v>
      </c>
      <c r="J23" s="58" t="s">
        <v>9</v>
      </c>
      <c r="K23" s="8">
        <v>12373</v>
      </c>
      <c r="L23" s="8">
        <v>10015</v>
      </c>
      <c r="M23" s="8">
        <v>10441</v>
      </c>
      <c r="N23" s="8">
        <v>32829</v>
      </c>
      <c r="AK23" s="58" t="s">
        <v>9</v>
      </c>
      <c r="AL23" s="8">
        <v>42066</v>
      </c>
      <c r="AM23" s="8">
        <v>42676</v>
      </c>
      <c r="AN23" s="8">
        <v>42168</v>
      </c>
      <c r="AO23" s="8">
        <v>44269</v>
      </c>
      <c r="AP23" s="8">
        <v>43817</v>
      </c>
      <c r="AQ23" s="8">
        <v>43823</v>
      </c>
      <c r="AR23" s="8">
        <v>258819</v>
      </c>
      <c r="AS23" s="8">
        <v>107570</v>
      </c>
      <c r="AT23" s="8">
        <v>114815</v>
      </c>
      <c r="AU23" s="8">
        <v>111900</v>
      </c>
      <c r="AV23" s="8">
        <v>31038</v>
      </c>
      <c r="AW23" s="8">
        <v>35143</v>
      </c>
      <c r="AX23" s="8">
        <v>33219</v>
      </c>
      <c r="AY23" s="8">
        <v>433685</v>
      </c>
      <c r="AZ23" s="8">
        <v>692504</v>
      </c>
      <c r="BD23" s="41" t="s">
        <v>58</v>
      </c>
      <c r="BJ23" s="55">
        <v>45753</v>
      </c>
      <c r="BK23" t="s">
        <v>7</v>
      </c>
      <c r="BL23">
        <v>11073</v>
      </c>
      <c r="BM23">
        <v>32.646732</v>
      </c>
      <c r="BN23">
        <v>58328</v>
      </c>
      <c r="BO23">
        <v>0.55970900000000001</v>
      </c>
    </row>
    <row r="24" spans="1:67">
      <c r="A24" s="55">
        <v>45754</v>
      </c>
      <c r="B24" t="s">
        <v>6</v>
      </c>
      <c r="C24">
        <v>11076</v>
      </c>
      <c r="D24">
        <v>42</v>
      </c>
      <c r="E24">
        <v>42</v>
      </c>
      <c r="F24">
        <v>20</v>
      </c>
      <c r="G24" s="57">
        <v>142.26256379435</v>
      </c>
      <c r="S24" s="3" t="s">
        <v>8</v>
      </c>
      <c r="T24" t="s">
        <v>291</v>
      </c>
      <c r="BD24" s="39" t="s">
        <v>90</v>
      </c>
      <c r="BJ24" s="55">
        <v>45753</v>
      </c>
      <c r="BK24" t="s">
        <v>7</v>
      </c>
      <c r="BL24">
        <v>11072</v>
      </c>
      <c r="BM24">
        <v>58.785890999999999</v>
      </c>
      <c r="BN24">
        <v>157921</v>
      </c>
      <c r="BO24">
        <v>0.372249</v>
      </c>
    </row>
    <row r="25" spans="1:67">
      <c r="A25" s="55">
        <v>45754</v>
      </c>
      <c r="B25" t="s">
        <v>6</v>
      </c>
      <c r="C25">
        <v>11077</v>
      </c>
      <c r="D25">
        <v>41</v>
      </c>
      <c r="E25">
        <v>41</v>
      </c>
      <c r="F25">
        <v>15</v>
      </c>
      <c r="G25" s="57">
        <v>132.81986043390799</v>
      </c>
      <c r="S25" s="4">
        <v>11072</v>
      </c>
      <c r="T25" s="8">
        <v>60.261889199999999</v>
      </c>
      <c r="V25" s="8">
        <v>60.261889199999999</v>
      </c>
      <c r="BD25" s="75" t="s">
        <v>286</v>
      </c>
      <c r="BJ25" s="55">
        <v>45753</v>
      </c>
      <c r="BK25" t="s">
        <v>7</v>
      </c>
      <c r="BL25">
        <v>11074</v>
      </c>
      <c r="BM25">
        <v>52.701987000000003</v>
      </c>
      <c r="BN25">
        <v>123871</v>
      </c>
      <c r="BO25">
        <v>0.42545899999999998</v>
      </c>
    </row>
    <row r="26" spans="1:67">
      <c r="A26" s="55">
        <v>45754</v>
      </c>
      <c r="B26" t="s">
        <v>7</v>
      </c>
      <c r="C26">
        <v>11072</v>
      </c>
      <c r="D26">
        <v>726</v>
      </c>
      <c r="E26">
        <v>723</v>
      </c>
      <c r="F26">
        <v>228</v>
      </c>
      <c r="G26" s="57">
        <v>8428.2554817807504</v>
      </c>
      <c r="S26" s="4">
        <v>11073</v>
      </c>
      <c r="T26" s="8">
        <v>33.157916000000007</v>
      </c>
      <c r="V26" s="8">
        <v>33.157916000000007</v>
      </c>
      <c r="W26" s="52">
        <f>V26-V25</f>
        <v>-27.103973199999992</v>
      </c>
      <c r="Y26" s="21"/>
      <c r="Z26" s="22"/>
      <c r="AA26" s="22"/>
      <c r="AB26" s="22"/>
      <c r="AC26" s="22"/>
      <c r="AD26" s="22"/>
      <c r="AE26" s="22"/>
      <c r="AF26" s="22"/>
      <c r="AG26" s="25"/>
      <c r="BD26" s="39" t="s">
        <v>61</v>
      </c>
      <c r="BJ26" s="55">
        <v>45754</v>
      </c>
      <c r="BK26" t="s">
        <v>6</v>
      </c>
      <c r="BL26">
        <v>11075</v>
      </c>
      <c r="BM26">
        <v>12.126794</v>
      </c>
      <c r="BN26">
        <v>114223</v>
      </c>
      <c r="BO26">
        <v>0.106168</v>
      </c>
    </row>
    <row r="27" spans="1:67">
      <c r="A27" s="55">
        <v>45754</v>
      </c>
      <c r="B27" t="s">
        <v>7</v>
      </c>
      <c r="C27">
        <v>11073</v>
      </c>
      <c r="D27">
        <v>613</v>
      </c>
      <c r="E27">
        <v>611</v>
      </c>
      <c r="F27">
        <v>161</v>
      </c>
      <c r="G27" s="57">
        <v>6361.8088023423297</v>
      </c>
      <c r="S27" s="4">
        <v>11074</v>
      </c>
      <c r="T27" s="8">
        <v>56.742637999999999</v>
      </c>
      <c r="V27" s="8">
        <v>56.742637999999999</v>
      </c>
      <c r="W27" s="52">
        <f>V27-V25</f>
        <v>-3.5192511999999994</v>
      </c>
      <c r="Y27" s="59" t="s">
        <v>1</v>
      </c>
      <c r="Z27" s="26" t="s">
        <v>6</v>
      </c>
      <c r="AA27" s="26"/>
      <c r="AB27" s="26"/>
      <c r="AC27" s="26"/>
      <c r="AD27" s="26"/>
      <c r="AE27" s="26"/>
      <c r="AF27" s="26"/>
      <c r="AG27" s="28"/>
      <c r="BD27" s="42" t="s">
        <v>62</v>
      </c>
      <c r="BJ27" s="55">
        <v>45754</v>
      </c>
      <c r="BK27" t="s">
        <v>6</v>
      </c>
      <c r="BL27">
        <v>11076</v>
      </c>
      <c r="BM27">
        <v>7.4859879999999999</v>
      </c>
      <c r="BN27">
        <v>41466</v>
      </c>
      <c r="BO27">
        <v>0.180533</v>
      </c>
    </row>
    <row r="28" spans="1:67">
      <c r="A28" s="55">
        <v>45754</v>
      </c>
      <c r="B28" t="s">
        <v>7</v>
      </c>
      <c r="C28">
        <v>11074</v>
      </c>
      <c r="D28">
        <v>640</v>
      </c>
      <c r="E28">
        <v>640</v>
      </c>
      <c r="F28">
        <v>162</v>
      </c>
      <c r="G28" s="57">
        <v>5900.5956934283804</v>
      </c>
      <c r="S28" s="4" t="s">
        <v>9</v>
      </c>
      <c r="T28" s="8">
        <v>50.05414773333333</v>
      </c>
      <c r="Y28" s="60" t="s">
        <v>15</v>
      </c>
      <c r="Z28" s="61" t="s">
        <v>263</v>
      </c>
      <c r="AA28" s="61" t="s">
        <v>270</v>
      </c>
      <c r="AB28" s="62"/>
      <c r="AC28" s="27"/>
      <c r="AD28" s="61"/>
      <c r="AE28" s="61"/>
      <c r="AF28" s="62"/>
      <c r="AG28" s="63"/>
      <c r="BD28" s="39" t="s">
        <v>63</v>
      </c>
      <c r="BJ28" s="55">
        <v>45754</v>
      </c>
      <c r="BK28" t="s">
        <v>6</v>
      </c>
      <c r="BL28">
        <v>11077</v>
      </c>
      <c r="BM28">
        <v>8.670693</v>
      </c>
      <c r="BN28">
        <v>91826</v>
      </c>
      <c r="BO28">
        <v>9.4424999999999995E-2</v>
      </c>
    </row>
    <row r="29" spans="1:67">
      <c r="A29" s="55">
        <v>45755</v>
      </c>
      <c r="B29" t="s">
        <v>6</v>
      </c>
      <c r="C29">
        <v>11075</v>
      </c>
      <c r="D29">
        <v>75</v>
      </c>
      <c r="E29">
        <v>75</v>
      </c>
      <c r="F29">
        <v>20</v>
      </c>
      <c r="G29" s="57">
        <v>110.234167093365</v>
      </c>
      <c r="S29" s="3" t="s">
        <v>272</v>
      </c>
      <c r="T29" t="s">
        <v>263</v>
      </c>
      <c r="Y29" s="60"/>
      <c r="Z29" s="61"/>
      <c r="AA29" s="61"/>
      <c r="AB29" s="62"/>
      <c r="AC29" s="27"/>
      <c r="AD29" s="61"/>
      <c r="AE29" s="61"/>
      <c r="AF29" s="62"/>
      <c r="AG29" s="63"/>
      <c r="BD29" s="43" t="s">
        <v>187</v>
      </c>
      <c r="BJ29" s="55">
        <v>45754</v>
      </c>
      <c r="BK29" t="s">
        <v>7</v>
      </c>
      <c r="BL29">
        <v>11073</v>
      </c>
      <c r="BM29">
        <v>29.847252999999998</v>
      </c>
      <c r="BN29">
        <v>67603</v>
      </c>
      <c r="BO29">
        <v>0.44150800000000001</v>
      </c>
    </row>
    <row r="30" spans="1:67">
      <c r="A30" s="55">
        <v>45755</v>
      </c>
      <c r="B30" t="s">
        <v>6</v>
      </c>
      <c r="C30">
        <v>11076</v>
      </c>
      <c r="D30">
        <v>39</v>
      </c>
      <c r="E30">
        <v>39</v>
      </c>
      <c r="F30">
        <v>15</v>
      </c>
      <c r="G30" s="57">
        <v>164.68185773570701</v>
      </c>
      <c r="S30" s="3" t="s">
        <v>1</v>
      </c>
      <c r="T30" t="s">
        <v>6</v>
      </c>
      <c r="Y30" s="60"/>
      <c r="Z30" s="61" t="s">
        <v>10</v>
      </c>
      <c r="AA30" s="61"/>
      <c r="AB30" s="62"/>
      <c r="AC30" s="27"/>
      <c r="AD30" s="61"/>
      <c r="AE30" s="61"/>
      <c r="AF30" s="62"/>
      <c r="AG30" s="63"/>
      <c r="BJ30" s="55">
        <v>45754</v>
      </c>
      <c r="BK30" t="s">
        <v>7</v>
      </c>
      <c r="BL30">
        <v>11072</v>
      </c>
      <c r="BM30">
        <v>59.492297000000001</v>
      </c>
      <c r="BN30">
        <v>163663</v>
      </c>
      <c r="BO30">
        <v>0.36350500000000002</v>
      </c>
    </row>
    <row r="31" spans="1:67">
      <c r="A31" s="55">
        <v>45755</v>
      </c>
      <c r="B31" t="s">
        <v>6</v>
      </c>
      <c r="C31">
        <v>11077</v>
      </c>
      <c r="D31">
        <v>56</v>
      </c>
      <c r="E31">
        <v>56</v>
      </c>
      <c r="F31">
        <v>24</v>
      </c>
      <c r="G31" s="57">
        <v>227.79034933360401</v>
      </c>
      <c r="Y31" s="64"/>
      <c r="Z31" s="65" t="s">
        <v>17</v>
      </c>
      <c r="AA31" s="65"/>
      <c r="AB31" s="66" t="s">
        <v>16</v>
      </c>
      <c r="AC31" s="30"/>
      <c r="AD31" s="67" t="s">
        <v>17</v>
      </c>
      <c r="AE31" s="68"/>
      <c r="AF31" s="69" t="s">
        <v>16</v>
      </c>
      <c r="AG31" s="70"/>
      <c r="BD31" s="39" t="s">
        <v>51</v>
      </c>
      <c r="BJ31" s="55">
        <v>45754</v>
      </c>
      <c r="BK31" t="s">
        <v>7</v>
      </c>
      <c r="BL31">
        <v>11074</v>
      </c>
      <c r="BM31">
        <v>56.898380000000003</v>
      </c>
      <c r="BN31">
        <v>135782</v>
      </c>
      <c r="BO31">
        <v>0.41904200000000003</v>
      </c>
    </row>
    <row r="32" spans="1:67">
      <c r="A32" s="55">
        <v>45755</v>
      </c>
      <c r="B32" t="s">
        <v>7</v>
      </c>
      <c r="C32">
        <v>11072</v>
      </c>
      <c r="D32">
        <v>537</v>
      </c>
      <c r="E32">
        <v>536</v>
      </c>
      <c r="F32">
        <v>148</v>
      </c>
      <c r="G32" s="57">
        <v>5564.73692304207</v>
      </c>
      <c r="S32" s="3" t="s">
        <v>8</v>
      </c>
      <c r="T32" t="s">
        <v>291</v>
      </c>
      <c r="Y32" t="s">
        <v>8</v>
      </c>
      <c r="Z32" t="s">
        <v>11</v>
      </c>
      <c r="AA32" t="s">
        <v>14</v>
      </c>
      <c r="AB32" t="s">
        <v>11</v>
      </c>
      <c r="AC32" t="s">
        <v>14</v>
      </c>
      <c r="AD32" s="59" t="s">
        <v>11</v>
      </c>
      <c r="AE32" s="26" t="s">
        <v>14</v>
      </c>
      <c r="AF32" s="26" t="s">
        <v>11</v>
      </c>
      <c r="AG32" s="28" t="s">
        <v>14</v>
      </c>
      <c r="BD32" s="42" t="s">
        <v>292</v>
      </c>
      <c r="BJ32" s="55">
        <v>45755</v>
      </c>
      <c r="BK32" t="s">
        <v>6</v>
      </c>
      <c r="BL32">
        <v>11076</v>
      </c>
      <c r="BM32">
        <v>8.5252370000000006</v>
      </c>
      <c r="BN32">
        <v>51077</v>
      </c>
      <c r="BO32">
        <v>0.16691</v>
      </c>
    </row>
    <row r="33" spans="1:67">
      <c r="A33" s="55">
        <v>45755</v>
      </c>
      <c r="B33" t="s">
        <v>7</v>
      </c>
      <c r="C33">
        <v>11073</v>
      </c>
      <c r="D33">
        <v>509</v>
      </c>
      <c r="E33">
        <v>508</v>
      </c>
      <c r="F33">
        <v>146</v>
      </c>
      <c r="G33" s="57">
        <v>5494.4908211243301</v>
      </c>
      <c r="S33" s="4">
        <v>11075</v>
      </c>
      <c r="T33" s="8">
        <v>19.269356285714284</v>
      </c>
      <c r="V33" s="8">
        <v>19.269356285714284</v>
      </c>
      <c r="Y33">
        <v>11075</v>
      </c>
      <c r="Z33">
        <v>40442</v>
      </c>
      <c r="AA33">
        <v>5290</v>
      </c>
      <c r="AB33">
        <v>30050</v>
      </c>
      <c r="AC33">
        <v>8246</v>
      </c>
      <c r="AD33" s="71">
        <f>Z33/13</f>
        <v>3110.9230769230771</v>
      </c>
      <c r="AE33" s="61">
        <f t="shared" ref="AE33:AG33" si="0">AA33/13</f>
        <v>406.92307692307691</v>
      </c>
      <c r="AF33" s="61">
        <f t="shared" si="0"/>
        <v>2311.5384615384614</v>
      </c>
      <c r="AG33" s="72">
        <f t="shared" si="0"/>
        <v>634.30769230769226</v>
      </c>
      <c r="BD33" s="40" t="s">
        <v>287</v>
      </c>
      <c r="BJ33" s="55">
        <v>45755</v>
      </c>
      <c r="BK33" t="s">
        <v>6</v>
      </c>
      <c r="BL33">
        <v>11077</v>
      </c>
      <c r="BM33">
        <v>14.377385</v>
      </c>
      <c r="BN33">
        <v>119527</v>
      </c>
      <c r="BO33">
        <v>0.120286</v>
      </c>
    </row>
    <row r="34" spans="1:67">
      <c r="A34" s="55">
        <v>45755</v>
      </c>
      <c r="B34" t="s">
        <v>7</v>
      </c>
      <c r="C34">
        <v>11074</v>
      </c>
      <c r="D34">
        <v>540</v>
      </c>
      <c r="E34">
        <v>536</v>
      </c>
      <c r="F34">
        <v>139</v>
      </c>
      <c r="G34" s="57">
        <v>6746.9357066496204</v>
      </c>
      <c r="S34" s="4">
        <v>11076</v>
      </c>
      <c r="T34" s="8">
        <v>11.118205000000001</v>
      </c>
      <c r="V34" s="8">
        <v>11.118205000000001</v>
      </c>
      <c r="W34" s="52">
        <f>V34-V33</f>
        <v>-8.1511512857142829</v>
      </c>
      <c r="Y34">
        <v>11076</v>
      </c>
      <c r="Z34">
        <v>40001</v>
      </c>
      <c r="AA34">
        <v>6311</v>
      </c>
      <c r="AB34">
        <v>33902</v>
      </c>
      <c r="AC34">
        <v>9398</v>
      </c>
      <c r="AD34" s="71">
        <f>Z34/13</f>
        <v>3077</v>
      </c>
      <c r="AE34" s="61">
        <f t="shared" ref="AE34:AE35" si="1">AA34/13</f>
        <v>485.46153846153845</v>
      </c>
      <c r="AF34" s="61">
        <f t="shared" ref="AF34:AF35" si="2">AB34/13</f>
        <v>2607.8461538461538</v>
      </c>
      <c r="AG34" s="72">
        <f t="shared" ref="AG34:AG35" si="3">AC34/13</f>
        <v>722.92307692307691</v>
      </c>
      <c r="BD34" s="40" t="s">
        <v>277</v>
      </c>
      <c r="BJ34" s="55">
        <v>45755</v>
      </c>
      <c r="BK34" t="s">
        <v>6</v>
      </c>
      <c r="BL34">
        <v>11075</v>
      </c>
      <c r="BM34">
        <v>15.134511</v>
      </c>
      <c r="BN34">
        <v>151476</v>
      </c>
      <c r="BO34">
        <v>9.9914000000000003E-2</v>
      </c>
    </row>
    <row r="35" spans="1:67">
      <c r="A35" s="55">
        <v>45756</v>
      </c>
      <c r="B35" t="s">
        <v>6</v>
      </c>
      <c r="C35">
        <v>11075</v>
      </c>
      <c r="D35">
        <v>81</v>
      </c>
      <c r="E35">
        <v>81</v>
      </c>
      <c r="F35">
        <v>31</v>
      </c>
      <c r="G35" s="57">
        <v>282.75884373047103</v>
      </c>
      <c r="S35" s="4">
        <v>11077</v>
      </c>
      <c r="T35" s="8">
        <v>16.267461142857144</v>
      </c>
      <c r="V35" s="8">
        <v>16.267461142857144</v>
      </c>
      <c r="W35" s="52">
        <f>V35-V33</f>
        <v>-3.0018951428571405</v>
      </c>
      <c r="Y35">
        <v>11077</v>
      </c>
      <c r="Z35">
        <v>40000</v>
      </c>
      <c r="AA35">
        <v>5940</v>
      </c>
      <c r="AB35">
        <v>32048</v>
      </c>
      <c r="AC35">
        <v>8721</v>
      </c>
      <c r="AD35" s="73">
        <f>Z35/13</f>
        <v>3076.9230769230771</v>
      </c>
      <c r="AE35" s="65">
        <f t="shared" si="1"/>
        <v>456.92307692307691</v>
      </c>
      <c r="AF35" s="65">
        <f t="shared" si="2"/>
        <v>2465.2307692307691</v>
      </c>
      <c r="AG35" s="74">
        <f t="shared" si="3"/>
        <v>670.84615384615381</v>
      </c>
      <c r="BD35" s="40" t="s">
        <v>288</v>
      </c>
      <c r="BJ35" s="55">
        <v>45755</v>
      </c>
      <c r="BK35" t="s">
        <v>7</v>
      </c>
      <c r="BL35">
        <v>11072</v>
      </c>
      <c r="BM35">
        <v>56.700442000000002</v>
      </c>
      <c r="BN35">
        <v>141496</v>
      </c>
      <c r="BO35">
        <v>0.40072099999999999</v>
      </c>
    </row>
    <row r="36" spans="1:67">
      <c r="A36" s="55">
        <v>45756</v>
      </c>
      <c r="B36" t="s">
        <v>6</v>
      </c>
      <c r="C36">
        <v>11076</v>
      </c>
      <c r="D36">
        <v>40</v>
      </c>
      <c r="E36">
        <v>40</v>
      </c>
      <c r="F36">
        <v>18</v>
      </c>
      <c r="G36" s="57">
        <v>287.88199111435898</v>
      </c>
      <c r="S36" s="4" t="s">
        <v>9</v>
      </c>
      <c r="T36" s="8">
        <v>15.551674142857141</v>
      </c>
      <c r="AD36" s="53">
        <f>AVERAGE(AD33:AD35)</f>
        <v>3088.2820512820513</v>
      </c>
      <c r="AF36" s="53">
        <f>AVERAGE(AF33:AF35)</f>
        <v>2461.5384615384614</v>
      </c>
      <c r="BD36" s="39" t="s">
        <v>133</v>
      </c>
      <c r="BJ36" s="55">
        <v>45755</v>
      </c>
      <c r="BK36" t="s">
        <v>7</v>
      </c>
      <c r="BL36">
        <v>11073</v>
      </c>
      <c r="BM36">
        <v>29.900027999999999</v>
      </c>
      <c r="BN36">
        <v>57513</v>
      </c>
      <c r="BO36">
        <v>0.51988299999999998</v>
      </c>
    </row>
    <row r="37" spans="1:67">
      <c r="A37" s="55">
        <v>45756</v>
      </c>
      <c r="B37" t="s">
        <v>6</v>
      </c>
      <c r="C37">
        <v>11077</v>
      </c>
      <c r="D37">
        <v>67</v>
      </c>
      <c r="E37">
        <v>67</v>
      </c>
      <c r="F37">
        <v>23</v>
      </c>
      <c r="G37" s="57">
        <v>223.453299012006</v>
      </c>
      <c r="AD37" t="s">
        <v>265</v>
      </c>
      <c r="AE37" s="52">
        <f>AE33/AD33*AD$36</f>
        <v>403.96152641516363</v>
      </c>
      <c r="AF37" s="81"/>
      <c r="AG37" s="52">
        <f>AG33/AF33*AF$36</f>
        <v>675.46908997824141</v>
      </c>
      <c r="AH37" s="81"/>
      <c r="BD37" s="42" t="s">
        <v>289</v>
      </c>
      <c r="BJ37" s="55">
        <v>45755</v>
      </c>
      <c r="BK37" t="s">
        <v>7</v>
      </c>
      <c r="BL37">
        <v>11074</v>
      </c>
      <c r="BM37">
        <v>54.906188</v>
      </c>
      <c r="BN37">
        <v>121388</v>
      </c>
      <c r="BO37">
        <v>0.45232</v>
      </c>
    </row>
    <row r="38" spans="1:67">
      <c r="A38" s="55">
        <v>45756</v>
      </c>
      <c r="B38" t="s">
        <v>7</v>
      </c>
      <c r="C38">
        <v>11072</v>
      </c>
      <c r="D38">
        <v>532</v>
      </c>
      <c r="E38">
        <v>530</v>
      </c>
      <c r="F38">
        <v>154</v>
      </c>
      <c r="G38" s="57">
        <v>5543.8783710792104</v>
      </c>
      <c r="Y38" t="s">
        <v>1</v>
      </c>
      <c r="Z38" t="s">
        <v>7</v>
      </c>
      <c r="AD38" t="s">
        <v>266</v>
      </c>
      <c r="AE38" s="52">
        <f>AE34/AD34*AD$36</f>
        <v>487.24151960303561</v>
      </c>
      <c r="AF38" s="80">
        <f>AE38-AE37</f>
        <v>83.27999318787198</v>
      </c>
      <c r="AG38" s="52">
        <f>AG34/AF34*AF$36</f>
        <v>682.36500682964015</v>
      </c>
      <c r="AH38" s="80">
        <f>AG38-AG37</f>
        <v>6.8959168513987379</v>
      </c>
      <c r="BD38" s="39" t="s">
        <v>290</v>
      </c>
      <c r="BJ38" s="55">
        <v>45756</v>
      </c>
      <c r="BK38" t="s">
        <v>6</v>
      </c>
      <c r="BL38">
        <v>11077</v>
      </c>
      <c r="BM38">
        <v>15.914393</v>
      </c>
      <c r="BN38">
        <v>112600</v>
      </c>
      <c r="BO38">
        <v>0.14133599999999999</v>
      </c>
    </row>
    <row r="39" spans="1:67">
      <c r="A39" s="55">
        <v>45756</v>
      </c>
      <c r="B39" t="s">
        <v>7</v>
      </c>
      <c r="C39">
        <v>11073</v>
      </c>
      <c r="D39">
        <v>474</v>
      </c>
      <c r="E39">
        <v>472</v>
      </c>
      <c r="F39">
        <v>129</v>
      </c>
      <c r="G39" s="57">
        <v>5823.4315365221901</v>
      </c>
      <c r="Y39" s="4" t="s">
        <v>15</v>
      </c>
      <c r="Z39" s="57" t="s">
        <v>263</v>
      </c>
      <c r="AA39" s="57"/>
      <c r="AB39" s="52"/>
      <c r="AC39" s="15"/>
      <c r="AD39" s="57" t="s">
        <v>267</v>
      </c>
      <c r="AE39" s="52">
        <f>AE35/AD35*AD$36</f>
        <v>458.6098846153846</v>
      </c>
      <c r="AF39" s="80">
        <f>AE39-AE37</f>
        <v>54.648358200220969</v>
      </c>
      <c r="AG39" s="52">
        <f>AG35/AF35*AF$36</f>
        <v>669.84139175851612</v>
      </c>
      <c r="AH39" s="80">
        <f>AG39-AG37</f>
        <v>-5.6276982197252892</v>
      </c>
      <c r="BD39" s="39" t="s">
        <v>165</v>
      </c>
      <c r="BJ39" s="55">
        <v>45756</v>
      </c>
      <c r="BK39" t="s">
        <v>6</v>
      </c>
      <c r="BL39">
        <v>11075</v>
      </c>
      <c r="BM39">
        <v>18.852551999999999</v>
      </c>
      <c r="BN39">
        <v>149156</v>
      </c>
      <c r="BO39">
        <v>0.12639500000000001</v>
      </c>
    </row>
    <row r="40" spans="1:67">
      <c r="A40" s="55">
        <v>45756</v>
      </c>
      <c r="B40" t="s">
        <v>7</v>
      </c>
      <c r="C40">
        <v>11074</v>
      </c>
      <c r="D40">
        <v>513</v>
      </c>
      <c r="E40">
        <v>511</v>
      </c>
      <c r="F40">
        <v>127</v>
      </c>
      <c r="G40" s="57">
        <v>5395.9849312578899</v>
      </c>
      <c r="Y40" s="4"/>
      <c r="Z40" s="57"/>
      <c r="AA40" s="57"/>
      <c r="AB40" s="52"/>
      <c r="AC40" s="15"/>
      <c r="AD40" s="57"/>
      <c r="AE40" s="57"/>
      <c r="AF40" s="52"/>
      <c r="AG40" s="15"/>
      <c r="BD40" s="39" t="s">
        <v>101</v>
      </c>
      <c r="BJ40" s="55">
        <v>45756</v>
      </c>
      <c r="BK40" t="s">
        <v>6</v>
      </c>
      <c r="BL40">
        <v>11076</v>
      </c>
      <c r="BM40">
        <v>9.7037969999999998</v>
      </c>
      <c r="BN40">
        <v>55427</v>
      </c>
      <c r="BO40">
        <v>0.17507300000000001</v>
      </c>
    </row>
    <row r="41" spans="1:67">
      <c r="A41" s="55">
        <v>45757</v>
      </c>
      <c r="B41" t="s">
        <v>6</v>
      </c>
      <c r="C41">
        <v>11075</v>
      </c>
      <c r="D41">
        <v>79</v>
      </c>
      <c r="E41">
        <v>79</v>
      </c>
      <c r="F41">
        <v>27</v>
      </c>
      <c r="G41" s="57">
        <v>280.24640048558302</v>
      </c>
      <c r="Y41" s="4"/>
      <c r="Z41" s="57" t="s">
        <v>10</v>
      </c>
      <c r="AA41" s="57"/>
      <c r="AB41" s="52"/>
      <c r="AC41" s="15"/>
      <c r="AD41" s="57"/>
      <c r="AE41" s="57"/>
      <c r="AF41" s="52"/>
      <c r="AG41" s="15"/>
      <c r="BJ41" s="55">
        <v>45756</v>
      </c>
      <c r="BK41" t="s">
        <v>7</v>
      </c>
      <c r="BL41">
        <v>11073</v>
      </c>
      <c r="BM41">
        <v>31.351858</v>
      </c>
      <c r="BN41">
        <v>59646</v>
      </c>
      <c r="BO41">
        <v>0.52563199999999999</v>
      </c>
    </row>
    <row r="42" spans="1:67">
      <c r="A42" s="55">
        <v>45757</v>
      </c>
      <c r="B42" t="s">
        <v>6</v>
      </c>
      <c r="C42">
        <v>11076</v>
      </c>
      <c r="D42">
        <v>55</v>
      </c>
      <c r="E42">
        <v>55</v>
      </c>
      <c r="F42">
        <v>28</v>
      </c>
      <c r="G42" s="57">
        <v>217.894991670509</v>
      </c>
      <c r="Z42" s="9" t="s">
        <v>17</v>
      </c>
      <c r="AA42" s="9"/>
      <c r="AB42" s="57" t="s">
        <v>16</v>
      </c>
      <c r="AC42" s="57"/>
      <c r="AD42" s="67" t="s">
        <v>17</v>
      </c>
      <c r="AE42" s="68"/>
      <c r="AF42" s="69" t="s">
        <v>16</v>
      </c>
      <c r="AG42" s="70"/>
      <c r="BJ42" s="55">
        <v>45756</v>
      </c>
      <c r="BK42" t="s">
        <v>7</v>
      </c>
      <c r="BL42">
        <v>11074</v>
      </c>
      <c r="BM42">
        <v>50.421228999999997</v>
      </c>
      <c r="BN42">
        <v>109441</v>
      </c>
      <c r="BO42">
        <v>0.46071600000000001</v>
      </c>
    </row>
    <row r="43" spans="1:67">
      <c r="A43" s="55">
        <v>45757</v>
      </c>
      <c r="B43" t="s">
        <v>6</v>
      </c>
      <c r="C43">
        <v>11077</v>
      </c>
      <c r="D43">
        <v>58</v>
      </c>
      <c r="E43">
        <v>58</v>
      </c>
      <c r="F43">
        <v>20</v>
      </c>
      <c r="G43" s="57">
        <v>147.989834644517</v>
      </c>
      <c r="Y43" t="s">
        <v>8</v>
      </c>
      <c r="Z43" t="s">
        <v>11</v>
      </c>
      <c r="AA43" t="s">
        <v>14</v>
      </c>
      <c r="AB43" t="s">
        <v>11</v>
      </c>
      <c r="AC43" t="s">
        <v>14</v>
      </c>
      <c r="BJ43" s="55">
        <v>45756</v>
      </c>
      <c r="BK43" t="s">
        <v>7</v>
      </c>
      <c r="BL43">
        <v>11072</v>
      </c>
      <c r="BM43">
        <v>57.322868999999997</v>
      </c>
      <c r="BN43">
        <v>128431</v>
      </c>
      <c r="BO43">
        <v>0.44633200000000001</v>
      </c>
    </row>
    <row r="44" spans="1:67">
      <c r="A44" s="55">
        <v>45757</v>
      </c>
      <c r="B44" t="s">
        <v>7</v>
      </c>
      <c r="C44">
        <v>11072</v>
      </c>
      <c r="D44">
        <v>572</v>
      </c>
      <c r="E44">
        <v>569</v>
      </c>
      <c r="F44">
        <v>164</v>
      </c>
      <c r="G44" s="57">
        <v>5956.4291177872201</v>
      </c>
      <c r="Y44">
        <v>11072</v>
      </c>
      <c r="Z44">
        <v>40008</v>
      </c>
      <c r="AA44">
        <v>6223</v>
      </c>
      <c r="AB44">
        <v>105977</v>
      </c>
      <c r="AC44">
        <v>25597</v>
      </c>
      <c r="AD44" s="57">
        <f>Z44/16</f>
        <v>2500.5</v>
      </c>
      <c r="AE44" s="57">
        <f t="shared" ref="AE44:AG44" si="4">AA44/16</f>
        <v>388.9375</v>
      </c>
      <c r="AF44" s="57">
        <f t="shared" si="4"/>
        <v>6623.5625</v>
      </c>
      <c r="AG44" s="57">
        <f t="shared" si="4"/>
        <v>1599.8125</v>
      </c>
      <c r="BJ44" s="55">
        <v>45757</v>
      </c>
      <c r="BK44" t="s">
        <v>6</v>
      </c>
      <c r="BL44">
        <v>11076</v>
      </c>
      <c r="BM44">
        <v>11.32324</v>
      </c>
      <c r="BN44">
        <v>63558</v>
      </c>
      <c r="BO44">
        <v>0.17815600000000001</v>
      </c>
    </row>
    <row r="45" spans="1:67">
      <c r="A45" s="55">
        <v>45757</v>
      </c>
      <c r="B45" t="s">
        <v>7</v>
      </c>
      <c r="C45">
        <v>11073</v>
      </c>
      <c r="D45">
        <v>455</v>
      </c>
      <c r="E45">
        <v>452</v>
      </c>
      <c r="F45">
        <v>140</v>
      </c>
      <c r="G45" s="57">
        <v>5133.6552586007901</v>
      </c>
      <c r="Y45">
        <v>11073</v>
      </c>
      <c r="Z45">
        <v>40686</v>
      </c>
      <c r="AA45">
        <v>7603</v>
      </c>
      <c r="AB45">
        <v>113219</v>
      </c>
      <c r="AC45">
        <v>27920</v>
      </c>
      <c r="AD45" s="57">
        <f t="shared" ref="AD45:AD46" si="5">Z45/16</f>
        <v>2542.875</v>
      </c>
      <c r="AE45" s="57">
        <f t="shared" ref="AE45:AE46" si="6">AA45/16</f>
        <v>475.1875</v>
      </c>
      <c r="AF45" s="57">
        <f t="shared" ref="AF45:AF46" si="7">AB45/16</f>
        <v>7076.1875</v>
      </c>
      <c r="AG45" s="57">
        <f t="shared" ref="AG45:AG46" si="8">AC45/16</f>
        <v>1745</v>
      </c>
      <c r="BJ45" s="55">
        <v>45757</v>
      </c>
      <c r="BK45" t="s">
        <v>6</v>
      </c>
      <c r="BL45">
        <v>11077</v>
      </c>
      <c r="BM45">
        <v>17.495497</v>
      </c>
      <c r="BN45">
        <v>126924</v>
      </c>
      <c r="BO45">
        <v>0.13784199999999999</v>
      </c>
    </row>
    <row r="46" spans="1:67">
      <c r="A46" s="55">
        <v>45757</v>
      </c>
      <c r="B46" t="s">
        <v>7</v>
      </c>
      <c r="C46">
        <v>11074</v>
      </c>
      <c r="D46">
        <v>491</v>
      </c>
      <c r="E46">
        <v>490</v>
      </c>
      <c r="F46">
        <v>148</v>
      </c>
      <c r="G46" s="57">
        <v>5287.2656696101003</v>
      </c>
      <c r="Y46">
        <v>11074</v>
      </c>
      <c r="Z46">
        <v>40087</v>
      </c>
      <c r="AA46">
        <v>7098</v>
      </c>
      <c r="AB46">
        <v>110303</v>
      </c>
      <c r="AC46">
        <v>26715</v>
      </c>
      <c r="AD46" s="57">
        <f t="shared" si="5"/>
        <v>2505.4375</v>
      </c>
      <c r="AE46" s="57">
        <f t="shared" si="6"/>
        <v>443.625</v>
      </c>
      <c r="AF46" s="57">
        <f t="shared" si="7"/>
        <v>6893.9375</v>
      </c>
      <c r="AG46" s="57">
        <f t="shared" si="8"/>
        <v>1669.6875</v>
      </c>
      <c r="BJ46" s="55">
        <v>45757</v>
      </c>
      <c r="BK46" t="s">
        <v>6</v>
      </c>
      <c r="BL46">
        <v>11075</v>
      </c>
      <c r="BM46">
        <v>18.793115</v>
      </c>
      <c r="BN46">
        <v>163014</v>
      </c>
      <c r="BO46">
        <v>0.115285</v>
      </c>
    </row>
    <row r="47" spans="1:67">
      <c r="A47" s="55">
        <v>45758</v>
      </c>
      <c r="B47" t="s">
        <v>6</v>
      </c>
      <c r="C47">
        <v>11075</v>
      </c>
      <c r="D47">
        <v>93</v>
      </c>
      <c r="E47">
        <v>93</v>
      </c>
      <c r="F47">
        <v>33</v>
      </c>
      <c r="G47" s="57">
        <v>306.90208949793401</v>
      </c>
      <c r="AD47" s="53">
        <f>AVERAGE(AD44:AD46)</f>
        <v>2516.2708333333335</v>
      </c>
      <c r="AF47" s="53">
        <f>AVERAGE(AF44:AF46)</f>
        <v>6864.5625</v>
      </c>
      <c r="BJ47" s="55">
        <v>45757</v>
      </c>
      <c r="BK47" t="s">
        <v>7</v>
      </c>
      <c r="BL47">
        <v>11074</v>
      </c>
      <c r="BM47">
        <v>53.622701999999997</v>
      </c>
      <c r="BN47">
        <v>120518</v>
      </c>
      <c r="BO47">
        <v>0.44493500000000002</v>
      </c>
    </row>
    <row r="48" spans="1:67">
      <c r="A48" s="55">
        <v>45758</v>
      </c>
      <c r="B48" t="s">
        <v>6</v>
      </c>
      <c r="C48">
        <v>11076</v>
      </c>
      <c r="D48">
        <v>48</v>
      </c>
      <c r="E48">
        <v>48</v>
      </c>
      <c r="F48">
        <v>25</v>
      </c>
      <c r="G48" s="57">
        <v>309.51074641268099</v>
      </c>
      <c r="AD48" t="s">
        <v>265</v>
      </c>
      <c r="AE48" s="52">
        <f>AE44/AD44*AD$47</f>
        <v>391.39055678447647</v>
      </c>
      <c r="AF48" t="s">
        <v>354</v>
      </c>
      <c r="AG48" s="52">
        <f>AG44/AF44*AF$47</f>
        <v>1658.0220832114514</v>
      </c>
      <c r="AH48" s="81" t="s">
        <v>355</v>
      </c>
      <c r="BJ48" s="55">
        <v>45757</v>
      </c>
      <c r="BK48" t="s">
        <v>7</v>
      </c>
      <c r="BL48">
        <v>11072</v>
      </c>
      <c r="BM48">
        <v>56.689926999999997</v>
      </c>
      <c r="BN48">
        <v>140018</v>
      </c>
      <c r="BO48">
        <v>0.40487600000000001</v>
      </c>
    </row>
    <row r="49" spans="1:67">
      <c r="A49" s="55">
        <v>45758</v>
      </c>
      <c r="B49" t="s">
        <v>6</v>
      </c>
      <c r="C49">
        <v>11077</v>
      </c>
      <c r="D49">
        <v>61</v>
      </c>
      <c r="E49">
        <v>61</v>
      </c>
      <c r="F49">
        <v>26</v>
      </c>
      <c r="G49" s="57">
        <v>255.36086687448699</v>
      </c>
      <c r="AD49" t="s">
        <v>266</v>
      </c>
      <c r="AE49" s="52">
        <f>AE45/AD45*AD$47</f>
        <v>470.21597468007013</v>
      </c>
      <c r="AF49" s="80">
        <f>AE49-AE48</f>
        <v>78.82541789559366</v>
      </c>
      <c r="AG49" s="52">
        <f>AG45/AF45*AF$47</f>
        <v>1692.8129112604777</v>
      </c>
      <c r="AH49" s="80">
        <f>AG49-AG48</f>
        <v>34.790828049026231</v>
      </c>
      <c r="BJ49" s="55">
        <v>45757</v>
      </c>
      <c r="BK49" t="s">
        <v>7</v>
      </c>
      <c r="BL49">
        <v>11073</v>
      </c>
      <c r="BM49">
        <v>33.670321999999999</v>
      </c>
      <c r="BN49">
        <v>62709</v>
      </c>
      <c r="BO49">
        <v>0.53693000000000002</v>
      </c>
    </row>
    <row r="50" spans="1:67">
      <c r="A50" s="55">
        <v>45758</v>
      </c>
      <c r="B50" t="s">
        <v>7</v>
      </c>
      <c r="C50">
        <v>11072</v>
      </c>
      <c r="D50">
        <v>586</v>
      </c>
      <c r="E50">
        <v>585</v>
      </c>
      <c r="F50">
        <v>181</v>
      </c>
      <c r="G50" s="57">
        <v>6624.5863189740003</v>
      </c>
      <c r="AD50" s="57" t="s">
        <v>267</v>
      </c>
      <c r="AE50" s="52">
        <f>AE46/AD46*AD$47</f>
        <v>445.54320290867366</v>
      </c>
      <c r="AF50" s="80">
        <f>AE50-AE48</f>
        <v>54.15264612419719</v>
      </c>
      <c r="AG50" s="52">
        <f>AG46/AF46*AF$47</f>
        <v>1662.5729779561752</v>
      </c>
      <c r="AH50" s="80">
        <f>AG50-AG48</f>
        <v>4.5508947447237915</v>
      </c>
      <c r="BJ50" s="55">
        <v>45758</v>
      </c>
      <c r="BK50" t="s">
        <v>6</v>
      </c>
      <c r="BL50">
        <v>11077</v>
      </c>
      <c r="BM50">
        <v>17.664477999999999</v>
      </c>
      <c r="BN50">
        <v>122556</v>
      </c>
      <c r="BO50">
        <v>0.14413400000000001</v>
      </c>
    </row>
    <row r="51" spans="1:67">
      <c r="A51" s="55">
        <v>45758</v>
      </c>
      <c r="B51" t="s">
        <v>7</v>
      </c>
      <c r="C51">
        <v>11073</v>
      </c>
      <c r="D51">
        <v>473</v>
      </c>
      <c r="E51">
        <v>469</v>
      </c>
      <c r="F51">
        <v>150</v>
      </c>
      <c r="G51" s="57">
        <v>4847.2784212628203</v>
      </c>
      <c r="AF51" s="80"/>
      <c r="AH51" s="81"/>
      <c r="BJ51" s="55">
        <v>45758</v>
      </c>
      <c r="BK51" t="s">
        <v>6</v>
      </c>
      <c r="BL51">
        <v>11076</v>
      </c>
      <c r="BM51">
        <v>10.815092</v>
      </c>
      <c r="BN51">
        <v>67364</v>
      </c>
      <c r="BO51">
        <v>0.160547</v>
      </c>
    </row>
    <row r="52" spans="1:67">
      <c r="A52" s="55">
        <v>45758</v>
      </c>
      <c r="B52" t="s">
        <v>7</v>
      </c>
      <c r="C52">
        <v>11074</v>
      </c>
      <c r="D52">
        <v>528</v>
      </c>
      <c r="E52">
        <v>524</v>
      </c>
      <c r="F52">
        <v>157</v>
      </c>
      <c r="G52" s="57">
        <v>5344.1023805372797</v>
      </c>
      <c r="BJ52" s="55">
        <v>45758</v>
      </c>
      <c r="BK52" t="s">
        <v>6</v>
      </c>
      <c r="BL52">
        <v>11075</v>
      </c>
      <c r="BM52">
        <v>19.810310999999999</v>
      </c>
      <c r="BN52">
        <v>156186</v>
      </c>
      <c r="BO52">
        <v>0.12683800000000001</v>
      </c>
    </row>
    <row r="53" spans="1:67">
      <c r="A53" s="55">
        <v>45759</v>
      </c>
      <c r="B53" t="s">
        <v>6</v>
      </c>
      <c r="C53">
        <v>11075</v>
      </c>
      <c r="D53">
        <v>85</v>
      </c>
      <c r="E53">
        <v>85</v>
      </c>
      <c r="F53">
        <v>31</v>
      </c>
      <c r="G53" s="57">
        <v>291.03171726972198</v>
      </c>
      <c r="BJ53" s="55">
        <v>45758</v>
      </c>
      <c r="BK53" t="s">
        <v>7</v>
      </c>
      <c r="BL53">
        <v>11072</v>
      </c>
      <c r="BM53">
        <v>64.834207000000006</v>
      </c>
      <c r="BN53">
        <v>148354</v>
      </c>
      <c r="BO53">
        <v>0.43702400000000002</v>
      </c>
    </row>
    <row r="54" spans="1:67">
      <c r="A54" s="55">
        <v>45759</v>
      </c>
      <c r="B54" t="s">
        <v>6</v>
      </c>
      <c r="C54">
        <v>11076</v>
      </c>
      <c r="D54">
        <v>31</v>
      </c>
      <c r="E54">
        <v>31</v>
      </c>
      <c r="F54">
        <v>10</v>
      </c>
      <c r="G54" s="57">
        <v>85.226747517323702</v>
      </c>
      <c r="BJ54" s="55">
        <v>45758</v>
      </c>
      <c r="BK54" t="s">
        <v>7</v>
      </c>
      <c r="BL54">
        <v>11073</v>
      </c>
      <c r="BM54">
        <v>35.647669</v>
      </c>
      <c r="BN54">
        <v>71303</v>
      </c>
      <c r="BO54">
        <v>0.499946</v>
      </c>
    </row>
    <row r="55" spans="1:67">
      <c r="A55" s="55">
        <v>45759</v>
      </c>
      <c r="B55" t="s">
        <v>6</v>
      </c>
      <c r="C55">
        <v>11077</v>
      </c>
      <c r="D55">
        <v>57</v>
      </c>
      <c r="E55">
        <v>57</v>
      </c>
      <c r="F55">
        <v>25</v>
      </c>
      <c r="G55" s="57">
        <v>287.38222093101302</v>
      </c>
      <c r="BJ55" s="55">
        <v>45758</v>
      </c>
      <c r="BK55" t="s">
        <v>7</v>
      </c>
      <c r="BL55">
        <v>11074</v>
      </c>
      <c r="BM55">
        <v>59.683449000000003</v>
      </c>
      <c r="BN55">
        <v>131172</v>
      </c>
      <c r="BO55">
        <v>0.45500099999999999</v>
      </c>
    </row>
    <row r="56" spans="1:67">
      <c r="A56" s="55">
        <v>45759</v>
      </c>
      <c r="B56" t="s">
        <v>7</v>
      </c>
      <c r="C56">
        <v>11072</v>
      </c>
      <c r="D56">
        <v>600</v>
      </c>
      <c r="E56">
        <v>600</v>
      </c>
      <c r="F56">
        <v>207</v>
      </c>
      <c r="G56" s="57">
        <v>6924.6096076488702</v>
      </c>
      <c r="BJ56" s="55">
        <v>45759</v>
      </c>
      <c r="BK56" t="s">
        <v>6</v>
      </c>
      <c r="BL56">
        <v>11076</v>
      </c>
      <c r="BM56">
        <v>12.487258000000001</v>
      </c>
      <c r="BN56">
        <v>69821</v>
      </c>
      <c r="BO56">
        <v>0.17884700000000001</v>
      </c>
    </row>
    <row r="57" spans="1:67">
      <c r="A57" s="55">
        <v>45759</v>
      </c>
      <c r="B57" t="s">
        <v>7</v>
      </c>
      <c r="C57">
        <v>11073</v>
      </c>
      <c r="D57">
        <v>498</v>
      </c>
      <c r="E57">
        <v>498</v>
      </c>
      <c r="F57">
        <v>163</v>
      </c>
      <c r="G57" s="57">
        <v>6118.8818002095904</v>
      </c>
      <c r="BJ57" s="55">
        <v>45759</v>
      </c>
      <c r="BK57" t="s">
        <v>6</v>
      </c>
      <c r="BL57">
        <v>11075</v>
      </c>
      <c r="BM57">
        <v>23.859189000000001</v>
      </c>
      <c r="BN57">
        <v>145929</v>
      </c>
      <c r="BO57">
        <v>0.16349900000000001</v>
      </c>
    </row>
    <row r="58" spans="1:67">
      <c r="A58" s="55">
        <v>45759</v>
      </c>
      <c r="B58" t="s">
        <v>7</v>
      </c>
      <c r="C58">
        <v>11074</v>
      </c>
      <c r="D58">
        <v>480</v>
      </c>
      <c r="E58">
        <v>476</v>
      </c>
      <c r="F58">
        <v>141</v>
      </c>
      <c r="G58" s="57">
        <v>4864.4047058855904</v>
      </c>
      <c r="BJ58" s="55">
        <v>45759</v>
      </c>
      <c r="BK58" t="s">
        <v>6</v>
      </c>
      <c r="BL58">
        <v>11077</v>
      </c>
      <c r="BM58">
        <v>18.370998</v>
      </c>
      <c r="BN58">
        <v>121041</v>
      </c>
      <c r="BO58">
        <v>0.15177499999999999</v>
      </c>
    </row>
    <row r="59" spans="1:67">
      <c r="A59" s="55">
        <v>45760</v>
      </c>
      <c r="B59" t="s">
        <v>6</v>
      </c>
      <c r="C59">
        <v>11075</v>
      </c>
      <c r="D59">
        <v>113</v>
      </c>
      <c r="E59">
        <v>113</v>
      </c>
      <c r="F59">
        <v>37</v>
      </c>
      <c r="G59" s="57">
        <v>398.36308891603301</v>
      </c>
      <c r="BJ59" s="55">
        <v>45759</v>
      </c>
      <c r="BK59" t="s">
        <v>7</v>
      </c>
      <c r="BL59">
        <v>11073</v>
      </c>
      <c r="BM59">
        <v>44.299148000000002</v>
      </c>
      <c r="BN59">
        <v>81910</v>
      </c>
      <c r="BO59">
        <v>0.54082699999999995</v>
      </c>
    </row>
    <row r="60" spans="1:67">
      <c r="A60" s="55">
        <v>45760</v>
      </c>
      <c r="B60" t="s">
        <v>6</v>
      </c>
      <c r="C60">
        <v>11076</v>
      </c>
      <c r="D60">
        <v>49</v>
      </c>
      <c r="E60">
        <v>49</v>
      </c>
      <c r="F60">
        <v>25</v>
      </c>
      <c r="G60" s="57">
        <v>272.26048554516001</v>
      </c>
      <c r="BJ60" s="55">
        <v>45759</v>
      </c>
      <c r="BK60" t="s">
        <v>7</v>
      </c>
      <c r="BL60">
        <v>11074</v>
      </c>
      <c r="BM60">
        <v>68.682693</v>
      </c>
      <c r="BN60">
        <v>145194</v>
      </c>
      <c r="BO60">
        <v>0.47304099999999999</v>
      </c>
    </row>
    <row r="61" spans="1:67">
      <c r="A61" s="55">
        <v>45760</v>
      </c>
      <c r="B61" t="s">
        <v>6</v>
      </c>
      <c r="C61">
        <v>11077</v>
      </c>
      <c r="D61">
        <v>74</v>
      </c>
      <c r="E61">
        <v>74</v>
      </c>
      <c r="F61">
        <v>32</v>
      </c>
      <c r="G61" s="57">
        <v>353.95759204335297</v>
      </c>
      <c r="BJ61" s="55">
        <v>45759</v>
      </c>
      <c r="BK61" t="s">
        <v>7</v>
      </c>
      <c r="BL61">
        <v>11072</v>
      </c>
      <c r="BM61">
        <v>78.489936999999998</v>
      </c>
      <c r="BN61">
        <v>169196</v>
      </c>
      <c r="BO61">
        <v>0.46389900000000001</v>
      </c>
    </row>
    <row r="62" spans="1:67">
      <c r="A62" s="55">
        <v>45760</v>
      </c>
      <c r="B62" t="s">
        <v>7</v>
      </c>
      <c r="C62">
        <v>11072</v>
      </c>
      <c r="D62">
        <v>870</v>
      </c>
      <c r="E62">
        <v>869</v>
      </c>
      <c r="F62">
        <v>286</v>
      </c>
      <c r="G62" s="57">
        <v>9225.9104886765708</v>
      </c>
      <c r="BJ62" s="55">
        <v>45760</v>
      </c>
      <c r="BK62" t="s">
        <v>6</v>
      </c>
      <c r="BL62">
        <v>11077</v>
      </c>
      <c r="BM62">
        <v>21.378784</v>
      </c>
      <c r="BN62">
        <v>151280</v>
      </c>
      <c r="BO62">
        <v>0.141319</v>
      </c>
    </row>
    <row r="63" spans="1:67">
      <c r="A63" s="55">
        <v>45760</v>
      </c>
      <c r="B63" t="s">
        <v>7</v>
      </c>
      <c r="C63">
        <v>11073</v>
      </c>
      <c r="D63">
        <v>712</v>
      </c>
      <c r="E63">
        <v>708</v>
      </c>
      <c r="F63">
        <v>218</v>
      </c>
      <c r="G63" s="57">
        <v>7451.6486328445599</v>
      </c>
      <c r="BJ63" s="55">
        <v>45760</v>
      </c>
      <c r="BK63" t="s">
        <v>6</v>
      </c>
      <c r="BL63">
        <v>11076</v>
      </c>
      <c r="BM63">
        <v>17.486823000000001</v>
      </c>
      <c r="BN63">
        <v>82445</v>
      </c>
      <c r="BO63">
        <v>0.21210300000000001</v>
      </c>
    </row>
    <row r="64" spans="1:67">
      <c r="A64" s="55">
        <v>45760</v>
      </c>
      <c r="B64" t="s">
        <v>7</v>
      </c>
      <c r="C64">
        <v>11074</v>
      </c>
      <c r="D64">
        <v>754</v>
      </c>
      <c r="E64">
        <v>751</v>
      </c>
      <c r="F64">
        <v>238</v>
      </c>
      <c r="G64" s="57">
        <v>9038.3203834084306</v>
      </c>
      <c r="BJ64" s="55">
        <v>45760</v>
      </c>
      <c r="BK64" t="s">
        <v>6</v>
      </c>
      <c r="BL64">
        <v>11075</v>
      </c>
      <c r="BM64">
        <v>26.309021999999999</v>
      </c>
      <c r="BN64">
        <v>182021</v>
      </c>
      <c r="BO64">
        <v>0.144538</v>
      </c>
    </row>
    <row r="65" spans="1:67">
      <c r="A65" s="55">
        <v>45761</v>
      </c>
      <c r="B65" t="s">
        <v>6</v>
      </c>
      <c r="C65">
        <v>11075</v>
      </c>
      <c r="D65">
        <v>90</v>
      </c>
      <c r="E65">
        <v>90</v>
      </c>
      <c r="F65">
        <v>33</v>
      </c>
      <c r="G65" s="57">
        <v>253.85775967057199</v>
      </c>
      <c r="BJ65" s="55">
        <v>45760</v>
      </c>
      <c r="BK65" t="s">
        <v>7</v>
      </c>
      <c r="BL65">
        <v>11072</v>
      </c>
      <c r="BM65">
        <v>97.412998000000002</v>
      </c>
      <c r="BN65">
        <v>223421</v>
      </c>
      <c r="BO65">
        <v>0.436006</v>
      </c>
    </row>
    <row r="66" spans="1:67">
      <c r="A66" s="55">
        <v>45761</v>
      </c>
      <c r="B66" t="s">
        <v>6</v>
      </c>
      <c r="C66">
        <v>11076</v>
      </c>
      <c r="D66">
        <v>61</v>
      </c>
      <c r="E66">
        <v>61</v>
      </c>
      <c r="F66">
        <v>37</v>
      </c>
      <c r="G66" s="57">
        <v>358.81318199422401</v>
      </c>
      <c r="BJ66" s="55">
        <v>45760</v>
      </c>
      <c r="BK66" t="s">
        <v>7</v>
      </c>
      <c r="BL66">
        <v>11074</v>
      </c>
      <c r="BM66">
        <v>96.648793999999995</v>
      </c>
      <c r="BN66">
        <v>200547</v>
      </c>
      <c r="BO66">
        <v>0.48192600000000002</v>
      </c>
    </row>
    <row r="67" spans="1:67">
      <c r="A67" s="55">
        <v>45761</v>
      </c>
      <c r="B67" t="s">
        <v>6</v>
      </c>
      <c r="C67">
        <v>11077</v>
      </c>
      <c r="D67">
        <v>54</v>
      </c>
      <c r="E67">
        <v>54</v>
      </c>
      <c r="F67">
        <v>25</v>
      </c>
      <c r="G67" s="57">
        <v>181.155148949861</v>
      </c>
      <c r="BJ67" s="55">
        <v>45760</v>
      </c>
      <c r="BK67" t="s">
        <v>7</v>
      </c>
      <c r="BL67">
        <v>11073</v>
      </c>
      <c r="BM67">
        <v>54.638368</v>
      </c>
      <c r="BN67">
        <v>101863</v>
      </c>
      <c r="BO67">
        <v>0.53639099999999995</v>
      </c>
    </row>
    <row r="68" spans="1:67">
      <c r="A68" s="55">
        <v>45761</v>
      </c>
      <c r="B68" t="s">
        <v>7</v>
      </c>
      <c r="C68">
        <v>11072</v>
      </c>
      <c r="D68">
        <v>894</v>
      </c>
      <c r="E68">
        <v>893</v>
      </c>
      <c r="F68">
        <v>290</v>
      </c>
      <c r="G68" s="57">
        <v>10649.4647301694</v>
      </c>
      <c r="BJ68" s="55">
        <v>45761</v>
      </c>
      <c r="BK68" t="s">
        <v>6</v>
      </c>
      <c r="BL68">
        <v>11076</v>
      </c>
      <c r="BM68">
        <v>17.721533000000001</v>
      </c>
      <c r="BN68">
        <v>94993</v>
      </c>
      <c r="BO68">
        <v>0.186556</v>
      </c>
    </row>
    <row r="69" spans="1:67">
      <c r="A69" s="55">
        <v>45761</v>
      </c>
      <c r="B69" t="s">
        <v>7</v>
      </c>
      <c r="C69">
        <v>11073</v>
      </c>
      <c r="D69">
        <v>658</v>
      </c>
      <c r="E69">
        <v>655</v>
      </c>
      <c r="F69">
        <v>204</v>
      </c>
      <c r="G69" s="57">
        <v>7950.6700915835499</v>
      </c>
      <c r="BJ69" s="55">
        <v>45761</v>
      </c>
      <c r="BK69" t="s">
        <v>6</v>
      </c>
      <c r="BL69">
        <v>11077</v>
      </c>
      <c r="BM69">
        <v>22.086224999999999</v>
      </c>
      <c r="BN69">
        <v>157301</v>
      </c>
      <c r="BO69">
        <v>0.140407</v>
      </c>
    </row>
    <row r="70" spans="1:67">
      <c r="A70" s="55">
        <v>45761</v>
      </c>
      <c r="B70" t="s">
        <v>7</v>
      </c>
      <c r="C70">
        <v>11074</v>
      </c>
      <c r="D70">
        <v>698</v>
      </c>
      <c r="E70">
        <v>697</v>
      </c>
      <c r="F70">
        <v>215</v>
      </c>
      <c r="G70" s="57">
        <v>7902.4208198940096</v>
      </c>
      <c r="BJ70" s="55">
        <v>45761</v>
      </c>
      <c r="BK70" t="s">
        <v>6</v>
      </c>
      <c r="BL70">
        <v>11075</v>
      </c>
      <c r="BM70">
        <v>28.387494</v>
      </c>
      <c r="BN70">
        <v>188604</v>
      </c>
      <c r="BO70">
        <v>0.15051400000000001</v>
      </c>
    </row>
    <row r="71" spans="1:67">
      <c r="A71" s="55">
        <v>45762</v>
      </c>
      <c r="B71" t="s">
        <v>6</v>
      </c>
      <c r="C71">
        <v>11075</v>
      </c>
      <c r="D71">
        <v>100</v>
      </c>
      <c r="E71">
        <v>100</v>
      </c>
      <c r="F71">
        <v>38</v>
      </c>
      <c r="G71" s="57">
        <v>364.47201962379</v>
      </c>
      <c r="BJ71" s="55">
        <v>45761</v>
      </c>
      <c r="BK71" t="s">
        <v>7</v>
      </c>
      <c r="BL71">
        <v>11073</v>
      </c>
      <c r="BM71">
        <v>55.858781999999998</v>
      </c>
      <c r="BN71">
        <v>106688</v>
      </c>
      <c r="BO71">
        <v>0.52357100000000001</v>
      </c>
    </row>
    <row r="72" spans="1:67">
      <c r="A72" s="55">
        <v>45762</v>
      </c>
      <c r="B72" t="s">
        <v>6</v>
      </c>
      <c r="C72">
        <v>11076</v>
      </c>
      <c r="D72">
        <v>53</v>
      </c>
      <c r="E72">
        <v>53</v>
      </c>
      <c r="F72">
        <v>22</v>
      </c>
      <c r="G72" s="57">
        <v>221.273394459564</v>
      </c>
      <c r="BJ72" s="55">
        <v>45761</v>
      </c>
      <c r="BK72" t="s">
        <v>7</v>
      </c>
      <c r="BL72">
        <v>11074</v>
      </c>
      <c r="BM72">
        <v>89.171366000000006</v>
      </c>
      <c r="BN72">
        <v>199286</v>
      </c>
      <c r="BO72">
        <v>0.44745400000000002</v>
      </c>
    </row>
    <row r="73" spans="1:67">
      <c r="A73" s="55">
        <v>45762</v>
      </c>
      <c r="B73" t="s">
        <v>6</v>
      </c>
      <c r="C73">
        <v>11077</v>
      </c>
      <c r="D73">
        <v>71</v>
      </c>
      <c r="E73">
        <v>71</v>
      </c>
      <c r="F73">
        <v>22</v>
      </c>
      <c r="G73" s="57">
        <v>183.23060805834399</v>
      </c>
      <c r="BJ73" s="55">
        <v>45761</v>
      </c>
      <c r="BK73" t="s">
        <v>7</v>
      </c>
      <c r="BL73">
        <v>11072</v>
      </c>
      <c r="BM73">
        <v>98.65531</v>
      </c>
      <c r="BN73">
        <v>234788</v>
      </c>
      <c r="BO73">
        <v>0.42018899999999998</v>
      </c>
    </row>
    <row r="74" spans="1:67">
      <c r="A74" s="55">
        <v>45762</v>
      </c>
      <c r="B74" t="s">
        <v>7</v>
      </c>
      <c r="C74">
        <v>11072</v>
      </c>
      <c r="D74">
        <v>672</v>
      </c>
      <c r="E74">
        <v>672</v>
      </c>
      <c r="F74">
        <v>208</v>
      </c>
      <c r="G74" s="57">
        <v>8098.9032324911304</v>
      </c>
      <c r="BJ74" s="55">
        <v>45762</v>
      </c>
      <c r="BK74" t="s">
        <v>6</v>
      </c>
      <c r="BL74">
        <v>11075</v>
      </c>
      <c r="BM74">
        <v>21.603071</v>
      </c>
      <c r="BN74">
        <v>166896</v>
      </c>
      <c r="BO74">
        <v>0.12944</v>
      </c>
    </row>
    <row r="75" spans="1:67">
      <c r="A75" s="55">
        <v>45762</v>
      </c>
      <c r="B75" t="s">
        <v>7</v>
      </c>
      <c r="C75">
        <v>11073</v>
      </c>
      <c r="D75">
        <v>511</v>
      </c>
      <c r="E75">
        <v>509</v>
      </c>
      <c r="F75">
        <v>159</v>
      </c>
      <c r="G75" s="57">
        <v>6340.0495374642796</v>
      </c>
      <c r="BJ75" s="55">
        <v>45762</v>
      </c>
      <c r="BK75" t="s">
        <v>6</v>
      </c>
      <c r="BL75">
        <v>11076</v>
      </c>
      <c r="BM75">
        <v>15.242993999999999</v>
      </c>
      <c r="BN75">
        <v>85588</v>
      </c>
      <c r="BO75">
        <v>0.17809700000000001</v>
      </c>
    </row>
    <row r="76" spans="1:67">
      <c r="A76" s="55">
        <v>45762</v>
      </c>
      <c r="B76" t="s">
        <v>7</v>
      </c>
      <c r="C76">
        <v>11074</v>
      </c>
      <c r="D76">
        <v>568</v>
      </c>
      <c r="E76">
        <v>567</v>
      </c>
      <c r="F76">
        <v>170</v>
      </c>
      <c r="G76" s="57">
        <v>6443.3972452491798</v>
      </c>
      <c r="BJ76" s="55">
        <v>45762</v>
      </c>
      <c r="BK76" t="s">
        <v>6</v>
      </c>
      <c r="BL76">
        <v>11077</v>
      </c>
      <c r="BM76">
        <v>20.050840000000001</v>
      </c>
      <c r="BN76">
        <v>135877</v>
      </c>
      <c r="BO76">
        <v>0.147566</v>
      </c>
    </row>
    <row r="77" spans="1:67">
      <c r="A77" s="55">
        <v>45763</v>
      </c>
      <c r="B77" t="s">
        <v>6</v>
      </c>
      <c r="C77">
        <v>11075</v>
      </c>
      <c r="D77">
        <v>79</v>
      </c>
      <c r="E77">
        <v>79</v>
      </c>
      <c r="F77">
        <v>25</v>
      </c>
      <c r="G77" s="57">
        <v>242.40834244839999</v>
      </c>
      <c r="BJ77" s="55">
        <v>45762</v>
      </c>
      <c r="BK77" t="s">
        <v>7</v>
      </c>
      <c r="BL77">
        <v>11072</v>
      </c>
      <c r="BM77">
        <v>84.837885999999997</v>
      </c>
      <c r="BN77">
        <v>185514</v>
      </c>
      <c r="BO77">
        <v>0.45731300000000003</v>
      </c>
    </row>
    <row r="78" spans="1:67">
      <c r="A78" s="55">
        <v>45763</v>
      </c>
      <c r="B78" t="s">
        <v>6</v>
      </c>
      <c r="C78">
        <v>11076</v>
      </c>
      <c r="D78">
        <v>45</v>
      </c>
      <c r="E78">
        <v>45</v>
      </c>
      <c r="F78">
        <v>24</v>
      </c>
      <c r="G78" s="57">
        <v>261.290552949541</v>
      </c>
      <c r="BJ78" s="55">
        <v>45762</v>
      </c>
      <c r="BK78" t="s">
        <v>7</v>
      </c>
      <c r="BL78">
        <v>11074</v>
      </c>
      <c r="BM78">
        <v>78.835645</v>
      </c>
      <c r="BN78">
        <v>168180</v>
      </c>
      <c r="BO78">
        <v>0.46875800000000001</v>
      </c>
    </row>
    <row r="79" spans="1:67">
      <c r="A79" s="55">
        <v>45763</v>
      </c>
      <c r="B79" t="s">
        <v>6</v>
      </c>
      <c r="C79">
        <v>11077</v>
      </c>
      <c r="D79">
        <v>54</v>
      </c>
      <c r="E79">
        <v>54</v>
      </c>
      <c r="F79">
        <v>19</v>
      </c>
      <c r="G79" s="57">
        <v>242.33252857599999</v>
      </c>
      <c r="BJ79" s="55">
        <v>45762</v>
      </c>
      <c r="BK79" t="s">
        <v>7</v>
      </c>
      <c r="BL79">
        <v>11073</v>
      </c>
      <c r="BM79">
        <v>51.329884</v>
      </c>
      <c r="BN79">
        <v>93756</v>
      </c>
      <c r="BO79">
        <v>0.54748399999999997</v>
      </c>
    </row>
    <row r="80" spans="1:67">
      <c r="A80" s="55">
        <v>45763</v>
      </c>
      <c r="B80" t="s">
        <v>7</v>
      </c>
      <c r="C80">
        <v>11072</v>
      </c>
      <c r="D80">
        <v>670</v>
      </c>
      <c r="E80">
        <v>666</v>
      </c>
      <c r="F80">
        <v>202</v>
      </c>
      <c r="G80" s="57">
        <v>7475.6353555423402</v>
      </c>
      <c r="BJ80" s="55">
        <v>45763</v>
      </c>
      <c r="BK80" t="s">
        <v>6</v>
      </c>
      <c r="BL80">
        <v>11075</v>
      </c>
      <c r="BM80">
        <v>22.254390999999998</v>
      </c>
      <c r="BN80">
        <v>171275</v>
      </c>
      <c r="BO80">
        <v>0.12993399999999999</v>
      </c>
    </row>
    <row r="81" spans="1:67">
      <c r="A81" s="55">
        <v>45763</v>
      </c>
      <c r="B81" t="s">
        <v>7</v>
      </c>
      <c r="C81">
        <v>11073</v>
      </c>
      <c r="D81">
        <v>493</v>
      </c>
      <c r="E81">
        <v>492</v>
      </c>
      <c r="F81">
        <v>158</v>
      </c>
      <c r="G81" s="57">
        <v>5813.4518554265996</v>
      </c>
      <c r="BJ81" s="55">
        <v>45763</v>
      </c>
      <c r="BK81" t="s">
        <v>6</v>
      </c>
      <c r="BL81">
        <v>11077</v>
      </c>
      <c r="BM81">
        <v>18.481843000000001</v>
      </c>
      <c r="BN81">
        <v>147053</v>
      </c>
      <c r="BO81">
        <v>0.12568199999999999</v>
      </c>
    </row>
    <row r="82" spans="1:67">
      <c r="A82" s="55">
        <v>45763</v>
      </c>
      <c r="B82" t="s">
        <v>7</v>
      </c>
      <c r="C82">
        <v>11074</v>
      </c>
      <c r="D82">
        <v>499</v>
      </c>
      <c r="E82">
        <v>499</v>
      </c>
      <c r="F82">
        <v>141</v>
      </c>
      <c r="G82" s="57">
        <v>4907.358063015</v>
      </c>
      <c r="BJ82" s="55">
        <v>45763</v>
      </c>
      <c r="BK82" t="s">
        <v>6</v>
      </c>
      <c r="BL82">
        <v>11076</v>
      </c>
      <c r="BM82">
        <v>17.789268</v>
      </c>
      <c r="BN82">
        <v>91946</v>
      </c>
      <c r="BO82">
        <v>0.19347500000000001</v>
      </c>
    </row>
    <row r="83" spans="1:67">
      <c r="A83" s="55">
        <v>45764</v>
      </c>
      <c r="B83" t="s">
        <v>6</v>
      </c>
      <c r="C83">
        <v>11075</v>
      </c>
      <c r="D83">
        <v>83</v>
      </c>
      <c r="E83">
        <v>83</v>
      </c>
      <c r="F83">
        <v>23</v>
      </c>
      <c r="G83" s="57">
        <v>146.11652532559199</v>
      </c>
      <c r="BJ83" s="55">
        <v>45763</v>
      </c>
      <c r="BK83" t="s">
        <v>7</v>
      </c>
      <c r="BL83">
        <v>11072</v>
      </c>
      <c r="BM83">
        <v>76.152828</v>
      </c>
      <c r="BN83">
        <v>184053</v>
      </c>
      <c r="BO83">
        <v>0.41375499999999998</v>
      </c>
    </row>
    <row r="84" spans="1:67">
      <c r="A84" s="55">
        <v>45764</v>
      </c>
      <c r="B84" t="s">
        <v>6</v>
      </c>
      <c r="C84">
        <v>11076</v>
      </c>
      <c r="D84">
        <v>46</v>
      </c>
      <c r="E84">
        <v>46</v>
      </c>
      <c r="F84">
        <v>16</v>
      </c>
      <c r="G84" s="57">
        <v>129.059675951782</v>
      </c>
      <c r="BJ84" s="55">
        <v>45763</v>
      </c>
      <c r="BK84" t="s">
        <v>7</v>
      </c>
      <c r="BL84">
        <v>11074</v>
      </c>
      <c r="BM84">
        <v>69.850221000000005</v>
      </c>
      <c r="BN84">
        <v>165713</v>
      </c>
      <c r="BO84">
        <v>0.42151300000000003</v>
      </c>
    </row>
    <row r="85" spans="1:67">
      <c r="A85" s="55">
        <v>45764</v>
      </c>
      <c r="B85" t="s">
        <v>6</v>
      </c>
      <c r="C85">
        <v>11077</v>
      </c>
      <c r="D85">
        <v>69</v>
      </c>
      <c r="E85">
        <v>69</v>
      </c>
      <c r="F85">
        <v>16</v>
      </c>
      <c r="G85" s="57">
        <v>97.397202010851998</v>
      </c>
      <c r="BJ85" s="55">
        <v>45763</v>
      </c>
      <c r="BK85" t="s">
        <v>7</v>
      </c>
      <c r="BL85">
        <v>11073</v>
      </c>
      <c r="BM85">
        <v>48.852733999999998</v>
      </c>
      <c r="BN85">
        <v>96982</v>
      </c>
      <c r="BO85">
        <v>0.50373000000000001</v>
      </c>
    </row>
    <row r="86" spans="1:67">
      <c r="A86" s="55">
        <v>45764</v>
      </c>
      <c r="B86" t="s">
        <v>7</v>
      </c>
      <c r="C86">
        <v>11072</v>
      </c>
      <c r="D86">
        <v>607</v>
      </c>
      <c r="E86">
        <v>605</v>
      </c>
      <c r="F86">
        <v>166</v>
      </c>
      <c r="G86" s="57">
        <v>5521.7564539963696</v>
      </c>
      <c r="BJ86" s="55">
        <v>45764</v>
      </c>
      <c r="BK86" t="s">
        <v>6</v>
      </c>
      <c r="BL86">
        <v>11076</v>
      </c>
      <c r="BM86">
        <v>14.026348</v>
      </c>
      <c r="BN86">
        <v>90558</v>
      </c>
      <c r="BO86">
        <v>0.154888</v>
      </c>
    </row>
    <row r="87" spans="1:67">
      <c r="A87" s="55">
        <v>45764</v>
      </c>
      <c r="B87" t="s">
        <v>7</v>
      </c>
      <c r="C87">
        <v>11073</v>
      </c>
      <c r="D87">
        <v>513</v>
      </c>
      <c r="E87">
        <v>508</v>
      </c>
      <c r="F87">
        <v>111</v>
      </c>
      <c r="G87" s="57">
        <v>3045.7380162275099</v>
      </c>
      <c r="BJ87" s="55">
        <v>45764</v>
      </c>
      <c r="BK87" t="s">
        <v>6</v>
      </c>
      <c r="BL87">
        <v>11077</v>
      </c>
      <c r="BM87">
        <v>20.594314000000001</v>
      </c>
      <c r="BN87">
        <v>153830</v>
      </c>
      <c r="BO87">
        <v>0.133877</v>
      </c>
    </row>
    <row r="88" spans="1:67">
      <c r="A88" s="55">
        <v>45764</v>
      </c>
      <c r="B88" t="s">
        <v>7</v>
      </c>
      <c r="C88">
        <v>11074</v>
      </c>
      <c r="D88">
        <v>529</v>
      </c>
      <c r="E88">
        <v>527</v>
      </c>
      <c r="F88">
        <v>116</v>
      </c>
      <c r="G88" s="57">
        <v>3883.1890197703801</v>
      </c>
      <c r="BJ88" s="55">
        <v>45764</v>
      </c>
      <c r="BK88" t="s">
        <v>6</v>
      </c>
      <c r="BL88">
        <v>11075</v>
      </c>
      <c r="BM88">
        <v>19.471549</v>
      </c>
      <c r="BN88">
        <v>179514</v>
      </c>
      <c r="BO88">
        <v>0.10846799999999999</v>
      </c>
    </row>
    <row r="89" spans="1:67">
      <c r="A89" s="55">
        <v>45765</v>
      </c>
      <c r="B89" t="s">
        <v>6</v>
      </c>
      <c r="C89">
        <v>11075</v>
      </c>
      <c r="D89">
        <v>84</v>
      </c>
      <c r="E89">
        <v>84</v>
      </c>
      <c r="F89">
        <v>23</v>
      </c>
      <c r="G89" s="57">
        <v>186.18681099300699</v>
      </c>
      <c r="BJ89" s="55">
        <v>45764</v>
      </c>
      <c r="BK89" t="s">
        <v>7</v>
      </c>
      <c r="BL89">
        <v>11074</v>
      </c>
      <c r="BM89">
        <v>92.969859999999997</v>
      </c>
      <c r="BN89">
        <v>168611</v>
      </c>
      <c r="BO89">
        <v>0.55138699999999996</v>
      </c>
    </row>
    <row r="90" spans="1:67">
      <c r="A90" s="55">
        <v>45765</v>
      </c>
      <c r="B90" t="s">
        <v>6</v>
      </c>
      <c r="C90">
        <v>11076</v>
      </c>
      <c r="D90">
        <v>55</v>
      </c>
      <c r="E90">
        <v>55</v>
      </c>
      <c r="F90">
        <v>21</v>
      </c>
      <c r="G90" s="57">
        <v>108.629950602482</v>
      </c>
      <c r="BJ90" s="55">
        <v>45764</v>
      </c>
      <c r="BK90" t="s">
        <v>7</v>
      </c>
      <c r="BL90">
        <v>11073</v>
      </c>
      <c r="BM90">
        <v>50.691445999999999</v>
      </c>
      <c r="BN90">
        <v>98607</v>
      </c>
      <c r="BO90">
        <v>0.51407599999999998</v>
      </c>
    </row>
    <row r="91" spans="1:67">
      <c r="A91" s="55">
        <v>45765</v>
      </c>
      <c r="B91" t="s">
        <v>6</v>
      </c>
      <c r="C91">
        <v>11077</v>
      </c>
      <c r="D91">
        <v>76</v>
      </c>
      <c r="E91">
        <v>76</v>
      </c>
      <c r="F91">
        <v>23</v>
      </c>
      <c r="G91" s="57">
        <v>263.81130262953599</v>
      </c>
      <c r="BJ91" s="55">
        <v>45764</v>
      </c>
      <c r="BK91" t="s">
        <v>7</v>
      </c>
      <c r="BL91">
        <v>11072</v>
      </c>
      <c r="BM91">
        <v>99.701950999999994</v>
      </c>
      <c r="BN91">
        <v>193599</v>
      </c>
      <c r="BO91">
        <v>0.51499200000000001</v>
      </c>
    </row>
    <row r="92" spans="1:67">
      <c r="A92" s="55">
        <v>45765</v>
      </c>
      <c r="B92" t="s">
        <v>7</v>
      </c>
      <c r="C92">
        <v>11072</v>
      </c>
      <c r="D92">
        <v>699</v>
      </c>
      <c r="E92">
        <v>693</v>
      </c>
      <c r="F92">
        <v>107</v>
      </c>
      <c r="G92" s="57">
        <v>2886.21215956272</v>
      </c>
      <c r="BJ92" s="55">
        <v>45765</v>
      </c>
      <c r="BK92" t="s">
        <v>6</v>
      </c>
      <c r="BL92">
        <v>11076</v>
      </c>
      <c r="BM92">
        <v>15.510014999999999</v>
      </c>
      <c r="BN92">
        <v>98812</v>
      </c>
      <c r="BO92">
        <v>0.15696499999999999</v>
      </c>
    </row>
    <row r="93" spans="1:67">
      <c r="A93" s="55">
        <v>45765</v>
      </c>
      <c r="B93" t="s">
        <v>7</v>
      </c>
      <c r="C93">
        <v>11073</v>
      </c>
      <c r="D93">
        <v>547</v>
      </c>
      <c r="E93">
        <v>543</v>
      </c>
      <c r="F93">
        <v>60</v>
      </c>
      <c r="G93" s="57">
        <v>1654.01358271043</v>
      </c>
      <c r="BJ93" s="55">
        <v>45765</v>
      </c>
      <c r="BK93" t="s">
        <v>6</v>
      </c>
      <c r="BL93">
        <v>11077</v>
      </c>
      <c r="BM93">
        <v>20.717357</v>
      </c>
      <c r="BN93">
        <v>157074</v>
      </c>
      <c r="BO93">
        <v>0.13189600000000001</v>
      </c>
    </row>
    <row r="94" spans="1:67">
      <c r="A94" s="55">
        <v>45765</v>
      </c>
      <c r="B94" t="s">
        <v>7</v>
      </c>
      <c r="C94">
        <v>11074</v>
      </c>
      <c r="D94">
        <v>640</v>
      </c>
      <c r="E94">
        <v>637</v>
      </c>
      <c r="F94">
        <v>83</v>
      </c>
      <c r="G94" s="57">
        <v>2106.0592227698098</v>
      </c>
      <c r="BJ94" s="55">
        <v>45765</v>
      </c>
      <c r="BK94" t="s">
        <v>6</v>
      </c>
      <c r="BL94">
        <v>11075</v>
      </c>
      <c r="BM94">
        <v>20.708539999999999</v>
      </c>
      <c r="BN94">
        <v>179905</v>
      </c>
      <c r="BO94">
        <v>0.115108</v>
      </c>
    </row>
    <row r="95" spans="1:67">
      <c r="A95" s="55">
        <v>45766</v>
      </c>
      <c r="B95" t="s">
        <v>6</v>
      </c>
      <c r="C95">
        <v>11075</v>
      </c>
      <c r="D95">
        <v>88</v>
      </c>
      <c r="E95">
        <v>88</v>
      </c>
      <c r="F95">
        <v>23</v>
      </c>
      <c r="G95" s="57">
        <v>160.90818059507799</v>
      </c>
      <c r="BJ95" s="55">
        <v>45765</v>
      </c>
      <c r="BK95" t="s">
        <v>7</v>
      </c>
      <c r="BL95">
        <v>11074</v>
      </c>
      <c r="BM95">
        <v>74.849125000000001</v>
      </c>
      <c r="BN95">
        <v>179464</v>
      </c>
      <c r="BO95">
        <v>0.41707</v>
      </c>
    </row>
    <row r="96" spans="1:67">
      <c r="A96" s="55">
        <v>45766</v>
      </c>
      <c r="B96" t="s">
        <v>6</v>
      </c>
      <c r="C96">
        <v>11076</v>
      </c>
      <c r="D96">
        <v>67</v>
      </c>
      <c r="E96">
        <v>67</v>
      </c>
      <c r="F96">
        <v>23</v>
      </c>
      <c r="G96" s="57">
        <v>180.386106420152</v>
      </c>
      <c r="BJ96" s="55">
        <v>45765</v>
      </c>
      <c r="BK96" t="s">
        <v>7</v>
      </c>
      <c r="BL96">
        <v>11072</v>
      </c>
      <c r="BM96">
        <v>77.205198999999993</v>
      </c>
      <c r="BN96">
        <v>197670</v>
      </c>
      <c r="BO96">
        <v>0.39057599999999998</v>
      </c>
    </row>
    <row r="97" spans="1:67">
      <c r="A97" s="55">
        <v>45766</v>
      </c>
      <c r="B97" t="s">
        <v>6</v>
      </c>
      <c r="C97">
        <v>11077</v>
      </c>
      <c r="D97">
        <v>84</v>
      </c>
      <c r="E97">
        <v>84</v>
      </c>
      <c r="F97">
        <v>29</v>
      </c>
      <c r="G97" s="57">
        <v>267.30842456177999</v>
      </c>
      <c r="BJ97" s="55">
        <v>45765</v>
      </c>
      <c r="BK97" t="s">
        <v>7</v>
      </c>
      <c r="BL97">
        <v>11073</v>
      </c>
      <c r="BM97">
        <v>54.977330000000002</v>
      </c>
      <c r="BN97">
        <v>107219</v>
      </c>
      <c r="BO97">
        <v>0.51275700000000002</v>
      </c>
    </row>
    <row r="98" spans="1:67">
      <c r="A98" s="55">
        <v>45766</v>
      </c>
      <c r="B98" t="s">
        <v>7</v>
      </c>
      <c r="C98">
        <v>11072</v>
      </c>
      <c r="D98">
        <v>930</v>
      </c>
      <c r="E98">
        <v>922</v>
      </c>
      <c r="F98">
        <v>56</v>
      </c>
      <c r="G98" s="57">
        <v>820.271962256395</v>
      </c>
      <c r="BJ98" s="55">
        <v>45766</v>
      </c>
      <c r="BK98" t="s">
        <v>6</v>
      </c>
      <c r="BL98">
        <v>11077</v>
      </c>
      <c r="BM98">
        <v>24.480492000000002</v>
      </c>
      <c r="BN98">
        <v>174959</v>
      </c>
      <c r="BO98">
        <v>0.13992099999999999</v>
      </c>
    </row>
    <row r="99" spans="1:67">
      <c r="A99" s="55">
        <v>45766</v>
      </c>
      <c r="B99" t="s">
        <v>7</v>
      </c>
      <c r="C99">
        <v>11073</v>
      </c>
      <c r="D99">
        <v>777</v>
      </c>
      <c r="E99">
        <v>775</v>
      </c>
      <c r="F99">
        <v>49</v>
      </c>
      <c r="G99" s="57">
        <v>764.79842653424305</v>
      </c>
      <c r="BJ99" s="55">
        <v>45766</v>
      </c>
      <c r="BK99" t="s">
        <v>6</v>
      </c>
      <c r="BL99">
        <v>11075</v>
      </c>
      <c r="BM99">
        <v>27.478953000000001</v>
      </c>
      <c r="BN99">
        <v>220444</v>
      </c>
      <c r="BO99">
        <v>0.124653</v>
      </c>
    </row>
    <row r="100" spans="1:67">
      <c r="A100" s="55">
        <v>45766</v>
      </c>
      <c r="B100" t="s">
        <v>7</v>
      </c>
      <c r="C100">
        <v>11074</v>
      </c>
      <c r="D100">
        <v>733</v>
      </c>
      <c r="E100">
        <v>731</v>
      </c>
      <c r="F100">
        <v>39</v>
      </c>
      <c r="G100" s="57">
        <v>660.06306359228995</v>
      </c>
      <c r="BJ100" s="55">
        <v>45766</v>
      </c>
      <c r="BK100" t="s">
        <v>6</v>
      </c>
      <c r="BL100">
        <v>11076</v>
      </c>
      <c r="BM100">
        <v>15.9846</v>
      </c>
      <c r="BN100">
        <v>97932</v>
      </c>
      <c r="BO100">
        <v>0.163221</v>
      </c>
    </row>
    <row r="101" spans="1:67">
      <c r="A101" s="55">
        <v>45767</v>
      </c>
      <c r="B101" t="s">
        <v>6</v>
      </c>
      <c r="C101">
        <v>11075</v>
      </c>
      <c r="D101">
        <v>131</v>
      </c>
      <c r="E101">
        <v>131</v>
      </c>
      <c r="F101">
        <v>32</v>
      </c>
      <c r="G101" s="57">
        <v>203.71036083610201</v>
      </c>
      <c r="BJ101" s="55">
        <v>45766</v>
      </c>
      <c r="BK101" t="s">
        <v>7</v>
      </c>
      <c r="BL101">
        <v>11074</v>
      </c>
      <c r="BM101">
        <v>82.213463000000004</v>
      </c>
      <c r="BN101">
        <v>199884</v>
      </c>
      <c r="BO101">
        <v>0.411306</v>
      </c>
    </row>
    <row r="102" spans="1:67">
      <c r="A102" s="55">
        <v>45767</v>
      </c>
      <c r="B102" t="s">
        <v>6</v>
      </c>
      <c r="C102">
        <v>11076</v>
      </c>
      <c r="D102">
        <v>71</v>
      </c>
      <c r="E102">
        <v>71</v>
      </c>
      <c r="F102">
        <v>20</v>
      </c>
      <c r="G102" s="57">
        <v>118.425885449955</v>
      </c>
      <c r="BJ102" s="55">
        <v>45766</v>
      </c>
      <c r="BK102" t="s">
        <v>7</v>
      </c>
      <c r="BL102">
        <v>11072</v>
      </c>
      <c r="BM102">
        <v>85.517932000000002</v>
      </c>
      <c r="BN102">
        <v>216533</v>
      </c>
      <c r="BO102">
        <v>0.39494200000000002</v>
      </c>
    </row>
    <row r="103" spans="1:67">
      <c r="A103" s="55">
        <v>45767</v>
      </c>
      <c r="B103" t="s">
        <v>6</v>
      </c>
      <c r="C103">
        <v>11077</v>
      </c>
      <c r="D103">
        <v>96</v>
      </c>
      <c r="E103">
        <v>96</v>
      </c>
      <c r="F103">
        <v>27</v>
      </c>
      <c r="G103" s="57">
        <v>280.59697402067098</v>
      </c>
      <c r="BJ103" s="55">
        <v>45766</v>
      </c>
      <c r="BK103" t="s">
        <v>7</v>
      </c>
      <c r="BL103">
        <v>11073</v>
      </c>
      <c r="BM103">
        <v>65.20402</v>
      </c>
      <c r="BN103">
        <v>126479</v>
      </c>
      <c r="BO103">
        <v>0.51553199999999999</v>
      </c>
    </row>
    <row r="104" spans="1:67">
      <c r="A104" s="55">
        <v>45767</v>
      </c>
      <c r="B104" t="s">
        <v>7</v>
      </c>
      <c r="C104">
        <v>11072</v>
      </c>
      <c r="D104">
        <v>1163</v>
      </c>
      <c r="E104">
        <v>1153</v>
      </c>
      <c r="F104">
        <v>62</v>
      </c>
      <c r="G104" s="57">
        <v>1082.03106932694</v>
      </c>
      <c r="BJ104" s="55">
        <v>45767</v>
      </c>
      <c r="BK104" t="s">
        <v>6</v>
      </c>
      <c r="BL104">
        <v>11075</v>
      </c>
      <c r="BM104">
        <v>28.736927999999999</v>
      </c>
      <c r="BN104">
        <v>239790</v>
      </c>
      <c r="BO104">
        <v>0.119842</v>
      </c>
    </row>
    <row r="105" spans="1:67">
      <c r="A105" s="55">
        <v>45767</v>
      </c>
      <c r="B105" t="s">
        <v>7</v>
      </c>
      <c r="C105">
        <v>11073</v>
      </c>
      <c r="D105">
        <v>951</v>
      </c>
      <c r="E105">
        <v>946</v>
      </c>
      <c r="F105">
        <v>56</v>
      </c>
      <c r="G105" s="57">
        <v>945.31836175419699</v>
      </c>
      <c r="BJ105" s="55">
        <v>45767</v>
      </c>
      <c r="BK105" t="s">
        <v>6</v>
      </c>
      <c r="BL105">
        <v>11077</v>
      </c>
      <c r="BM105">
        <v>26.288062</v>
      </c>
      <c r="BN105">
        <v>197564</v>
      </c>
      <c r="BO105">
        <v>0.13306100000000001</v>
      </c>
    </row>
    <row r="106" spans="1:67">
      <c r="A106" s="55">
        <v>45767</v>
      </c>
      <c r="B106" t="s">
        <v>7</v>
      </c>
      <c r="C106">
        <v>11074</v>
      </c>
      <c r="D106">
        <v>951</v>
      </c>
      <c r="E106">
        <v>947</v>
      </c>
      <c r="F106">
        <v>62</v>
      </c>
      <c r="G106" s="57">
        <v>902.72422121287798</v>
      </c>
      <c r="BJ106" s="55">
        <v>45767</v>
      </c>
      <c r="BK106" t="s">
        <v>6</v>
      </c>
      <c r="BL106">
        <v>11076</v>
      </c>
      <c r="BM106">
        <v>18.130642000000002</v>
      </c>
      <c r="BN106">
        <v>116192</v>
      </c>
      <c r="BO106">
        <v>0.15604000000000001</v>
      </c>
    </row>
    <row r="107" spans="1:67">
      <c r="BJ107" s="55">
        <v>45767</v>
      </c>
      <c r="BK107" t="s">
        <v>7</v>
      </c>
      <c r="BL107">
        <v>11073</v>
      </c>
      <c r="BM107">
        <v>92.659156999999993</v>
      </c>
      <c r="BN107">
        <v>148714</v>
      </c>
      <c r="BO107">
        <v>0.62306899999999998</v>
      </c>
    </row>
    <row r="108" spans="1:67">
      <c r="BJ108" s="55">
        <v>45767</v>
      </c>
      <c r="BK108" t="s">
        <v>7</v>
      </c>
      <c r="BL108">
        <v>11074</v>
      </c>
      <c r="BM108">
        <v>124.774997</v>
      </c>
      <c r="BN108">
        <v>248851</v>
      </c>
      <c r="BO108">
        <v>0.50140399999999996</v>
      </c>
    </row>
    <row r="109" spans="1:67">
      <c r="BJ109" s="55">
        <v>45767</v>
      </c>
      <c r="BK109" t="s">
        <v>7</v>
      </c>
      <c r="BL109">
        <v>11072</v>
      </c>
      <c r="BM109">
        <v>136.05860200000001</v>
      </c>
      <c r="BN109">
        <v>281901</v>
      </c>
      <c r="BO109">
        <v>0.48264699999999999</v>
      </c>
    </row>
  </sheetData>
  <mergeCells count="1">
    <mergeCell ref="S1:T1"/>
  </mergeCells>
  <phoneticPr fontId="5" type="noConversion"/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B490-34A3-ED4F-9A38-F0AED51724C3}">
  <dimension ref="B2:U46"/>
  <sheetViews>
    <sheetView workbookViewId="0">
      <selection activeCell="H7" sqref="H7:H9"/>
    </sheetView>
  </sheetViews>
  <sheetFormatPr baseColWidth="10" defaultRowHeight="16"/>
  <sheetData>
    <row r="2" spans="2:21">
      <c r="U2" t="s">
        <v>168</v>
      </c>
    </row>
    <row r="3" spans="2:21" s="18" customFormat="1" ht="68">
      <c r="B3" s="18" t="s">
        <v>1</v>
      </c>
      <c r="C3" s="18" t="s">
        <v>25</v>
      </c>
      <c r="D3" s="18" t="s">
        <v>3</v>
      </c>
      <c r="E3" s="18" t="s">
        <v>26</v>
      </c>
      <c r="F3" s="18" t="s">
        <v>27</v>
      </c>
      <c r="G3" s="19" t="s">
        <v>28</v>
      </c>
      <c r="H3" s="19" t="s">
        <v>29</v>
      </c>
      <c r="I3" s="19" t="s">
        <v>30</v>
      </c>
      <c r="J3" s="18" t="s">
        <v>31</v>
      </c>
      <c r="K3" s="20" t="s">
        <v>44</v>
      </c>
      <c r="L3" s="18" t="s">
        <v>32</v>
      </c>
      <c r="M3" s="20" t="s">
        <v>33</v>
      </c>
      <c r="N3" s="18" t="s">
        <v>34</v>
      </c>
      <c r="O3" s="18" t="s">
        <v>35</v>
      </c>
      <c r="P3" s="18" t="s">
        <v>36</v>
      </c>
    </row>
    <row r="4" spans="2:21">
      <c r="B4" t="s">
        <v>6</v>
      </c>
      <c r="C4">
        <v>11075</v>
      </c>
      <c r="D4">
        <v>54572</v>
      </c>
      <c r="E4">
        <v>54231</v>
      </c>
      <c r="F4">
        <v>15354</v>
      </c>
      <c r="G4">
        <v>1296</v>
      </c>
      <c r="H4">
        <v>390</v>
      </c>
      <c r="I4">
        <v>3345.17980971304</v>
      </c>
      <c r="J4">
        <v>54571</v>
      </c>
      <c r="K4">
        <v>25793</v>
      </c>
      <c r="L4">
        <v>329657</v>
      </c>
      <c r="M4">
        <v>125588</v>
      </c>
      <c r="N4">
        <f>M4/K4</f>
        <v>4.8690730043034929</v>
      </c>
      <c r="O4">
        <f>K4/D4</f>
        <v>0.47264164773143735</v>
      </c>
      <c r="P4">
        <f>G4/E4</f>
        <v>2.3897770647784478E-2</v>
      </c>
      <c r="R4">
        <f t="shared" ref="R4:R9" si="0">M4/D4</f>
        <v>2.3013266876786629</v>
      </c>
    </row>
    <row r="5" spans="2:21">
      <c r="B5" t="s">
        <v>6</v>
      </c>
      <c r="C5">
        <v>11076</v>
      </c>
      <c r="D5">
        <v>54198</v>
      </c>
      <c r="E5">
        <v>53656</v>
      </c>
      <c r="F5">
        <v>9373</v>
      </c>
      <c r="G5">
        <v>710</v>
      </c>
      <c r="H5">
        <v>294</v>
      </c>
      <c r="I5">
        <v>2750.32600844438</v>
      </c>
      <c r="J5">
        <v>54198</v>
      </c>
      <c r="K5">
        <v>34067</v>
      </c>
      <c r="L5">
        <v>362559</v>
      </c>
      <c r="M5">
        <v>141406</v>
      </c>
      <c r="N5">
        <f t="shared" ref="N5:N9" si="1">M5/K5</f>
        <v>4.1508204420700388</v>
      </c>
      <c r="O5">
        <f t="shared" ref="O5:O13" si="2">K5/D5</f>
        <v>0.6285656297280342</v>
      </c>
      <c r="P5">
        <f t="shared" ref="P5:P13" si="3">G5/E5</f>
        <v>1.3232443715521097E-2</v>
      </c>
      <c r="R5">
        <f t="shared" si="0"/>
        <v>2.6090630650577511</v>
      </c>
    </row>
    <row r="6" spans="2:21">
      <c r="B6" t="s">
        <v>6</v>
      </c>
      <c r="C6">
        <v>11077</v>
      </c>
      <c r="D6">
        <v>54332</v>
      </c>
      <c r="E6">
        <v>53983</v>
      </c>
      <c r="F6">
        <v>12710</v>
      </c>
      <c r="G6">
        <v>944</v>
      </c>
      <c r="H6">
        <v>319</v>
      </c>
      <c r="I6">
        <v>2980.2330800086202</v>
      </c>
      <c r="J6">
        <v>54331</v>
      </c>
      <c r="K6">
        <v>31529</v>
      </c>
      <c r="L6">
        <v>386518</v>
      </c>
      <c r="M6">
        <v>144590</v>
      </c>
      <c r="N6">
        <f t="shared" si="1"/>
        <v>4.5859367566367473</v>
      </c>
      <c r="O6">
        <f t="shared" si="2"/>
        <v>0.58030258411249358</v>
      </c>
      <c r="P6">
        <f t="shared" si="3"/>
        <v>1.7486986643943464E-2</v>
      </c>
      <c r="R6">
        <f t="shared" si="0"/>
        <v>2.6612309504527718</v>
      </c>
    </row>
    <row r="7" spans="2:21">
      <c r="B7" t="s">
        <v>7</v>
      </c>
      <c r="C7">
        <v>11072</v>
      </c>
      <c r="D7">
        <v>101556</v>
      </c>
      <c r="E7">
        <v>95031</v>
      </c>
      <c r="F7">
        <v>24275</v>
      </c>
      <c r="G7">
        <v>11954</v>
      </c>
      <c r="H7">
        <v>2808</v>
      </c>
      <c r="I7">
        <v>95092.367079315401</v>
      </c>
      <c r="J7">
        <v>101534</v>
      </c>
      <c r="K7">
        <v>58964</v>
      </c>
      <c r="L7">
        <v>660497</v>
      </c>
      <c r="M7">
        <v>293915</v>
      </c>
      <c r="N7">
        <f t="shared" si="1"/>
        <v>4.9846516518553692</v>
      </c>
      <c r="O7">
        <f t="shared" si="2"/>
        <v>0.58060577415416126</v>
      </c>
      <c r="P7">
        <f t="shared" si="3"/>
        <v>0.12579053151077016</v>
      </c>
      <c r="R7">
        <f t="shared" si="0"/>
        <v>2.8941175312143055</v>
      </c>
    </row>
    <row r="8" spans="2:21">
      <c r="B8" t="s">
        <v>7</v>
      </c>
      <c r="C8">
        <v>11073</v>
      </c>
      <c r="D8">
        <v>102210</v>
      </c>
      <c r="E8">
        <v>94497</v>
      </c>
      <c r="F8">
        <v>18166</v>
      </c>
      <c r="G8">
        <v>9684</v>
      </c>
      <c r="H8">
        <v>2127</v>
      </c>
      <c r="I8">
        <v>75535.247819496406</v>
      </c>
      <c r="J8">
        <v>102194</v>
      </c>
      <c r="K8">
        <v>76319</v>
      </c>
      <c r="L8">
        <v>716822</v>
      </c>
      <c r="M8">
        <v>321504</v>
      </c>
      <c r="N8">
        <f t="shared" si="1"/>
        <v>4.2126338133361285</v>
      </c>
      <c r="O8">
        <f t="shared" si="2"/>
        <v>0.74668819097935624</v>
      </c>
      <c r="P8">
        <f t="shared" si="3"/>
        <v>0.10247944379186641</v>
      </c>
      <c r="R8">
        <f t="shared" si="0"/>
        <v>3.145523921338421</v>
      </c>
    </row>
    <row r="9" spans="2:21">
      <c r="B9" t="s">
        <v>7</v>
      </c>
      <c r="C9">
        <v>11074</v>
      </c>
      <c r="D9">
        <v>101313</v>
      </c>
      <c r="E9">
        <v>94783</v>
      </c>
      <c r="F9">
        <v>19991</v>
      </c>
      <c r="G9">
        <v>10096</v>
      </c>
      <c r="H9">
        <v>2208</v>
      </c>
      <c r="I9">
        <v>77999.522750669799</v>
      </c>
      <c r="J9">
        <v>101282</v>
      </c>
      <c r="K9">
        <v>71249</v>
      </c>
      <c r="L9">
        <v>694325</v>
      </c>
      <c r="M9">
        <v>315316</v>
      </c>
      <c r="N9">
        <f t="shared" si="1"/>
        <v>4.4255498322783478</v>
      </c>
      <c r="O9">
        <f t="shared" si="2"/>
        <v>0.70325624549662924</v>
      </c>
      <c r="P9">
        <f t="shared" si="3"/>
        <v>0.1065169914436133</v>
      </c>
      <c r="R9">
        <f t="shared" si="0"/>
        <v>3.112295559306308</v>
      </c>
    </row>
    <row r="11" spans="2:21">
      <c r="B11" s="84" t="s">
        <v>24</v>
      </c>
      <c r="C11" s="17" t="s">
        <v>21</v>
      </c>
      <c r="D11">
        <f>D4+D7</f>
        <v>156128</v>
      </c>
      <c r="E11">
        <f t="shared" ref="E11:M11" si="4">E4+E7</f>
        <v>149262</v>
      </c>
      <c r="F11">
        <f t="shared" si="4"/>
        <v>39629</v>
      </c>
      <c r="G11">
        <f t="shared" si="4"/>
        <v>13250</v>
      </c>
      <c r="H11">
        <f t="shared" si="4"/>
        <v>3198</v>
      </c>
      <c r="I11">
        <f t="shared" si="4"/>
        <v>98437.546889028439</v>
      </c>
      <c r="J11">
        <f t="shared" si="4"/>
        <v>156105</v>
      </c>
      <c r="K11">
        <f t="shared" si="4"/>
        <v>84757</v>
      </c>
      <c r="L11">
        <f t="shared" si="4"/>
        <v>990154</v>
      </c>
      <c r="M11" s="44">
        <f t="shared" si="4"/>
        <v>419503</v>
      </c>
      <c r="N11">
        <f>M11/K11</f>
        <v>4.9494790990714632</v>
      </c>
      <c r="O11">
        <f t="shared" si="2"/>
        <v>0.54286867185898746</v>
      </c>
      <c r="P11">
        <f t="shared" si="3"/>
        <v>8.877008213744958E-2</v>
      </c>
      <c r="R11">
        <f>M11/D11</f>
        <v>2.6869171449067433</v>
      </c>
    </row>
    <row r="12" spans="2:21">
      <c r="B12" s="84"/>
      <c r="C12" s="17" t="s">
        <v>22</v>
      </c>
      <c r="D12">
        <f t="shared" ref="D12:M12" si="5">D5+D8</f>
        <v>156408</v>
      </c>
      <c r="E12">
        <f t="shared" si="5"/>
        <v>148153</v>
      </c>
      <c r="F12">
        <f t="shared" si="5"/>
        <v>27539</v>
      </c>
      <c r="G12">
        <f t="shared" si="5"/>
        <v>10394</v>
      </c>
      <c r="H12">
        <f t="shared" si="5"/>
        <v>2421</v>
      </c>
      <c r="I12">
        <f t="shared" si="5"/>
        <v>78285.573827940781</v>
      </c>
      <c r="J12">
        <f t="shared" si="5"/>
        <v>156392</v>
      </c>
      <c r="K12">
        <f t="shared" si="5"/>
        <v>110386</v>
      </c>
      <c r="L12">
        <f t="shared" si="5"/>
        <v>1079381</v>
      </c>
      <c r="M12" s="44">
        <f t="shared" si="5"/>
        <v>462910</v>
      </c>
      <c r="N12">
        <f>M12/K12</f>
        <v>4.1935571539869185</v>
      </c>
      <c r="O12">
        <f t="shared" si="2"/>
        <v>0.70575673878573986</v>
      </c>
      <c r="P12">
        <f t="shared" si="3"/>
        <v>7.0157202351622983E-2</v>
      </c>
      <c r="R12">
        <f>M12/D12</f>
        <v>2.9596312209094164</v>
      </c>
    </row>
    <row r="13" spans="2:21">
      <c r="B13" s="84"/>
      <c r="C13" s="17" t="s">
        <v>23</v>
      </c>
      <c r="D13">
        <f>D6+D9</f>
        <v>155645</v>
      </c>
      <c r="E13">
        <f t="shared" ref="E13:M13" si="6">E6+E9</f>
        <v>148766</v>
      </c>
      <c r="F13">
        <f t="shared" si="6"/>
        <v>32701</v>
      </c>
      <c r="G13">
        <f t="shared" si="6"/>
        <v>11040</v>
      </c>
      <c r="H13">
        <f t="shared" si="6"/>
        <v>2527</v>
      </c>
      <c r="I13">
        <f t="shared" si="6"/>
        <v>80979.755830678419</v>
      </c>
      <c r="J13">
        <f t="shared" si="6"/>
        <v>155613</v>
      </c>
      <c r="K13">
        <f t="shared" si="6"/>
        <v>102778</v>
      </c>
      <c r="L13">
        <f t="shared" si="6"/>
        <v>1080843</v>
      </c>
      <c r="M13" s="44">
        <f t="shared" si="6"/>
        <v>459906</v>
      </c>
      <c r="N13">
        <f>M13/K13</f>
        <v>4.4747514059429063</v>
      </c>
      <c r="O13">
        <f t="shared" si="2"/>
        <v>0.66033602107359701</v>
      </c>
      <c r="P13">
        <f t="shared" si="3"/>
        <v>7.4210505088528292E-2</v>
      </c>
      <c r="R13">
        <f>M13/D13</f>
        <v>2.9548395386938227</v>
      </c>
    </row>
    <row r="18" spans="2:15">
      <c r="M18" s="44"/>
    </row>
    <row r="19" spans="2:15">
      <c r="D19" t="s">
        <v>39</v>
      </c>
      <c r="L19" t="s">
        <v>40</v>
      </c>
    </row>
    <row r="20" spans="2:15">
      <c r="B20" t="s">
        <v>1</v>
      </c>
      <c r="C20" t="s">
        <v>25</v>
      </c>
      <c r="D20" t="s">
        <v>37</v>
      </c>
      <c r="E20" t="s">
        <v>38</v>
      </c>
      <c r="J20" t="s">
        <v>1</v>
      </c>
      <c r="K20" t="s">
        <v>25</v>
      </c>
      <c r="L20" t="s">
        <v>37</v>
      </c>
      <c r="M20" t="s">
        <v>38</v>
      </c>
    </row>
    <row r="21" spans="2:15">
      <c r="B21" t="s">
        <v>6</v>
      </c>
      <c r="C21">
        <v>11075</v>
      </c>
      <c r="D21">
        <v>133301</v>
      </c>
      <c r="E21">
        <v>82495</v>
      </c>
      <c r="G21">
        <f t="shared" ref="G21:G26" si="7">D21/E21</f>
        <v>1.6158676283411115</v>
      </c>
      <c r="J21" t="s">
        <v>6</v>
      </c>
      <c r="K21">
        <v>11075</v>
      </c>
      <c r="L21">
        <v>155542</v>
      </c>
      <c r="M21">
        <v>82495</v>
      </c>
      <c r="O21">
        <f t="shared" ref="O21:O26" si="8">L21/M21</f>
        <v>1.8854718467785927</v>
      </c>
    </row>
    <row r="22" spans="2:15">
      <c r="B22" t="s">
        <v>6</v>
      </c>
      <c r="C22">
        <v>11076</v>
      </c>
      <c r="D22">
        <v>144304</v>
      </c>
      <c r="E22">
        <v>86502</v>
      </c>
      <c r="G22">
        <f t="shared" si="7"/>
        <v>1.6682157637973689</v>
      </c>
      <c r="J22" t="s">
        <v>6</v>
      </c>
      <c r="K22">
        <v>11076</v>
      </c>
      <c r="L22">
        <v>168426</v>
      </c>
      <c r="M22">
        <v>86502</v>
      </c>
      <c r="O22">
        <f t="shared" si="8"/>
        <v>1.9470763681764582</v>
      </c>
    </row>
    <row r="23" spans="2:15">
      <c r="B23" t="s">
        <v>6</v>
      </c>
      <c r="C23">
        <v>11077</v>
      </c>
      <c r="D23">
        <v>138658</v>
      </c>
      <c r="E23">
        <v>84550</v>
      </c>
      <c r="G23">
        <f t="shared" si="7"/>
        <v>1.6399526907155528</v>
      </c>
      <c r="J23" t="s">
        <v>6</v>
      </c>
      <c r="K23">
        <v>11077</v>
      </c>
      <c r="L23">
        <v>162172</v>
      </c>
      <c r="M23">
        <v>84550</v>
      </c>
      <c r="O23">
        <f t="shared" si="8"/>
        <v>1.91806031933767</v>
      </c>
    </row>
    <row r="24" spans="2:15">
      <c r="B24" t="s">
        <v>7</v>
      </c>
      <c r="C24">
        <v>11072</v>
      </c>
      <c r="D24">
        <v>294568</v>
      </c>
      <c r="E24">
        <v>170371</v>
      </c>
      <c r="G24">
        <f t="shared" si="7"/>
        <v>1.7289796972489448</v>
      </c>
      <c r="J24" t="s">
        <v>7</v>
      </c>
      <c r="K24">
        <v>11072</v>
      </c>
      <c r="L24">
        <v>344404</v>
      </c>
      <c r="M24">
        <v>170371</v>
      </c>
      <c r="O24">
        <f t="shared" si="8"/>
        <v>2.0214942683907471</v>
      </c>
    </row>
    <row r="25" spans="2:15">
      <c r="B25" t="s">
        <v>7</v>
      </c>
      <c r="C25">
        <v>11073</v>
      </c>
      <c r="D25">
        <v>315015</v>
      </c>
      <c r="E25">
        <v>179236</v>
      </c>
      <c r="G25">
        <f t="shared" si="7"/>
        <v>1.7575431274967082</v>
      </c>
      <c r="J25" t="s">
        <v>7</v>
      </c>
      <c r="K25">
        <v>11073</v>
      </c>
      <c r="L25">
        <v>367964</v>
      </c>
      <c r="M25">
        <v>179236</v>
      </c>
      <c r="O25">
        <f t="shared" si="8"/>
        <v>2.0529581110937536</v>
      </c>
    </row>
    <row r="26" spans="2:15">
      <c r="B26" t="s">
        <v>7</v>
      </c>
      <c r="C26">
        <v>11074</v>
      </c>
      <c r="D26">
        <v>307028</v>
      </c>
      <c r="E26">
        <v>174970</v>
      </c>
      <c r="G26">
        <f t="shared" si="7"/>
        <v>1.7547465279762244</v>
      </c>
      <c r="J26" t="s">
        <v>7</v>
      </c>
      <c r="K26">
        <v>11074</v>
      </c>
      <c r="L26">
        <v>358818</v>
      </c>
      <c r="M26">
        <v>174970</v>
      </c>
      <c r="O26">
        <f t="shared" si="8"/>
        <v>2.0507401268788934</v>
      </c>
    </row>
    <row r="28" spans="2:15">
      <c r="B28" s="84" t="s">
        <v>24</v>
      </c>
      <c r="C28" s="17" t="s">
        <v>21</v>
      </c>
      <c r="D28">
        <f t="shared" ref="D28:E30" si="9">D21+D24</f>
        <v>427869</v>
      </c>
      <c r="E28">
        <f t="shared" si="9"/>
        <v>252866</v>
      </c>
      <c r="G28">
        <f>D28/E28</f>
        <v>1.6920780176061629</v>
      </c>
      <c r="J28" s="84" t="s">
        <v>24</v>
      </c>
      <c r="K28" s="17" t="s">
        <v>21</v>
      </c>
      <c r="L28">
        <f t="shared" ref="L28:M30" si="10">L21+L24</f>
        <v>499946</v>
      </c>
      <c r="M28">
        <f t="shared" si="10"/>
        <v>252866</v>
      </c>
      <c r="O28">
        <f>L28/M28</f>
        <v>1.9771183156296219</v>
      </c>
    </row>
    <row r="29" spans="2:15">
      <c r="B29" s="84"/>
      <c r="C29" s="17" t="s">
        <v>22</v>
      </c>
      <c r="D29">
        <f t="shared" si="9"/>
        <v>459319</v>
      </c>
      <c r="E29">
        <f t="shared" si="9"/>
        <v>265738</v>
      </c>
      <c r="G29">
        <f>D29/E29</f>
        <v>1.7284656315619145</v>
      </c>
      <c r="J29" s="84"/>
      <c r="K29" s="17" t="s">
        <v>22</v>
      </c>
      <c r="L29">
        <f t="shared" si="10"/>
        <v>536390</v>
      </c>
      <c r="M29">
        <f t="shared" si="10"/>
        <v>265738</v>
      </c>
      <c r="O29">
        <f>L29/M29</f>
        <v>2.0184918980349065</v>
      </c>
    </row>
    <row r="30" spans="2:15">
      <c r="B30" s="84"/>
      <c r="C30" s="17" t="s">
        <v>23</v>
      </c>
      <c r="D30">
        <f t="shared" si="9"/>
        <v>445686</v>
      </c>
      <c r="E30">
        <f t="shared" si="9"/>
        <v>259520</v>
      </c>
      <c r="G30">
        <f>D30/E30</f>
        <v>1.7173474106041924</v>
      </c>
      <c r="J30" s="84"/>
      <c r="K30" s="17" t="s">
        <v>23</v>
      </c>
      <c r="L30">
        <f t="shared" si="10"/>
        <v>520990</v>
      </c>
      <c r="M30">
        <f t="shared" si="10"/>
        <v>259520</v>
      </c>
      <c r="O30">
        <f>L30/M30</f>
        <v>2.0075138717632552</v>
      </c>
    </row>
    <row r="36" spans="2:6" ht="34">
      <c r="B36" t="s">
        <v>1</v>
      </c>
      <c r="C36" t="s">
        <v>2</v>
      </c>
      <c r="D36" s="18" t="s">
        <v>41</v>
      </c>
      <c r="E36" s="18" t="s">
        <v>42</v>
      </c>
      <c r="F36" s="18" t="s">
        <v>43</v>
      </c>
    </row>
    <row r="37" spans="2:6">
      <c r="B37" t="s">
        <v>6</v>
      </c>
      <c r="C37">
        <v>11075</v>
      </c>
      <c r="D37">
        <v>317.77679000000001</v>
      </c>
      <c r="E37">
        <v>2553861</v>
      </c>
      <c r="F37">
        <v>0.12443</v>
      </c>
    </row>
    <row r="38" spans="2:6">
      <c r="B38" t="s">
        <v>6</v>
      </c>
      <c r="C38">
        <v>11076</v>
      </c>
      <c r="D38">
        <v>198.96474699999999</v>
      </c>
      <c r="E38">
        <v>1154442</v>
      </c>
      <c r="F38">
        <v>0.172347</v>
      </c>
    </row>
    <row r="39" spans="2:6">
      <c r="B39" t="s">
        <v>6</v>
      </c>
      <c r="C39">
        <v>11077</v>
      </c>
      <c r="D39">
        <v>289.25546800000001</v>
      </c>
      <c r="E39">
        <v>2112073</v>
      </c>
      <c r="F39">
        <v>0.13695299999999999</v>
      </c>
    </row>
    <row r="40" spans="2:6">
      <c r="B40" t="s">
        <v>7</v>
      </c>
      <c r="C40">
        <v>11072</v>
      </c>
      <c r="D40">
        <v>1286.9084800000001</v>
      </c>
      <c r="E40">
        <v>3054811</v>
      </c>
      <c r="F40">
        <v>0.42127300000000001</v>
      </c>
    </row>
    <row r="41" spans="2:6">
      <c r="B41" t="s">
        <v>7</v>
      </c>
      <c r="C41">
        <v>11073</v>
      </c>
      <c r="D41">
        <v>763.33280600000001</v>
      </c>
      <c r="E41">
        <v>1441679</v>
      </c>
      <c r="F41">
        <v>0.52947500000000003</v>
      </c>
    </row>
    <row r="42" spans="2:6">
      <c r="B42" t="s">
        <v>7</v>
      </c>
      <c r="C42">
        <v>11074</v>
      </c>
      <c r="D42">
        <v>1204.1824280000001</v>
      </c>
      <c r="E42">
        <v>2656657</v>
      </c>
      <c r="F42">
        <v>0.45327000000000001</v>
      </c>
    </row>
    <row r="44" spans="2:6">
      <c r="B44" s="84" t="s">
        <v>24</v>
      </c>
      <c r="C44" s="17" t="s">
        <v>21</v>
      </c>
      <c r="D44">
        <f t="shared" ref="D44:E46" si="11">D37+D40</f>
        <v>1604.6852699999999</v>
      </c>
      <c r="E44">
        <f t="shared" si="11"/>
        <v>5608672</v>
      </c>
      <c r="F44">
        <f>D44/E44*1000</f>
        <v>0.28610788257897768</v>
      </c>
    </row>
    <row r="45" spans="2:6">
      <c r="B45" s="84"/>
      <c r="C45" s="17" t="s">
        <v>22</v>
      </c>
      <c r="D45">
        <f t="shared" si="11"/>
        <v>962.29755299999999</v>
      </c>
      <c r="E45">
        <f t="shared" si="11"/>
        <v>2596121</v>
      </c>
      <c r="F45">
        <f>D45/E45*1000</f>
        <v>0.37066745078522917</v>
      </c>
    </row>
    <row r="46" spans="2:6">
      <c r="B46" s="84"/>
      <c r="C46" s="17" t="s">
        <v>23</v>
      </c>
      <c r="D46">
        <f t="shared" si="11"/>
        <v>1493.4378960000001</v>
      </c>
      <c r="E46">
        <f t="shared" si="11"/>
        <v>4768730</v>
      </c>
      <c r="F46">
        <f>D46/E46*1000</f>
        <v>0.31317308717415326</v>
      </c>
    </row>
  </sheetData>
  <mergeCells count="4">
    <mergeCell ref="B11:B13"/>
    <mergeCell ref="B28:B30"/>
    <mergeCell ref="J28:J30"/>
    <mergeCell ref="B44:B4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FCE-D078-6E4B-9F25-605F3BEE3C20}">
  <dimension ref="C1:BJ110"/>
  <sheetViews>
    <sheetView workbookViewId="0">
      <selection activeCell="J6" sqref="J6"/>
    </sheetView>
  </sheetViews>
  <sheetFormatPr baseColWidth="10" defaultRowHeight="16"/>
  <cols>
    <col min="5" max="6" width="14.83203125" customWidth="1"/>
    <col min="7" max="7" width="15.5" customWidth="1"/>
    <col min="8" max="8" width="18.33203125" customWidth="1"/>
    <col min="9" max="9" width="22.33203125" customWidth="1"/>
    <col min="10" max="10" width="24" customWidth="1"/>
    <col min="12" max="12" width="12" bestFit="1" customWidth="1"/>
    <col min="13" max="13" width="11" bestFit="1" customWidth="1"/>
    <col min="51" max="51" width="22" bestFit="1" customWidth="1"/>
    <col min="52" max="52" width="21.1640625" bestFit="1" customWidth="1"/>
    <col min="53" max="53" width="20.33203125" bestFit="1" customWidth="1"/>
    <col min="54" max="54" width="23.5" bestFit="1" customWidth="1"/>
    <col min="55" max="55" width="23.5" customWidth="1"/>
    <col min="56" max="56" width="13.6640625" bestFit="1" customWidth="1"/>
    <col min="57" max="57" width="21.1640625" bestFit="1" customWidth="1"/>
    <col min="58" max="58" width="20.33203125" bestFit="1" customWidth="1"/>
    <col min="59" max="59" width="23.5" bestFit="1" customWidth="1"/>
    <col min="60" max="60" width="31.83203125" bestFit="1" customWidth="1"/>
    <col min="61" max="61" width="33.83203125" bestFit="1" customWidth="1"/>
    <col min="62" max="62" width="16.83203125" bestFit="1" customWidth="1"/>
    <col min="63" max="63" width="20.33203125" bestFit="1" customWidth="1"/>
    <col min="64" max="64" width="23.5" bestFit="1" customWidth="1"/>
    <col min="65" max="65" width="31.83203125" bestFit="1" customWidth="1"/>
    <col min="66" max="66" width="33.83203125" bestFit="1" customWidth="1"/>
    <col min="67" max="67" width="21.1640625" bestFit="1" customWidth="1"/>
    <col min="68" max="68" width="20.33203125" bestFit="1" customWidth="1"/>
    <col min="69" max="69" width="23.5" bestFit="1" customWidth="1"/>
    <col min="70" max="70" width="31.83203125" bestFit="1" customWidth="1"/>
    <col min="71" max="71" width="33.83203125" bestFit="1" customWidth="1"/>
    <col min="72" max="72" width="21.1640625" bestFit="1" customWidth="1"/>
    <col min="73" max="73" width="20.33203125" bestFit="1" customWidth="1"/>
    <col min="74" max="74" width="23.5" bestFit="1" customWidth="1"/>
    <col min="75" max="75" width="31.83203125" bestFit="1" customWidth="1"/>
    <col min="76" max="76" width="33.83203125" bestFit="1" customWidth="1"/>
    <col min="77" max="77" width="21.1640625" bestFit="1" customWidth="1"/>
    <col min="78" max="78" width="20.33203125" bestFit="1" customWidth="1"/>
    <col min="79" max="79" width="23.5" bestFit="1" customWidth="1"/>
    <col min="80" max="80" width="31.83203125" bestFit="1" customWidth="1"/>
    <col min="81" max="81" width="33.83203125" bestFit="1" customWidth="1"/>
    <col min="82" max="82" width="21.1640625" bestFit="1" customWidth="1"/>
    <col min="83" max="83" width="20.33203125" bestFit="1" customWidth="1"/>
    <col min="84" max="84" width="23.5" bestFit="1" customWidth="1"/>
    <col min="85" max="85" width="31.83203125" bestFit="1" customWidth="1"/>
    <col min="86" max="86" width="33.83203125" bestFit="1" customWidth="1"/>
    <col min="87" max="87" width="25.6640625" bestFit="1" customWidth="1"/>
    <col min="88" max="88" width="24.83203125" bestFit="1" customWidth="1"/>
    <col min="89" max="89" width="28" bestFit="1" customWidth="1"/>
    <col min="90" max="90" width="36.33203125" bestFit="1" customWidth="1"/>
    <col min="91" max="91" width="38.33203125" bestFit="1" customWidth="1"/>
  </cols>
  <sheetData>
    <row r="1" spans="3:62" ht="51" customHeight="1">
      <c r="C1" s="18" t="s">
        <v>1</v>
      </c>
      <c r="D1" s="18" t="s">
        <v>25</v>
      </c>
      <c r="E1" s="18" t="s">
        <v>3</v>
      </c>
      <c r="F1" s="18" t="s">
        <v>26</v>
      </c>
      <c r="G1" s="18" t="s">
        <v>27</v>
      </c>
      <c r="H1" s="18" t="s">
        <v>28</v>
      </c>
      <c r="I1" s="18" t="s">
        <v>29</v>
      </c>
      <c r="J1" s="18" t="s">
        <v>30</v>
      </c>
      <c r="K1" s="18" t="s">
        <v>31</v>
      </c>
      <c r="L1" s="18" t="s">
        <v>169</v>
      </c>
      <c r="M1" s="18" t="s">
        <v>32</v>
      </c>
      <c r="N1" s="18" t="s">
        <v>33</v>
      </c>
      <c r="V1" s="39" t="s">
        <v>170</v>
      </c>
      <c r="AF1" s="39"/>
      <c r="AG1" s="39" t="s">
        <v>170</v>
      </c>
      <c r="AR1" s="1" t="s">
        <v>1</v>
      </c>
      <c r="AS1" s="1" t="s">
        <v>25</v>
      </c>
      <c r="AT1" s="1" t="s">
        <v>258</v>
      </c>
      <c r="AU1" s="1" t="s">
        <v>229</v>
      </c>
      <c r="AV1" s="1" t="s">
        <v>230</v>
      </c>
      <c r="AW1" s="1" t="s">
        <v>3</v>
      </c>
      <c r="AX1" s="1" t="s">
        <v>26</v>
      </c>
      <c r="AY1" s="1" t="s">
        <v>27</v>
      </c>
      <c r="AZ1" s="1" t="s">
        <v>28</v>
      </c>
      <c r="BA1" s="1" t="s">
        <v>29</v>
      </c>
      <c r="BB1" t="s">
        <v>30</v>
      </c>
      <c r="BD1" s="3" t="s">
        <v>230</v>
      </c>
      <c r="BE1" t="s">
        <v>234</v>
      </c>
      <c r="BH1" t="s">
        <v>261</v>
      </c>
    </row>
    <row r="2" spans="3:62">
      <c r="C2" t="s">
        <v>6</v>
      </c>
      <c r="D2">
        <v>11075</v>
      </c>
      <c r="E2">
        <v>55280</v>
      </c>
      <c r="F2">
        <v>55280</v>
      </c>
      <c r="G2">
        <v>15647</v>
      </c>
      <c r="H2">
        <v>1330</v>
      </c>
      <c r="I2">
        <v>425</v>
      </c>
      <c r="J2">
        <v>3730.7447951428899</v>
      </c>
      <c r="K2">
        <v>103790</v>
      </c>
      <c r="L2">
        <v>60363</v>
      </c>
      <c r="M2">
        <v>679394</v>
      </c>
      <c r="N2">
        <v>302738</v>
      </c>
      <c r="P2">
        <f>H2/F2</f>
        <v>2.405933429811867E-2</v>
      </c>
      <c r="V2" s="39" t="s">
        <v>51</v>
      </c>
      <c r="AF2" s="39"/>
      <c r="AG2" s="39" t="s">
        <v>51</v>
      </c>
      <c r="AR2" s="1" t="s">
        <v>6</v>
      </c>
      <c r="AS2" s="1">
        <v>11075</v>
      </c>
      <c r="AT2" s="51" t="s">
        <v>21</v>
      </c>
      <c r="AU2" s="1" t="s">
        <v>250</v>
      </c>
      <c r="AV2" s="1" t="s">
        <v>248</v>
      </c>
      <c r="AW2" s="1">
        <v>50993</v>
      </c>
      <c r="AX2" s="1">
        <v>50991</v>
      </c>
      <c r="AY2" s="1">
        <v>2310</v>
      </c>
      <c r="AZ2" s="1">
        <v>33</v>
      </c>
      <c r="BA2" s="1">
        <v>7</v>
      </c>
      <c r="BB2">
        <v>64.941726836252101</v>
      </c>
    </row>
    <row r="3" spans="3:62">
      <c r="C3" t="s">
        <v>6</v>
      </c>
      <c r="D3">
        <v>11076</v>
      </c>
      <c r="E3">
        <v>54806</v>
      </c>
      <c r="F3">
        <v>54806</v>
      </c>
      <c r="G3">
        <v>9588</v>
      </c>
      <c r="H3">
        <v>724</v>
      </c>
      <c r="I3">
        <v>313</v>
      </c>
      <c r="J3">
        <v>2972.43487514659</v>
      </c>
      <c r="K3">
        <v>104421</v>
      </c>
      <c r="L3">
        <v>78084</v>
      </c>
      <c r="M3">
        <v>737230</v>
      </c>
      <c r="N3">
        <v>330964</v>
      </c>
      <c r="P3">
        <f t="shared" ref="P3:P11" si="0">H3/F3</f>
        <v>1.3210232456300404E-2</v>
      </c>
      <c r="V3" s="39" t="s">
        <v>68</v>
      </c>
      <c r="AF3" s="39"/>
      <c r="AG3" s="39" t="s">
        <v>68</v>
      </c>
      <c r="AR3" s="1" t="s">
        <v>6</v>
      </c>
      <c r="AS3" s="1">
        <v>11075</v>
      </c>
      <c r="AT3" s="51" t="s">
        <v>21</v>
      </c>
      <c r="AU3" s="1" t="s">
        <v>233</v>
      </c>
      <c r="AV3" s="1" t="s">
        <v>248</v>
      </c>
      <c r="AW3" s="1">
        <v>61</v>
      </c>
      <c r="AX3" s="1">
        <v>61</v>
      </c>
      <c r="AY3" s="1">
        <v>10</v>
      </c>
      <c r="AZ3" s="1">
        <v>0</v>
      </c>
      <c r="BA3" s="1">
        <v>0</v>
      </c>
      <c r="BB3">
        <v>0</v>
      </c>
      <c r="BD3" s="3" t="s">
        <v>8</v>
      </c>
      <c r="BE3" t="s">
        <v>237</v>
      </c>
      <c r="BF3" t="s">
        <v>238</v>
      </c>
      <c r="BG3" t="s">
        <v>239</v>
      </c>
      <c r="BH3" t="s">
        <v>240</v>
      </c>
      <c r="BI3" t="s">
        <v>241</v>
      </c>
      <c r="BJ3" t="s">
        <v>347</v>
      </c>
    </row>
    <row r="4" spans="3:62">
      <c r="C4" t="s">
        <v>6</v>
      </c>
      <c r="D4">
        <v>11077</v>
      </c>
      <c r="E4">
        <v>55057</v>
      </c>
      <c r="F4">
        <v>55057</v>
      </c>
      <c r="G4">
        <v>12986</v>
      </c>
      <c r="H4">
        <v>966</v>
      </c>
      <c r="I4">
        <v>344</v>
      </c>
      <c r="J4">
        <v>3305.66118787299</v>
      </c>
      <c r="K4">
        <v>103583</v>
      </c>
      <c r="L4">
        <v>72924</v>
      </c>
      <c r="M4">
        <v>715160</v>
      </c>
      <c r="N4">
        <v>325439</v>
      </c>
      <c r="P4">
        <f t="shared" si="0"/>
        <v>1.7545452894273207E-2</v>
      </c>
      <c r="V4" s="40" t="s">
        <v>69</v>
      </c>
      <c r="AF4" s="40"/>
      <c r="AG4" s="40" t="s">
        <v>69</v>
      </c>
      <c r="AR4" s="1" t="s">
        <v>6</v>
      </c>
      <c r="AS4" s="1">
        <v>11075</v>
      </c>
      <c r="AT4" s="51" t="s">
        <v>21</v>
      </c>
      <c r="AU4" s="1" t="s">
        <v>231</v>
      </c>
      <c r="AV4" s="1" t="s">
        <v>248</v>
      </c>
      <c r="AW4" s="1">
        <v>52407</v>
      </c>
      <c r="AX4" s="1">
        <v>52406</v>
      </c>
      <c r="AY4" s="1">
        <v>13340</v>
      </c>
      <c r="AZ4" s="1">
        <v>1156</v>
      </c>
      <c r="BA4" s="1">
        <v>347</v>
      </c>
      <c r="BB4">
        <v>2950.1826892969598</v>
      </c>
      <c r="BD4" s="4" t="s">
        <v>231</v>
      </c>
      <c r="BE4" s="8">
        <v>8244</v>
      </c>
      <c r="BF4" s="8">
        <v>2420</v>
      </c>
      <c r="BG4" s="8">
        <v>772</v>
      </c>
      <c r="BH4" s="8">
        <v>263</v>
      </c>
      <c r="BI4" s="53">
        <v>8156.184987355593</v>
      </c>
      <c r="BJ4" s="8">
        <v>4</v>
      </c>
    </row>
    <row r="5" spans="3:62">
      <c r="C5" t="s">
        <v>7</v>
      </c>
      <c r="D5">
        <v>11072</v>
      </c>
      <c r="E5">
        <v>97161</v>
      </c>
      <c r="F5">
        <v>97146</v>
      </c>
      <c r="G5">
        <v>24811</v>
      </c>
      <c r="H5">
        <v>12230</v>
      </c>
      <c r="I5">
        <v>3127</v>
      </c>
      <c r="J5">
        <v>110230.34555925601</v>
      </c>
      <c r="K5">
        <v>55626</v>
      </c>
      <c r="L5">
        <v>26332</v>
      </c>
      <c r="M5">
        <v>338172</v>
      </c>
      <c r="N5">
        <v>129242</v>
      </c>
      <c r="P5">
        <f t="shared" si="0"/>
        <v>0.12589298581516481</v>
      </c>
      <c r="V5" s="40" t="s">
        <v>171</v>
      </c>
      <c r="AF5" s="40"/>
      <c r="AG5" s="40" t="s">
        <v>171</v>
      </c>
      <c r="AR5" s="1" t="s">
        <v>6</v>
      </c>
      <c r="AS5" s="1">
        <v>11075</v>
      </c>
      <c r="AT5" s="51" t="s">
        <v>21</v>
      </c>
      <c r="AU5" s="1" t="s">
        <v>232</v>
      </c>
      <c r="AV5" s="1" t="s">
        <v>248</v>
      </c>
      <c r="AW5" s="1">
        <v>202</v>
      </c>
      <c r="AX5" s="1">
        <v>202</v>
      </c>
      <c r="AY5" s="1">
        <v>60</v>
      </c>
      <c r="AZ5" s="1">
        <v>5</v>
      </c>
      <c r="BA5" s="50">
        <v>3</v>
      </c>
      <c r="BB5">
        <v>46.014439135013099</v>
      </c>
      <c r="BD5" s="10" t="s">
        <v>22</v>
      </c>
      <c r="BE5" s="8">
        <v>5269</v>
      </c>
      <c r="BF5" s="8">
        <v>1720</v>
      </c>
      <c r="BG5" s="8">
        <v>583</v>
      </c>
      <c r="BH5" s="8">
        <v>192</v>
      </c>
      <c r="BI5" s="53">
        <v>5953.4192679492553</v>
      </c>
      <c r="BJ5" s="8">
        <v>2</v>
      </c>
    </row>
    <row r="6" spans="3:62">
      <c r="C6" t="s">
        <v>7</v>
      </c>
      <c r="D6">
        <v>11073</v>
      </c>
      <c r="E6">
        <v>96612</v>
      </c>
      <c r="F6">
        <v>96597</v>
      </c>
      <c r="G6">
        <v>18581</v>
      </c>
      <c r="H6">
        <v>9907</v>
      </c>
      <c r="I6">
        <v>2385</v>
      </c>
      <c r="J6">
        <v>88142.827624347105</v>
      </c>
      <c r="K6">
        <v>55357</v>
      </c>
      <c r="L6">
        <v>34826</v>
      </c>
      <c r="M6">
        <v>372956</v>
      </c>
      <c r="N6">
        <v>145526</v>
      </c>
      <c r="P6">
        <f t="shared" si="0"/>
        <v>0.1025601209147282</v>
      </c>
      <c r="V6" s="39" t="s">
        <v>172</v>
      </c>
      <c r="AF6" s="39"/>
      <c r="AG6" s="39" t="s">
        <v>172</v>
      </c>
      <c r="AR6" s="1" t="s">
        <v>6</v>
      </c>
      <c r="AS6" s="1">
        <v>11075</v>
      </c>
      <c r="AT6" s="51" t="s">
        <v>21</v>
      </c>
      <c r="AU6" s="1" t="s">
        <v>249</v>
      </c>
      <c r="AV6" s="1" t="s">
        <v>248</v>
      </c>
      <c r="AW6" s="1">
        <v>24992</v>
      </c>
      <c r="AX6" s="1">
        <v>24982</v>
      </c>
      <c r="AY6" s="1">
        <v>2338</v>
      </c>
      <c r="AZ6" s="1">
        <v>139</v>
      </c>
      <c r="BA6" s="1">
        <v>70</v>
      </c>
      <c r="BB6">
        <v>669.60593987466098</v>
      </c>
      <c r="BD6" s="10" t="s">
        <v>23</v>
      </c>
      <c r="BE6" s="8">
        <v>2975</v>
      </c>
      <c r="BF6" s="8">
        <v>700</v>
      </c>
      <c r="BG6" s="8">
        <v>189</v>
      </c>
      <c r="BH6" s="8">
        <v>71</v>
      </c>
      <c r="BI6" s="53">
        <v>2202.7657194063381</v>
      </c>
      <c r="BJ6" s="8">
        <v>2</v>
      </c>
    </row>
    <row r="7" spans="3:62">
      <c r="C7" t="s">
        <v>7</v>
      </c>
      <c r="D7">
        <v>11074</v>
      </c>
      <c r="E7">
        <v>96960</v>
      </c>
      <c r="F7">
        <v>96948</v>
      </c>
      <c r="G7">
        <v>20433</v>
      </c>
      <c r="H7">
        <v>10331</v>
      </c>
      <c r="I7">
        <v>2462</v>
      </c>
      <c r="J7">
        <v>89765.668020520898</v>
      </c>
      <c r="K7">
        <v>55413</v>
      </c>
      <c r="L7">
        <v>32212</v>
      </c>
      <c r="M7">
        <v>396751</v>
      </c>
      <c r="N7">
        <v>149289</v>
      </c>
      <c r="P7">
        <f t="shared" si="0"/>
        <v>0.10656228081033131</v>
      </c>
      <c r="V7" s="39" t="s">
        <v>173</v>
      </c>
      <c r="AF7" s="39"/>
      <c r="AG7" s="39" t="s">
        <v>173</v>
      </c>
      <c r="AR7" s="1" t="s">
        <v>6</v>
      </c>
      <c r="AS7" s="1">
        <v>11076</v>
      </c>
      <c r="AT7" s="51" t="s">
        <v>259</v>
      </c>
      <c r="AU7" s="1" t="s">
        <v>250</v>
      </c>
      <c r="AV7" s="1" t="s">
        <v>248</v>
      </c>
      <c r="AW7" s="1">
        <v>50815</v>
      </c>
      <c r="AX7" s="1">
        <v>50815</v>
      </c>
      <c r="AY7" s="1">
        <v>2209</v>
      </c>
      <c r="AZ7" s="1">
        <v>26</v>
      </c>
      <c r="BA7" s="50">
        <v>3</v>
      </c>
      <c r="BB7">
        <v>56.327539427901101</v>
      </c>
      <c r="BD7" s="4" t="s">
        <v>9</v>
      </c>
      <c r="BE7" s="8">
        <v>8244</v>
      </c>
      <c r="BF7" s="8">
        <v>2420</v>
      </c>
      <c r="BG7" s="8">
        <v>772</v>
      </c>
      <c r="BH7" s="8">
        <v>263</v>
      </c>
      <c r="BI7" s="8">
        <v>8156.184987355593</v>
      </c>
      <c r="BJ7" s="8">
        <v>4</v>
      </c>
    </row>
    <row r="8" spans="3:62">
      <c r="V8" s="39" t="s">
        <v>174</v>
      </c>
      <c r="AF8" s="39"/>
      <c r="AG8" s="39" t="s">
        <v>174</v>
      </c>
      <c r="AR8" s="1" t="s">
        <v>6</v>
      </c>
      <c r="AS8" s="1">
        <v>11076</v>
      </c>
      <c r="AT8" s="51" t="s">
        <v>259</v>
      </c>
      <c r="AU8" s="1" t="s">
        <v>231</v>
      </c>
      <c r="AV8" s="1" t="s">
        <v>234</v>
      </c>
      <c r="AW8" s="1">
        <v>2957</v>
      </c>
      <c r="AX8" s="1">
        <v>2957</v>
      </c>
      <c r="AY8" s="1">
        <v>765</v>
      </c>
      <c r="AZ8" s="1">
        <v>110</v>
      </c>
      <c r="BA8" s="1">
        <v>47</v>
      </c>
      <c r="BB8">
        <v>388.38260461660502</v>
      </c>
    </row>
    <row r="9" spans="3:62">
      <c r="C9" s="84" t="s">
        <v>24</v>
      </c>
      <c r="D9" s="17" t="s">
        <v>21</v>
      </c>
      <c r="E9">
        <f>E2+E5</f>
        <v>152441</v>
      </c>
      <c r="F9">
        <f>F2+F5</f>
        <v>152426</v>
      </c>
      <c r="H9">
        <f>H2+H5</f>
        <v>13560</v>
      </c>
      <c r="I9">
        <f>I2+I5</f>
        <v>3552</v>
      </c>
      <c r="J9">
        <f>J2+J5</f>
        <v>113961.0903543989</v>
      </c>
      <c r="P9">
        <f t="shared" si="0"/>
        <v>8.8961200845000199E-2</v>
      </c>
      <c r="V9" s="39" t="s">
        <v>175</v>
      </c>
      <c r="AF9" s="39"/>
      <c r="AG9" s="39" t="s">
        <v>175</v>
      </c>
      <c r="AR9" s="1" t="s">
        <v>6</v>
      </c>
      <c r="AS9" s="1">
        <v>11076</v>
      </c>
      <c r="AT9" s="51" t="s">
        <v>259</v>
      </c>
      <c r="AU9" s="1" t="s">
        <v>233</v>
      </c>
      <c r="AV9" s="1" t="s">
        <v>248</v>
      </c>
      <c r="AW9" s="1">
        <v>83</v>
      </c>
      <c r="AX9" s="1">
        <v>83</v>
      </c>
      <c r="AY9" s="1">
        <v>16</v>
      </c>
      <c r="AZ9" s="1">
        <v>0</v>
      </c>
      <c r="BA9" s="1">
        <v>0</v>
      </c>
      <c r="BB9">
        <v>0</v>
      </c>
    </row>
    <row r="10" spans="3:62">
      <c r="C10" s="84"/>
      <c r="D10" s="17" t="s">
        <v>22</v>
      </c>
      <c r="E10">
        <f t="shared" ref="E10:F10" si="1">E3+E6</f>
        <v>151418</v>
      </c>
      <c r="F10">
        <f t="shared" si="1"/>
        <v>151403</v>
      </c>
      <c r="H10">
        <f t="shared" ref="H10" si="2">H3+H6</f>
        <v>10631</v>
      </c>
      <c r="I10">
        <f t="shared" ref="I10" si="3">I3+I6</f>
        <v>2698</v>
      </c>
      <c r="J10">
        <f t="shared" ref="J10" si="4">J3+J6</f>
        <v>91115.262499493692</v>
      </c>
      <c r="L10" s="57">
        <f>J10-J9</f>
        <v>-22845.827854905205</v>
      </c>
      <c r="M10" s="57">
        <f>L10/15</f>
        <v>-1523.0551903270136</v>
      </c>
      <c r="P10">
        <f t="shared" si="0"/>
        <v>7.0216574308303012E-2</v>
      </c>
      <c r="V10" s="40" t="s">
        <v>71</v>
      </c>
      <c r="AF10" s="40"/>
      <c r="AG10" s="40" t="s">
        <v>71</v>
      </c>
      <c r="AR10" s="1" t="s">
        <v>6</v>
      </c>
      <c r="AS10" s="1">
        <v>11076</v>
      </c>
      <c r="AT10" s="51" t="s">
        <v>259</v>
      </c>
      <c r="AU10" s="1" t="s">
        <v>232</v>
      </c>
      <c r="AV10" s="1" t="s">
        <v>248</v>
      </c>
      <c r="AW10" s="1">
        <v>272</v>
      </c>
      <c r="AX10" s="1">
        <v>272</v>
      </c>
      <c r="AY10" s="1">
        <v>101</v>
      </c>
      <c r="AZ10" s="1">
        <v>2</v>
      </c>
      <c r="BA10" s="1">
        <v>0</v>
      </c>
      <c r="BB10">
        <v>0</v>
      </c>
    </row>
    <row r="11" spans="3:62">
      <c r="C11" s="84"/>
      <c r="D11" s="17" t="s">
        <v>23</v>
      </c>
      <c r="E11">
        <f>E4+E7</f>
        <v>152017</v>
      </c>
      <c r="F11">
        <f>F4+F7</f>
        <v>152005</v>
      </c>
      <c r="H11">
        <f>H4+H7</f>
        <v>11297</v>
      </c>
      <c r="I11">
        <f>I4+I7</f>
        <v>2806</v>
      </c>
      <c r="J11">
        <f>J4+J7</f>
        <v>93071.329208393887</v>
      </c>
      <c r="L11">
        <f>J11-J9</f>
        <v>-20889.76114600501</v>
      </c>
      <c r="M11" s="57">
        <f>L11/15</f>
        <v>-1392.6507430670006</v>
      </c>
      <c r="P11">
        <f t="shared" si="0"/>
        <v>7.4319923686720829E-2</v>
      </c>
      <c r="V11" s="41" t="s">
        <v>58</v>
      </c>
      <c r="AF11" s="41"/>
      <c r="AG11" s="41" t="s">
        <v>58</v>
      </c>
      <c r="AR11" s="1" t="s">
        <v>6</v>
      </c>
      <c r="AS11" s="1">
        <v>11076</v>
      </c>
      <c r="AT11" s="51" t="s">
        <v>259</v>
      </c>
      <c r="AU11" s="1" t="s">
        <v>231</v>
      </c>
      <c r="AV11" s="1" t="s">
        <v>248</v>
      </c>
      <c r="AW11" s="1">
        <v>17543</v>
      </c>
      <c r="AX11" s="1">
        <v>17542</v>
      </c>
      <c r="AY11" s="1">
        <v>5129</v>
      </c>
      <c r="AZ11" s="1">
        <v>396</v>
      </c>
      <c r="BA11" s="1">
        <v>160</v>
      </c>
      <c r="BB11">
        <v>1573.2853045668001</v>
      </c>
    </row>
    <row r="12" spans="3:62">
      <c r="V12" s="40" t="s">
        <v>176</v>
      </c>
      <c r="AF12" s="40"/>
      <c r="AG12" s="40" t="s">
        <v>176</v>
      </c>
      <c r="AR12" s="1" t="s">
        <v>6</v>
      </c>
      <c r="AS12" s="1">
        <v>11076</v>
      </c>
      <c r="AT12" s="51" t="s">
        <v>259</v>
      </c>
      <c r="AU12" s="1" t="s">
        <v>249</v>
      </c>
      <c r="AV12" s="1" t="s">
        <v>248</v>
      </c>
      <c r="AW12" s="1">
        <v>27771</v>
      </c>
      <c r="AX12" s="1">
        <v>27770</v>
      </c>
      <c r="AY12" s="1">
        <v>3191</v>
      </c>
      <c r="AZ12" s="1">
        <v>193</v>
      </c>
      <c r="BA12" s="1">
        <v>103</v>
      </c>
      <c r="BB12">
        <v>954.43942653528995</v>
      </c>
    </row>
    <row r="13" spans="3:62">
      <c r="V13" s="40" t="s">
        <v>177</v>
      </c>
      <c r="AF13" s="40"/>
      <c r="AG13" s="40" t="s">
        <v>177</v>
      </c>
      <c r="AR13" s="1" t="s">
        <v>6</v>
      </c>
      <c r="AS13" s="1">
        <v>11077</v>
      </c>
      <c r="AT13" s="51" t="s">
        <v>260</v>
      </c>
      <c r="AU13" s="1" t="s">
        <v>249</v>
      </c>
      <c r="AV13" s="1" t="s">
        <v>248</v>
      </c>
      <c r="AW13" s="1">
        <v>26317</v>
      </c>
      <c r="AX13" s="1">
        <v>26316</v>
      </c>
      <c r="AY13" s="1">
        <v>2494</v>
      </c>
      <c r="AZ13" s="1">
        <v>159</v>
      </c>
      <c r="BA13" s="1">
        <v>75</v>
      </c>
      <c r="BB13">
        <v>629.40178452326995</v>
      </c>
    </row>
    <row r="14" spans="3:62">
      <c r="V14" s="40" t="s">
        <v>178</v>
      </c>
      <c r="AF14" s="40"/>
      <c r="AG14" s="40" t="s">
        <v>178</v>
      </c>
      <c r="AR14" s="1" t="s">
        <v>6</v>
      </c>
      <c r="AS14" s="1">
        <v>11077</v>
      </c>
      <c r="AT14" s="51" t="s">
        <v>260</v>
      </c>
      <c r="AU14" s="1" t="s">
        <v>233</v>
      </c>
      <c r="AV14" s="1" t="s">
        <v>248</v>
      </c>
      <c r="AW14" s="1">
        <v>72</v>
      </c>
      <c r="AX14" s="1">
        <v>72</v>
      </c>
      <c r="AY14" s="1">
        <v>15</v>
      </c>
      <c r="AZ14" s="1">
        <v>0</v>
      </c>
      <c r="BA14" s="1">
        <v>0</v>
      </c>
      <c r="BB14">
        <v>0</v>
      </c>
    </row>
    <row r="15" spans="3:62">
      <c r="V15" s="40" t="s">
        <v>179</v>
      </c>
      <c r="AF15" s="40"/>
      <c r="AG15" s="40" t="s">
        <v>179</v>
      </c>
      <c r="AR15" s="1" t="s">
        <v>6</v>
      </c>
      <c r="AS15" s="1">
        <v>11077</v>
      </c>
      <c r="AT15" s="51" t="s">
        <v>260</v>
      </c>
      <c r="AU15" s="1" t="s">
        <v>232</v>
      </c>
      <c r="AV15" s="1" t="s">
        <v>248</v>
      </c>
      <c r="AW15" s="1">
        <v>251</v>
      </c>
      <c r="AX15" s="1">
        <v>251</v>
      </c>
      <c r="AY15" s="1">
        <v>81</v>
      </c>
      <c r="AZ15" s="1">
        <v>0</v>
      </c>
      <c r="BA15" s="50">
        <v>0</v>
      </c>
      <c r="BB15">
        <v>0</v>
      </c>
    </row>
    <row r="16" spans="3:62">
      <c r="V16" s="40" t="s">
        <v>180</v>
      </c>
      <c r="AF16" s="40"/>
      <c r="AG16" s="40" t="s">
        <v>180</v>
      </c>
      <c r="AR16" s="1" t="s">
        <v>6</v>
      </c>
      <c r="AS16" s="1">
        <v>11077</v>
      </c>
      <c r="AT16" s="51" t="s">
        <v>260</v>
      </c>
      <c r="AU16" s="1" t="s">
        <v>231</v>
      </c>
      <c r="AV16" s="1" t="s">
        <v>248</v>
      </c>
      <c r="AW16" s="1">
        <v>52105</v>
      </c>
      <c r="AX16" s="1">
        <v>52105</v>
      </c>
      <c r="AY16" s="1">
        <v>10273</v>
      </c>
      <c r="AZ16" s="1">
        <v>749</v>
      </c>
      <c r="BA16" s="1">
        <v>245</v>
      </c>
      <c r="BB16">
        <v>2407.1463400521402</v>
      </c>
    </row>
    <row r="17" spans="22:62" s="18" customFormat="1" ht="74" customHeight="1">
      <c r="V17" s="46" t="s">
        <v>181</v>
      </c>
      <c r="AF17" s="76"/>
      <c r="AG17" s="76" t="s">
        <v>181</v>
      </c>
      <c r="AR17" s="77" t="s">
        <v>6</v>
      </c>
      <c r="AS17" s="77">
        <v>11077</v>
      </c>
      <c r="AT17" s="78" t="s">
        <v>260</v>
      </c>
      <c r="AU17" s="77" t="s">
        <v>231</v>
      </c>
      <c r="AV17" s="77" t="s">
        <v>234</v>
      </c>
      <c r="AW17" s="77">
        <v>1635</v>
      </c>
      <c r="AX17" s="77">
        <v>1634</v>
      </c>
      <c r="AY17" s="77">
        <v>278</v>
      </c>
      <c r="AZ17" s="77">
        <v>34</v>
      </c>
      <c r="BA17" s="77">
        <v>19</v>
      </c>
      <c r="BB17" s="18">
        <v>159.19396817979799</v>
      </c>
      <c r="BD17"/>
      <c r="BE17"/>
      <c r="BF17"/>
      <c r="BG17"/>
      <c r="BH17"/>
      <c r="BI17"/>
      <c r="BJ17"/>
    </row>
    <row r="18" spans="22:62">
      <c r="V18" s="40" t="s">
        <v>182</v>
      </c>
      <c r="AF18" s="40"/>
      <c r="AG18" s="40" t="s">
        <v>182</v>
      </c>
      <c r="AR18" s="1" t="s">
        <v>6</v>
      </c>
      <c r="AS18" s="1">
        <v>11077</v>
      </c>
      <c r="AT18" s="51" t="s">
        <v>260</v>
      </c>
      <c r="AU18" s="1" t="s">
        <v>250</v>
      </c>
      <c r="AV18" s="1" t="s">
        <v>248</v>
      </c>
      <c r="AW18" s="1">
        <v>50865</v>
      </c>
      <c r="AX18" s="1">
        <v>50865</v>
      </c>
      <c r="AY18" s="1">
        <v>2284</v>
      </c>
      <c r="AZ18" s="1">
        <v>28</v>
      </c>
      <c r="BA18" s="1">
        <v>6</v>
      </c>
      <c r="BB18">
        <v>109.919095117772</v>
      </c>
    </row>
    <row r="19" spans="22:62">
      <c r="V19" s="40" t="s">
        <v>72</v>
      </c>
      <c r="AF19" s="40"/>
      <c r="AG19" s="40" t="s">
        <v>72</v>
      </c>
      <c r="AR19" s="1" t="s">
        <v>7</v>
      </c>
      <c r="AS19" s="1">
        <v>11072</v>
      </c>
      <c r="AT19" s="51" t="s">
        <v>21</v>
      </c>
      <c r="AU19" s="1" t="s">
        <v>231</v>
      </c>
      <c r="AV19" s="1" t="s">
        <v>248</v>
      </c>
      <c r="AW19" s="1">
        <v>46398</v>
      </c>
      <c r="AX19" s="1">
        <v>46394</v>
      </c>
      <c r="AY19" s="1">
        <v>14190</v>
      </c>
      <c r="AZ19" s="1">
        <v>4835</v>
      </c>
      <c r="BA19" s="1">
        <v>1577</v>
      </c>
      <c r="BB19">
        <v>48948.6060079909</v>
      </c>
    </row>
    <row r="20" spans="22:62">
      <c r="V20" s="39" t="s">
        <v>59</v>
      </c>
      <c r="AF20" s="39"/>
      <c r="AG20" s="39" t="s">
        <v>59</v>
      </c>
      <c r="AR20" s="1" t="s">
        <v>7</v>
      </c>
      <c r="AS20" s="1">
        <v>11072</v>
      </c>
      <c r="AT20" s="51" t="s">
        <v>21</v>
      </c>
      <c r="AU20" s="1" t="s">
        <v>233</v>
      </c>
      <c r="AV20" s="1" t="s">
        <v>248</v>
      </c>
      <c r="AW20" s="1">
        <v>63</v>
      </c>
      <c r="AX20" s="1">
        <v>63</v>
      </c>
      <c r="AY20" s="1">
        <v>10</v>
      </c>
      <c r="AZ20" s="1">
        <v>4</v>
      </c>
      <c r="BA20" s="50">
        <v>3</v>
      </c>
      <c r="BB20">
        <v>70.303254188753797</v>
      </c>
    </row>
    <row r="21" spans="22:62">
      <c r="V21" s="41" t="s">
        <v>73</v>
      </c>
      <c r="AF21" s="41"/>
      <c r="AG21" s="41" t="s">
        <v>73</v>
      </c>
      <c r="AR21" s="1" t="s">
        <v>7</v>
      </c>
      <c r="AS21" s="1">
        <v>11072</v>
      </c>
      <c r="AT21" s="51" t="s">
        <v>21</v>
      </c>
      <c r="AU21" s="1" t="s">
        <v>232</v>
      </c>
      <c r="AV21" s="1" t="s">
        <v>248</v>
      </c>
      <c r="AW21" s="1">
        <v>277</v>
      </c>
      <c r="AX21" s="1">
        <v>277</v>
      </c>
      <c r="AY21" s="1">
        <v>96</v>
      </c>
      <c r="AZ21" s="1">
        <v>19</v>
      </c>
      <c r="BA21" s="50">
        <v>5</v>
      </c>
      <c r="BB21">
        <v>120.066497119098</v>
      </c>
    </row>
    <row r="22" spans="22:62">
      <c r="V22" s="39" t="s">
        <v>74</v>
      </c>
      <c r="AF22" s="39"/>
      <c r="AG22" s="39" t="s">
        <v>74</v>
      </c>
      <c r="AR22" s="1" t="s">
        <v>7</v>
      </c>
      <c r="AS22" s="1">
        <v>11072</v>
      </c>
      <c r="AT22" s="51" t="s">
        <v>21</v>
      </c>
      <c r="AU22" s="1" t="s">
        <v>249</v>
      </c>
      <c r="AV22" s="1" t="s">
        <v>248</v>
      </c>
      <c r="AW22" s="1">
        <v>6868</v>
      </c>
      <c r="AX22" s="1">
        <v>6860</v>
      </c>
      <c r="AY22" s="1">
        <v>1100</v>
      </c>
      <c r="AZ22" s="1">
        <v>474</v>
      </c>
      <c r="BA22" s="1">
        <v>170</v>
      </c>
      <c r="BB22">
        <v>4360.1080818128703</v>
      </c>
    </row>
    <row r="23" spans="22:62">
      <c r="V23" s="42" t="s">
        <v>183</v>
      </c>
      <c r="AF23" s="42"/>
      <c r="AG23" s="42" t="s">
        <v>235</v>
      </c>
      <c r="AR23" s="1" t="s">
        <v>7</v>
      </c>
      <c r="AS23" s="1">
        <v>11072</v>
      </c>
      <c r="AT23" s="51" t="s">
        <v>21</v>
      </c>
      <c r="AU23" s="1" t="s">
        <v>250</v>
      </c>
      <c r="AV23" s="1" t="s">
        <v>248</v>
      </c>
      <c r="AW23" s="1">
        <v>94547</v>
      </c>
      <c r="AX23" s="1">
        <v>94531</v>
      </c>
      <c r="AY23" s="1">
        <v>11415</v>
      </c>
      <c r="AZ23" s="1">
        <v>6954</v>
      </c>
      <c r="BA23" s="50">
        <v>1375</v>
      </c>
      <c r="BB23">
        <v>56731.261718144298</v>
      </c>
    </row>
    <row r="24" spans="22:62">
      <c r="V24" s="40" t="s">
        <v>184</v>
      </c>
      <c r="AF24" s="40"/>
      <c r="AG24" s="40" t="s">
        <v>184</v>
      </c>
      <c r="AR24" s="1" t="s">
        <v>7</v>
      </c>
      <c r="AS24" s="1">
        <v>11073</v>
      </c>
      <c r="AT24" s="51" t="s">
        <v>259</v>
      </c>
      <c r="AU24" s="1" t="s">
        <v>249</v>
      </c>
      <c r="AV24" s="1" t="s">
        <v>248</v>
      </c>
      <c r="AW24" s="1">
        <v>7337</v>
      </c>
      <c r="AX24" s="1">
        <v>7323</v>
      </c>
      <c r="AY24" s="1">
        <v>1081</v>
      </c>
      <c r="AZ24" s="1">
        <v>425</v>
      </c>
      <c r="BA24" s="1">
        <v>173</v>
      </c>
      <c r="BB24">
        <v>4632.4887788517999</v>
      </c>
    </row>
    <row r="25" spans="22:62">
      <c r="V25" s="39" t="s">
        <v>76</v>
      </c>
      <c r="AF25" s="39"/>
      <c r="AG25" s="39" t="s">
        <v>76</v>
      </c>
      <c r="AR25" s="1" t="s">
        <v>7</v>
      </c>
      <c r="AS25" s="1">
        <v>11073</v>
      </c>
      <c r="AT25" s="51" t="s">
        <v>259</v>
      </c>
      <c r="AU25" s="1" t="s">
        <v>250</v>
      </c>
      <c r="AV25" s="1" t="s">
        <v>248</v>
      </c>
      <c r="AW25" s="1">
        <v>95282</v>
      </c>
      <c r="AX25" s="1">
        <v>95264</v>
      </c>
      <c r="AY25" s="1">
        <v>11392</v>
      </c>
      <c r="AZ25" s="1">
        <v>7052</v>
      </c>
      <c r="BA25" s="1">
        <v>1373</v>
      </c>
      <c r="BB25">
        <v>57988.628151735502</v>
      </c>
    </row>
    <row r="26" spans="22:62">
      <c r="V26" s="39" t="s">
        <v>65</v>
      </c>
      <c r="AF26" s="39"/>
      <c r="AG26" s="39" t="s">
        <v>65</v>
      </c>
      <c r="AR26" s="1" t="s">
        <v>7</v>
      </c>
      <c r="AS26" s="1">
        <v>11073</v>
      </c>
      <c r="AT26" s="51" t="s">
        <v>259</v>
      </c>
      <c r="AU26" s="1" t="s">
        <v>232</v>
      </c>
      <c r="AV26" s="1" t="s">
        <v>248</v>
      </c>
      <c r="AW26" s="1">
        <v>390</v>
      </c>
      <c r="AX26" s="1">
        <v>390</v>
      </c>
      <c r="AY26" s="1">
        <v>131</v>
      </c>
      <c r="AZ26" s="1">
        <v>29</v>
      </c>
      <c r="BA26" s="50">
        <v>11</v>
      </c>
      <c r="BB26">
        <v>209.386931737108</v>
      </c>
    </row>
    <row r="27" spans="22:62">
      <c r="V27" s="39" t="s">
        <v>185</v>
      </c>
      <c r="AF27" s="39"/>
      <c r="AG27" s="39" t="s">
        <v>185</v>
      </c>
      <c r="AR27" s="1" t="s">
        <v>7</v>
      </c>
      <c r="AS27" s="1">
        <v>11073</v>
      </c>
      <c r="AT27" s="51" t="s">
        <v>259</v>
      </c>
      <c r="AU27" s="1" t="s">
        <v>231</v>
      </c>
      <c r="AV27" s="1" t="s">
        <v>234</v>
      </c>
      <c r="AW27" s="1">
        <v>2312</v>
      </c>
      <c r="AX27" s="1">
        <v>2312</v>
      </c>
      <c r="AY27" s="1">
        <v>955</v>
      </c>
      <c r="AZ27" s="1">
        <v>473</v>
      </c>
      <c r="BA27" s="50">
        <v>145</v>
      </c>
      <c r="BB27">
        <v>5565.0366633326503</v>
      </c>
    </row>
    <row r="28" spans="22:62">
      <c r="V28" s="43" t="s">
        <v>66</v>
      </c>
      <c r="AF28" s="43"/>
      <c r="AG28" s="43" t="s">
        <v>66</v>
      </c>
      <c r="AR28" s="1" t="s">
        <v>7</v>
      </c>
      <c r="AS28" s="1">
        <v>11073</v>
      </c>
      <c r="AT28" s="51" t="s">
        <v>259</v>
      </c>
      <c r="AU28" s="1" t="s">
        <v>231</v>
      </c>
      <c r="AV28" s="1" t="s">
        <v>248</v>
      </c>
      <c r="AW28" s="1">
        <v>18068</v>
      </c>
      <c r="AX28" s="1">
        <v>18055</v>
      </c>
      <c r="AY28" s="1">
        <v>6481</v>
      </c>
      <c r="AZ28" s="1">
        <v>1976</v>
      </c>
      <c r="BA28" s="50">
        <v>685</v>
      </c>
      <c r="BB28">
        <v>19747.287098689801</v>
      </c>
    </row>
    <row r="29" spans="22:62">
      <c r="V29" s="40" t="s">
        <v>186</v>
      </c>
      <c r="AF29" s="40"/>
      <c r="AG29" s="40" t="s">
        <v>186</v>
      </c>
      <c r="AR29" s="1" t="s">
        <v>7</v>
      </c>
      <c r="AS29" s="1">
        <v>11073</v>
      </c>
      <c r="AT29" s="51" t="s">
        <v>259</v>
      </c>
      <c r="AU29" s="1" t="s">
        <v>233</v>
      </c>
      <c r="AV29" s="1" t="s">
        <v>248</v>
      </c>
      <c r="AW29" s="1">
        <v>76</v>
      </c>
      <c r="AX29" s="1">
        <v>76</v>
      </c>
      <c r="AY29" s="1">
        <v>17</v>
      </c>
      <c r="AZ29" s="1">
        <v>1</v>
      </c>
      <c r="BA29" s="50">
        <v>0</v>
      </c>
      <c r="BB29">
        <v>0</v>
      </c>
    </row>
    <row r="30" spans="22:62">
      <c r="V30" s="39" t="s">
        <v>51</v>
      </c>
      <c r="AF30" s="39"/>
      <c r="AG30" s="39" t="s">
        <v>51</v>
      </c>
      <c r="AR30" s="1" t="s">
        <v>7</v>
      </c>
      <c r="AS30" s="1">
        <v>11074</v>
      </c>
      <c r="AT30" s="51" t="s">
        <v>260</v>
      </c>
      <c r="AU30" s="1" t="s">
        <v>231</v>
      </c>
      <c r="AV30" s="1" t="s">
        <v>248</v>
      </c>
      <c r="AW30" s="1">
        <v>46320</v>
      </c>
      <c r="AX30" s="1">
        <v>46314</v>
      </c>
      <c r="AY30" s="1">
        <v>9275</v>
      </c>
      <c r="AZ30" s="1">
        <v>2940</v>
      </c>
      <c r="BA30" s="1">
        <v>881</v>
      </c>
      <c r="BB30">
        <v>27470.124520477901</v>
      </c>
    </row>
    <row r="31" spans="22:62">
      <c r="V31" s="39" t="s">
        <v>52</v>
      </c>
      <c r="AF31" s="39"/>
      <c r="AG31" s="39" t="s">
        <v>52</v>
      </c>
      <c r="AR31" s="1" t="s">
        <v>7</v>
      </c>
      <c r="AS31" s="1">
        <v>11074</v>
      </c>
      <c r="AT31" s="51" t="s">
        <v>260</v>
      </c>
      <c r="AU31" s="1" t="s">
        <v>231</v>
      </c>
      <c r="AV31" s="1" t="s">
        <v>234</v>
      </c>
      <c r="AW31" s="1">
        <v>1341</v>
      </c>
      <c r="AX31" s="1">
        <v>1341</v>
      </c>
      <c r="AY31" s="1">
        <v>422</v>
      </c>
      <c r="AZ31" s="1">
        <v>155</v>
      </c>
      <c r="BA31" s="50">
        <v>52</v>
      </c>
      <c r="BB31">
        <v>2043.5717512265401</v>
      </c>
      <c r="BD31" s="11" t="s">
        <v>231</v>
      </c>
      <c r="BE31" s="12"/>
      <c r="BF31" s="12"/>
      <c r="BG31" s="12"/>
      <c r="BH31" s="12"/>
      <c r="BI31" s="54"/>
    </row>
    <row r="32" spans="22:62">
      <c r="V32" s="39" t="s">
        <v>53</v>
      </c>
      <c r="AF32" s="39"/>
      <c r="AG32" s="39" t="s">
        <v>53</v>
      </c>
      <c r="AR32" s="1" t="s">
        <v>7</v>
      </c>
      <c r="AS32" s="1">
        <v>11074</v>
      </c>
      <c r="AT32" s="51" t="s">
        <v>260</v>
      </c>
      <c r="AU32" s="1" t="s">
        <v>232</v>
      </c>
      <c r="AV32" s="1" t="s">
        <v>248</v>
      </c>
      <c r="AW32" s="1">
        <v>378</v>
      </c>
      <c r="AX32" s="1">
        <v>377</v>
      </c>
      <c r="AY32" s="1">
        <v>150</v>
      </c>
      <c r="AZ32" s="1">
        <v>31</v>
      </c>
      <c r="BA32" s="50">
        <v>7</v>
      </c>
      <c r="BB32">
        <v>206.805041090689</v>
      </c>
      <c r="BD32" s="10" t="s">
        <v>21</v>
      </c>
      <c r="BE32" s="8">
        <v>98800</v>
      </c>
      <c r="BF32" s="8">
        <v>27530</v>
      </c>
      <c r="BG32" s="8">
        <v>5991</v>
      </c>
      <c r="BH32" s="8">
        <v>1924</v>
      </c>
      <c r="BI32" s="53">
        <v>51898.788697287862</v>
      </c>
    </row>
    <row r="33" spans="22:61">
      <c r="V33" s="40" t="s">
        <v>54</v>
      </c>
      <c r="AF33" s="40"/>
      <c r="AG33" s="40" t="s">
        <v>54</v>
      </c>
      <c r="AR33" s="1" t="s">
        <v>7</v>
      </c>
      <c r="AS33" s="1">
        <v>11074</v>
      </c>
      <c r="AT33" s="51" t="s">
        <v>260</v>
      </c>
      <c r="AU33" s="1" t="s">
        <v>250</v>
      </c>
      <c r="AV33" s="1" t="s">
        <v>248</v>
      </c>
      <c r="AW33" s="1">
        <v>94489</v>
      </c>
      <c r="AX33" s="1">
        <v>94475</v>
      </c>
      <c r="AY33" s="1">
        <v>11257</v>
      </c>
      <c r="AZ33" s="1">
        <v>6790</v>
      </c>
      <c r="BA33" s="1">
        <v>1316</v>
      </c>
      <c r="BB33">
        <v>54908.051668321597</v>
      </c>
      <c r="BD33" s="10" t="s">
        <v>22</v>
      </c>
      <c r="BE33" s="8">
        <v>40866</v>
      </c>
      <c r="BF33" s="8">
        <v>13330</v>
      </c>
      <c r="BG33" s="8">
        <v>2955</v>
      </c>
      <c r="BH33" s="8">
        <v>1037</v>
      </c>
      <c r="BI33" s="53">
        <v>27273.991671205855</v>
      </c>
    </row>
    <row r="34" spans="22:61">
      <c r="V34" s="40" t="s">
        <v>55</v>
      </c>
      <c r="AF34" s="40"/>
      <c r="AG34" s="40" t="s">
        <v>55</v>
      </c>
      <c r="AR34" s="1" t="s">
        <v>7</v>
      </c>
      <c r="AS34" s="1">
        <v>11074</v>
      </c>
      <c r="AT34" s="51" t="s">
        <v>260</v>
      </c>
      <c r="AU34" s="1" t="s">
        <v>233</v>
      </c>
      <c r="AV34" s="1" t="s">
        <v>248</v>
      </c>
      <c r="AW34" s="1">
        <v>83</v>
      </c>
      <c r="AX34" s="1">
        <v>83</v>
      </c>
      <c r="AY34" s="1">
        <v>19</v>
      </c>
      <c r="AZ34" s="1">
        <v>5</v>
      </c>
      <c r="BA34" s="50">
        <v>3</v>
      </c>
      <c r="BB34">
        <v>64.47</v>
      </c>
      <c r="BD34" s="10" t="s">
        <v>23</v>
      </c>
      <c r="BE34" s="8">
        <v>101394</v>
      </c>
      <c r="BF34" s="8">
        <v>20248</v>
      </c>
      <c r="BG34" s="8">
        <v>3878</v>
      </c>
      <c r="BH34" s="8">
        <v>1197</v>
      </c>
      <c r="BI34" s="53">
        <v>32080.036579936379</v>
      </c>
    </row>
    <row r="35" spans="22:61">
      <c r="V35" s="40" t="s">
        <v>56</v>
      </c>
      <c r="AF35" s="40"/>
      <c r="AG35" s="40" t="s">
        <v>56</v>
      </c>
      <c r="AR35" s="1" t="s">
        <v>7</v>
      </c>
      <c r="AS35" s="1">
        <v>11074</v>
      </c>
      <c r="AT35" s="51" t="s">
        <v>260</v>
      </c>
      <c r="AU35" s="1" t="s">
        <v>249</v>
      </c>
      <c r="AV35" s="1" t="s">
        <v>248</v>
      </c>
      <c r="AW35" s="1">
        <v>7388</v>
      </c>
      <c r="AX35" s="1">
        <v>7370</v>
      </c>
      <c r="AY35" s="1">
        <v>1083</v>
      </c>
      <c r="AZ35" s="1">
        <v>455</v>
      </c>
      <c r="BA35" s="50">
        <v>206</v>
      </c>
      <c r="BB35">
        <v>5072.6450394038502</v>
      </c>
      <c r="BD35" s="11" t="s">
        <v>250</v>
      </c>
      <c r="BE35" s="12"/>
      <c r="BF35" s="12"/>
      <c r="BG35" s="12"/>
      <c r="BH35" s="12"/>
      <c r="BI35" s="54"/>
    </row>
    <row r="36" spans="22:61">
      <c r="V36" s="40" t="s">
        <v>57</v>
      </c>
      <c r="AF36" s="40"/>
      <c r="AG36" s="40" t="s">
        <v>57</v>
      </c>
      <c r="BD36" s="10" t="s">
        <v>21</v>
      </c>
      <c r="BE36" s="8">
        <v>145522</v>
      </c>
      <c r="BF36" s="8">
        <v>13725</v>
      </c>
      <c r="BG36" s="8">
        <v>6987</v>
      </c>
      <c r="BH36" s="8">
        <v>1382</v>
      </c>
      <c r="BI36" s="53">
        <v>56796.203444980551</v>
      </c>
    </row>
    <row r="37" spans="22:61">
      <c r="V37" s="41" t="s">
        <v>58</v>
      </c>
      <c r="AF37" s="41"/>
      <c r="AG37" s="41" t="s">
        <v>58</v>
      </c>
      <c r="BD37" s="10" t="s">
        <v>22</v>
      </c>
      <c r="BE37" s="8">
        <v>146079</v>
      </c>
      <c r="BF37" s="8">
        <v>13601</v>
      </c>
      <c r="BG37" s="8">
        <v>7078</v>
      </c>
      <c r="BH37" s="8">
        <v>1376</v>
      </c>
      <c r="BI37" s="53">
        <v>58044.955691163406</v>
      </c>
    </row>
    <row r="38" spans="22:61">
      <c r="V38" s="39" t="s">
        <v>59</v>
      </c>
      <c r="AF38" s="39"/>
      <c r="AG38" s="39" t="s">
        <v>59</v>
      </c>
      <c r="BD38" s="10" t="s">
        <v>23</v>
      </c>
      <c r="BE38" s="8">
        <v>145340</v>
      </c>
      <c r="BF38" s="8">
        <v>13541</v>
      </c>
      <c r="BG38" s="8">
        <v>6818</v>
      </c>
      <c r="BH38" s="8">
        <v>1322</v>
      </c>
      <c r="BI38" s="53">
        <v>55017.970763439371</v>
      </c>
    </row>
    <row r="39" spans="22:61">
      <c r="V39" s="41" t="s">
        <v>60</v>
      </c>
      <c r="AF39" s="41"/>
      <c r="AG39" s="41" t="s">
        <v>60</v>
      </c>
      <c r="BD39" s="11" t="s">
        <v>249</v>
      </c>
      <c r="BE39" s="12"/>
      <c r="BF39" s="12"/>
      <c r="BG39" s="12"/>
      <c r="BH39" s="12"/>
      <c r="BI39" s="54"/>
    </row>
    <row r="40" spans="22:61">
      <c r="V40" s="39" t="s">
        <v>61</v>
      </c>
      <c r="AF40" s="39"/>
      <c r="AG40" s="39" t="s">
        <v>61</v>
      </c>
      <c r="BD40" s="10" t="s">
        <v>21</v>
      </c>
      <c r="BE40" s="8">
        <v>31842</v>
      </c>
      <c r="BF40" s="8">
        <v>3438</v>
      </c>
      <c r="BG40" s="8">
        <v>613</v>
      </c>
      <c r="BH40" s="8">
        <v>240</v>
      </c>
      <c r="BI40" s="53">
        <v>5029.7140216875314</v>
      </c>
    </row>
    <row r="41" spans="22:61">
      <c r="V41" s="42" t="s">
        <v>62</v>
      </c>
      <c r="AF41" s="42"/>
      <c r="AG41" s="42" t="s">
        <v>62</v>
      </c>
      <c r="BD41" s="10" t="s">
        <v>22</v>
      </c>
      <c r="BE41" s="8">
        <v>35093</v>
      </c>
      <c r="BF41" s="8">
        <v>4272</v>
      </c>
      <c r="BG41" s="8">
        <v>618</v>
      </c>
      <c r="BH41" s="8">
        <v>276</v>
      </c>
      <c r="BI41" s="53">
        <v>5586.9282053870902</v>
      </c>
    </row>
    <row r="42" spans="22:61">
      <c r="V42" s="39" t="s">
        <v>63</v>
      </c>
      <c r="AF42" s="39"/>
      <c r="AG42" s="39" t="s">
        <v>63</v>
      </c>
      <c r="BD42" s="10" t="s">
        <v>23</v>
      </c>
      <c r="BE42" s="8">
        <v>33686</v>
      </c>
      <c r="BF42" s="8">
        <v>3577</v>
      </c>
      <c r="BG42" s="8">
        <v>614</v>
      </c>
      <c r="BH42" s="8">
        <v>281</v>
      </c>
      <c r="BI42" s="53">
        <v>5702.0468239271204</v>
      </c>
    </row>
    <row r="43" spans="22:61">
      <c r="V43" s="39" t="s">
        <v>64</v>
      </c>
      <c r="AF43" s="39"/>
      <c r="AG43" s="39" t="s">
        <v>64</v>
      </c>
      <c r="BD43" s="11" t="s">
        <v>232</v>
      </c>
      <c r="BE43" s="12"/>
      <c r="BF43" s="12"/>
      <c r="BG43" s="12"/>
      <c r="BH43" s="12"/>
      <c r="BI43" s="54"/>
    </row>
    <row r="44" spans="22:61">
      <c r="V44" s="39" t="s">
        <v>65</v>
      </c>
      <c r="AF44" s="39"/>
      <c r="AG44" s="39" t="s">
        <v>65</v>
      </c>
      <c r="BD44" s="10" t="s">
        <v>21</v>
      </c>
      <c r="BE44" s="8">
        <v>479</v>
      </c>
      <c r="BF44" s="8">
        <v>156</v>
      </c>
      <c r="BG44" s="8">
        <v>24</v>
      </c>
      <c r="BH44" s="8">
        <v>8</v>
      </c>
      <c r="BI44" s="53">
        <v>166.08093625411109</v>
      </c>
    </row>
    <row r="45" spans="22:61">
      <c r="V45" s="43" t="s">
        <v>187</v>
      </c>
      <c r="AF45" s="43"/>
      <c r="AG45" s="43" t="s">
        <v>187</v>
      </c>
      <c r="BD45" s="10" t="s">
        <v>22</v>
      </c>
      <c r="BE45" s="8">
        <v>662</v>
      </c>
      <c r="BF45" s="8">
        <v>232</v>
      </c>
      <c r="BG45" s="8">
        <v>31</v>
      </c>
      <c r="BH45" s="8">
        <v>11</v>
      </c>
      <c r="BI45" s="53">
        <v>209.386931737108</v>
      </c>
    </row>
    <row r="46" spans="22:61">
      <c r="BD46" s="10" t="s">
        <v>23</v>
      </c>
      <c r="BE46" s="8">
        <v>628</v>
      </c>
      <c r="BF46" s="8">
        <v>231</v>
      </c>
      <c r="BG46" s="8">
        <v>31</v>
      </c>
      <c r="BH46" s="8">
        <v>7</v>
      </c>
      <c r="BI46" s="53">
        <v>206.805041090689</v>
      </c>
    </row>
    <row r="47" spans="22:61">
      <c r="V47" s="40" t="s">
        <v>188</v>
      </c>
      <c r="AF47" s="40"/>
      <c r="AG47" s="40" t="s">
        <v>188</v>
      </c>
      <c r="BD47" s="11" t="s">
        <v>233</v>
      </c>
      <c r="BE47" s="12"/>
      <c r="BF47" s="12"/>
      <c r="BG47" s="12"/>
      <c r="BH47" s="12"/>
      <c r="BI47" s="54"/>
    </row>
    <row r="48" spans="22:61">
      <c r="V48" s="39" t="s">
        <v>51</v>
      </c>
      <c r="AF48" s="39"/>
      <c r="AG48" s="39" t="s">
        <v>51</v>
      </c>
      <c r="BD48" s="10" t="s">
        <v>21</v>
      </c>
      <c r="BE48" s="8">
        <v>124</v>
      </c>
      <c r="BF48" s="8">
        <v>20</v>
      </c>
      <c r="BG48" s="8">
        <v>4</v>
      </c>
      <c r="BH48" s="8">
        <v>3</v>
      </c>
      <c r="BI48" s="53">
        <v>70.303254188753797</v>
      </c>
    </row>
    <row r="49" spans="22:61">
      <c r="V49" s="42" t="s">
        <v>189</v>
      </c>
      <c r="AF49" s="42"/>
      <c r="AG49" s="42" t="s">
        <v>189</v>
      </c>
      <c r="BD49" s="10" t="s">
        <v>22</v>
      </c>
      <c r="BE49" s="8">
        <v>159</v>
      </c>
      <c r="BF49" s="8">
        <v>33</v>
      </c>
      <c r="BG49" s="8">
        <v>1</v>
      </c>
      <c r="BH49" s="8">
        <v>0</v>
      </c>
      <c r="BI49" s="53">
        <v>0</v>
      </c>
    </row>
    <row r="50" spans="22:61">
      <c r="V50" s="39" t="s">
        <v>90</v>
      </c>
      <c r="AF50" s="39"/>
      <c r="AG50" s="39" t="s">
        <v>90</v>
      </c>
      <c r="BD50" s="10" t="s">
        <v>23</v>
      </c>
      <c r="BE50" s="8">
        <v>155</v>
      </c>
      <c r="BF50" s="8">
        <v>34</v>
      </c>
      <c r="BG50" s="8">
        <v>5</v>
      </c>
      <c r="BH50" s="8">
        <v>3</v>
      </c>
      <c r="BI50" s="53">
        <v>64.47</v>
      </c>
    </row>
    <row r="51" spans="22:61">
      <c r="V51" s="43" t="s">
        <v>190</v>
      </c>
      <c r="AF51" s="43"/>
      <c r="AG51" s="43" t="s">
        <v>190</v>
      </c>
    </row>
    <row r="52" spans="22:61">
      <c r="V52" s="39" t="s">
        <v>191</v>
      </c>
      <c r="AF52" s="39"/>
      <c r="AG52" s="39" t="s">
        <v>191</v>
      </c>
    </row>
    <row r="53" spans="22:61">
      <c r="V53" s="43" t="s">
        <v>192</v>
      </c>
      <c r="AF53" s="43"/>
      <c r="AG53" s="43" t="s">
        <v>192</v>
      </c>
    </row>
    <row r="54" spans="22:61">
      <c r="V54" s="39" t="s">
        <v>92</v>
      </c>
      <c r="AF54" s="39"/>
      <c r="AG54" s="39" t="s">
        <v>92</v>
      </c>
    </row>
    <row r="55" spans="22:61">
      <c r="V55" s="39" t="s">
        <v>93</v>
      </c>
      <c r="AF55" s="39"/>
      <c r="AG55" s="39" t="s">
        <v>93</v>
      </c>
    </row>
    <row r="56" spans="22:61">
      <c r="V56" s="43" t="s">
        <v>66</v>
      </c>
      <c r="AF56" s="43"/>
      <c r="AG56" s="43" t="s">
        <v>66</v>
      </c>
    </row>
    <row r="57" spans="22:61">
      <c r="V57" s="40" t="s">
        <v>193</v>
      </c>
      <c r="AF57" s="40"/>
      <c r="AG57" s="40" t="s">
        <v>193</v>
      </c>
    </row>
    <row r="58" spans="22:61">
      <c r="V58" s="39" t="s">
        <v>194</v>
      </c>
      <c r="AF58" s="39"/>
      <c r="AG58" s="39" t="s">
        <v>194</v>
      </c>
    </row>
    <row r="59" spans="22:61">
      <c r="V59" s="42" t="s">
        <v>195</v>
      </c>
      <c r="AF59" s="42"/>
      <c r="AG59" s="42" t="s">
        <v>195</v>
      </c>
    </row>
    <row r="60" spans="22:61">
      <c r="V60" s="40" t="s">
        <v>196</v>
      </c>
      <c r="AF60" s="40"/>
      <c r="AG60" s="40" t="s">
        <v>196</v>
      </c>
    </row>
    <row r="61" spans="22:61">
      <c r="V61" s="40" t="s">
        <v>197</v>
      </c>
      <c r="AF61" s="40"/>
      <c r="AG61" s="40" t="s">
        <v>197</v>
      </c>
    </row>
    <row r="62" spans="22:61">
      <c r="V62" s="39" t="s">
        <v>198</v>
      </c>
      <c r="AF62" s="39"/>
      <c r="AG62" s="39" t="s">
        <v>198</v>
      </c>
    </row>
    <row r="63" spans="22:61">
      <c r="V63" s="39" t="s">
        <v>199</v>
      </c>
      <c r="AF63" s="39"/>
      <c r="AG63" s="39" t="s">
        <v>199</v>
      </c>
    </row>
    <row r="64" spans="22:61">
      <c r="V64" s="39" t="s">
        <v>200</v>
      </c>
      <c r="AF64" s="39"/>
      <c r="AG64" s="39" t="s">
        <v>200</v>
      </c>
    </row>
    <row r="65" spans="22:33">
      <c r="V65" s="39" t="s">
        <v>201</v>
      </c>
      <c r="AF65" s="39"/>
      <c r="AG65" s="39" t="s">
        <v>201</v>
      </c>
    </row>
    <row r="66" spans="22:33">
      <c r="V66" s="43" t="s">
        <v>66</v>
      </c>
      <c r="AF66" s="43"/>
      <c r="AG66" s="43" t="s">
        <v>66</v>
      </c>
    </row>
    <row r="67" spans="22:33">
      <c r="V67" s="39" t="s">
        <v>51</v>
      </c>
      <c r="AF67" s="39"/>
      <c r="AG67" s="39" t="s">
        <v>51</v>
      </c>
    </row>
    <row r="68" spans="22:33">
      <c r="V68" s="42" t="s">
        <v>202</v>
      </c>
      <c r="AF68" s="42"/>
      <c r="AG68" s="42" t="s">
        <v>253</v>
      </c>
    </row>
    <row r="69" spans="22:33">
      <c r="V69" s="40" t="s">
        <v>203</v>
      </c>
      <c r="AF69" s="40"/>
      <c r="AG69" s="40" t="s">
        <v>254</v>
      </c>
    </row>
    <row r="70" spans="22:33">
      <c r="V70" s="41" t="s">
        <v>204</v>
      </c>
      <c r="AF70" s="41"/>
      <c r="AG70" s="40" t="s">
        <v>255</v>
      </c>
    </row>
    <row r="71" spans="22:33">
      <c r="V71" s="40" t="s">
        <v>205</v>
      </c>
      <c r="AF71" s="40"/>
      <c r="AG71" s="39" t="s">
        <v>81</v>
      </c>
    </row>
    <row r="72" spans="22:33">
      <c r="V72" s="40" t="s">
        <v>206</v>
      </c>
      <c r="AF72" s="40"/>
      <c r="AG72" s="39" t="s">
        <v>82</v>
      </c>
    </row>
    <row r="73" spans="22:33">
      <c r="V73" s="40" t="s">
        <v>207</v>
      </c>
      <c r="AF73" s="40"/>
      <c r="AG73" s="39" t="s">
        <v>83</v>
      </c>
    </row>
    <row r="74" spans="22:33">
      <c r="V74" s="40" t="s">
        <v>208</v>
      </c>
      <c r="AF74" s="40"/>
      <c r="AG74" s="39" t="s">
        <v>256</v>
      </c>
    </row>
    <row r="75" spans="22:33">
      <c r="V75" s="39" t="s">
        <v>209</v>
      </c>
      <c r="AF75" s="39"/>
      <c r="AG75" s="40" t="s">
        <v>242</v>
      </c>
    </row>
    <row r="76" spans="22:33">
      <c r="V76" s="40" t="s">
        <v>210</v>
      </c>
      <c r="AF76" s="40"/>
      <c r="AG76" s="39" t="s">
        <v>243</v>
      </c>
    </row>
    <row r="77" spans="22:33">
      <c r="V77" s="39" t="s">
        <v>211</v>
      </c>
      <c r="AF77" s="39"/>
      <c r="AG77" s="39" t="s">
        <v>244</v>
      </c>
    </row>
    <row r="78" spans="22:33">
      <c r="V78" s="39" t="s">
        <v>212</v>
      </c>
      <c r="AF78" s="39"/>
      <c r="AG78" s="39" t="s">
        <v>245</v>
      </c>
    </row>
    <row r="79" spans="22:33">
      <c r="AG79" s="39" t="s">
        <v>246</v>
      </c>
    </row>
    <row r="80" spans="22:33">
      <c r="V80" s="41" t="s">
        <v>86</v>
      </c>
      <c r="AG80" s="40" t="s">
        <v>247</v>
      </c>
    </row>
    <row r="81" spans="22:33">
      <c r="V81" s="40" t="s">
        <v>213</v>
      </c>
      <c r="AF81" s="39"/>
      <c r="AG81" s="40" t="s">
        <v>203</v>
      </c>
    </row>
    <row r="82" spans="22:33">
      <c r="V82" s="40" t="s">
        <v>214</v>
      </c>
      <c r="AF82" s="39"/>
      <c r="AG82" s="41" t="s">
        <v>204</v>
      </c>
    </row>
    <row r="83" spans="22:33">
      <c r="V83" s="40" t="s">
        <v>215</v>
      </c>
      <c r="AF83" s="43"/>
      <c r="AG83" s="40" t="s">
        <v>205</v>
      </c>
    </row>
    <row r="84" spans="22:33">
      <c r="V84" s="40" t="s">
        <v>216</v>
      </c>
      <c r="AF84" s="42"/>
      <c r="AG84" s="40" t="s">
        <v>206</v>
      </c>
    </row>
    <row r="85" spans="22:33">
      <c r="AF85" s="40"/>
      <c r="AG85" s="40" t="s">
        <v>207</v>
      </c>
    </row>
    <row r="86" spans="22:33">
      <c r="V86" s="39" t="s">
        <v>217</v>
      </c>
      <c r="AF86" s="40"/>
      <c r="AG86" s="40" t="s">
        <v>208</v>
      </c>
    </row>
    <row r="87" spans="22:33">
      <c r="V87" s="39" t="s">
        <v>218</v>
      </c>
      <c r="AF87" s="40"/>
      <c r="AG87" s="39" t="s">
        <v>209</v>
      </c>
    </row>
    <row r="88" spans="22:33">
      <c r="V88" s="43" t="s">
        <v>219</v>
      </c>
      <c r="AF88" s="39"/>
      <c r="AG88" s="40" t="s">
        <v>210</v>
      </c>
    </row>
    <row r="89" spans="22:33">
      <c r="V89" s="42" t="s">
        <v>220</v>
      </c>
      <c r="AF89" s="43"/>
      <c r="AG89" s="39" t="s">
        <v>211</v>
      </c>
    </row>
    <row r="90" spans="22:33">
      <c r="V90" s="40" t="s">
        <v>221</v>
      </c>
      <c r="AF90" s="39"/>
      <c r="AG90" s="39" t="s">
        <v>212</v>
      </c>
    </row>
    <row r="91" spans="22:33">
      <c r="V91" s="40" t="s">
        <v>222</v>
      </c>
      <c r="AF91" s="43"/>
    </row>
    <row r="92" spans="22:33">
      <c r="V92" s="40" t="s">
        <v>223</v>
      </c>
      <c r="AF92" s="39"/>
    </row>
    <row r="93" spans="22:33">
      <c r="V93" s="39" t="s">
        <v>133</v>
      </c>
      <c r="AF93" s="39"/>
      <c r="AG93" s="39" t="s">
        <v>217</v>
      </c>
    </row>
    <row r="94" spans="22:33">
      <c r="V94" s="43" t="s">
        <v>96</v>
      </c>
      <c r="AF94" s="43"/>
      <c r="AG94" s="39" t="s">
        <v>218</v>
      </c>
    </row>
    <row r="95" spans="22:33">
      <c r="V95" s="39" t="s">
        <v>51</v>
      </c>
      <c r="AF95" s="39"/>
      <c r="AG95" s="43" t="s">
        <v>219</v>
      </c>
    </row>
    <row r="96" spans="22:33">
      <c r="V96" s="43" t="s">
        <v>224</v>
      </c>
      <c r="AF96" s="43"/>
      <c r="AG96" s="42" t="s">
        <v>220</v>
      </c>
    </row>
    <row r="97" spans="22:33">
      <c r="V97" s="39" t="s">
        <v>158</v>
      </c>
      <c r="AF97" s="39"/>
      <c r="AG97" s="40" t="s">
        <v>221</v>
      </c>
    </row>
    <row r="98" spans="22:33">
      <c r="V98" s="39" t="s">
        <v>225</v>
      </c>
      <c r="AF98" s="39"/>
      <c r="AG98" s="40" t="s">
        <v>222</v>
      </c>
    </row>
    <row r="99" spans="22:33">
      <c r="V99" s="43" t="s">
        <v>226</v>
      </c>
      <c r="AG99" s="40" t="s">
        <v>236</v>
      </c>
    </row>
    <row r="100" spans="22:33">
      <c r="V100" s="39" t="s">
        <v>227</v>
      </c>
      <c r="AG100" s="39" t="s">
        <v>133</v>
      </c>
    </row>
    <row r="101" spans="22:33">
      <c r="V101" s="43" t="s">
        <v>228</v>
      </c>
      <c r="AG101" s="43" t="s">
        <v>96</v>
      </c>
    </row>
    <row r="102" spans="22:33">
      <c r="V102" s="39" t="s">
        <v>100</v>
      </c>
      <c r="AG102" s="39" t="s">
        <v>51</v>
      </c>
    </row>
    <row r="103" spans="22:33">
      <c r="V103" s="39" t="s">
        <v>101</v>
      </c>
      <c r="AG103" s="43" t="s">
        <v>224</v>
      </c>
    </row>
    <row r="104" spans="22:33">
      <c r="AG104" s="39" t="s">
        <v>158</v>
      </c>
    </row>
    <row r="105" spans="22:33">
      <c r="AG105" s="39" t="s">
        <v>225</v>
      </c>
    </row>
    <row r="106" spans="22:33">
      <c r="AG106" s="43" t="s">
        <v>226</v>
      </c>
    </row>
    <row r="107" spans="22:33">
      <c r="AG107" s="39" t="s">
        <v>227</v>
      </c>
    </row>
    <row r="108" spans="22:33">
      <c r="AG108" s="43" t="s">
        <v>228</v>
      </c>
    </row>
    <row r="109" spans="22:33">
      <c r="AG109" s="39" t="s">
        <v>257</v>
      </c>
    </row>
    <row r="110" spans="22:33">
      <c r="AG110" s="39" t="s">
        <v>166</v>
      </c>
    </row>
  </sheetData>
  <sortState ref="C2:N7">
    <sortCondition ref="D1"/>
  </sortState>
  <mergeCells count="1">
    <mergeCell ref="C9:C11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AE3E-F556-414B-A815-28B0B4B12A0C}">
  <dimension ref="A1:AN105"/>
  <sheetViews>
    <sheetView tabSelected="1" workbookViewId="0">
      <selection activeCell="G7" sqref="G7"/>
    </sheetView>
  </sheetViews>
  <sheetFormatPr baseColWidth="10" defaultRowHeight="16"/>
  <cols>
    <col min="2" max="2" width="10.83203125" style="86"/>
    <col min="10" max="10" width="20.83203125" customWidth="1"/>
    <col min="19" max="19" width="10.83203125" style="86"/>
    <col min="25" max="25" width="10.83203125" style="86"/>
  </cols>
  <sheetData>
    <row r="1" spans="1:40" ht="51">
      <c r="A1" s="39" t="s">
        <v>170</v>
      </c>
      <c r="C1" t="s">
        <v>1</v>
      </c>
      <c r="D1" t="s">
        <v>25</v>
      </c>
      <c r="E1" s="18" t="s">
        <v>3</v>
      </c>
      <c r="F1" s="18" t="s">
        <v>26</v>
      </c>
      <c r="G1" s="18" t="s">
        <v>27</v>
      </c>
      <c r="H1" s="18" t="s">
        <v>28</v>
      </c>
      <c r="I1" s="18" t="s">
        <v>29</v>
      </c>
      <c r="J1" s="18" t="s">
        <v>30</v>
      </c>
      <c r="K1" s="18" t="s">
        <v>31</v>
      </c>
      <c r="L1" t="s">
        <v>169</v>
      </c>
      <c r="M1" t="s">
        <v>32</v>
      </c>
      <c r="N1" t="s">
        <v>33</v>
      </c>
      <c r="P1" s="18" t="s">
        <v>348</v>
      </c>
      <c r="S1" s="86" t="s">
        <v>351</v>
      </c>
      <c r="T1" s="39" t="s">
        <v>170</v>
      </c>
      <c r="Z1" s="36" t="s">
        <v>352</v>
      </c>
      <c r="AA1" s="18" t="s">
        <v>1</v>
      </c>
      <c r="AB1" s="18" t="s">
        <v>25</v>
      </c>
      <c r="AC1" s="18" t="s">
        <v>3</v>
      </c>
      <c r="AD1" s="18" t="s">
        <v>26</v>
      </c>
      <c r="AE1" s="18" t="s">
        <v>27</v>
      </c>
      <c r="AF1" s="18" t="s">
        <v>28</v>
      </c>
      <c r="AG1" s="18" t="s">
        <v>29</v>
      </c>
      <c r="AH1" s="18" t="s">
        <v>30</v>
      </c>
      <c r="AI1" s="18" t="s">
        <v>31</v>
      </c>
      <c r="AJ1" t="s">
        <v>169</v>
      </c>
      <c r="AK1" t="s">
        <v>32</v>
      </c>
      <c r="AL1" t="s">
        <v>33</v>
      </c>
    </row>
    <row r="2" spans="1:40">
      <c r="A2" s="39" t="s">
        <v>51</v>
      </c>
      <c r="C2" t="s">
        <v>6</v>
      </c>
      <c r="D2">
        <v>11075</v>
      </c>
      <c r="E2">
        <v>55630</v>
      </c>
      <c r="F2">
        <v>55279</v>
      </c>
      <c r="G2">
        <v>15540</v>
      </c>
      <c r="H2">
        <v>1310</v>
      </c>
      <c r="I2">
        <v>465</v>
      </c>
      <c r="J2">
        <v>4053.48903184145</v>
      </c>
      <c r="K2">
        <v>55628</v>
      </c>
      <c r="L2">
        <v>26251</v>
      </c>
      <c r="M2">
        <v>286109</v>
      </c>
      <c r="N2">
        <v>106003</v>
      </c>
      <c r="P2">
        <f>H2/F2</f>
        <v>2.3697968487128927E-2</v>
      </c>
      <c r="T2" s="39" t="s">
        <v>51</v>
      </c>
      <c r="AA2" t="s">
        <v>6</v>
      </c>
      <c r="AB2">
        <v>11075</v>
      </c>
      <c r="AC2">
        <v>1975</v>
      </c>
      <c r="AD2">
        <v>1944</v>
      </c>
      <c r="AE2">
        <v>614</v>
      </c>
      <c r="AF2">
        <v>151</v>
      </c>
      <c r="AG2">
        <v>60</v>
      </c>
      <c r="AH2">
        <v>908.37</v>
      </c>
      <c r="AI2">
        <v>1975</v>
      </c>
      <c r="AJ2">
        <v>805</v>
      </c>
      <c r="AK2">
        <v>10852</v>
      </c>
      <c r="AL2">
        <v>4109</v>
      </c>
    </row>
    <row r="3" spans="1:40">
      <c r="A3" s="39" t="s">
        <v>68</v>
      </c>
      <c r="C3" t="s">
        <v>6</v>
      </c>
      <c r="D3">
        <v>11076</v>
      </c>
      <c r="E3">
        <v>55360</v>
      </c>
      <c r="F3">
        <v>54805</v>
      </c>
      <c r="G3">
        <v>9502</v>
      </c>
      <c r="H3">
        <v>700</v>
      </c>
      <c r="I3">
        <v>330</v>
      </c>
      <c r="J3">
        <v>2580.7530262259202</v>
      </c>
      <c r="K3">
        <v>55359</v>
      </c>
      <c r="L3">
        <v>34689</v>
      </c>
      <c r="M3">
        <v>323331</v>
      </c>
      <c r="N3">
        <v>124618</v>
      </c>
      <c r="P3">
        <f t="shared" ref="P3:P11" si="0">H3/F3</f>
        <v>1.2772557248426238E-2</v>
      </c>
      <c r="T3" s="39" t="s">
        <v>68</v>
      </c>
      <c r="AA3" t="s">
        <v>6</v>
      </c>
      <c r="AB3">
        <v>11076</v>
      </c>
      <c r="AC3">
        <v>2002</v>
      </c>
      <c r="AD3">
        <v>1947</v>
      </c>
      <c r="AE3">
        <v>367</v>
      </c>
      <c r="AF3">
        <v>76</v>
      </c>
      <c r="AG3">
        <v>39</v>
      </c>
      <c r="AH3">
        <v>577.41</v>
      </c>
      <c r="AI3">
        <v>2002</v>
      </c>
      <c r="AJ3">
        <v>1322</v>
      </c>
      <c r="AK3">
        <v>12209</v>
      </c>
      <c r="AL3">
        <v>5133</v>
      </c>
    </row>
    <row r="4" spans="1:40" ht="17">
      <c r="A4" s="40" t="s">
        <v>69</v>
      </c>
      <c r="C4" s="18" t="s">
        <v>6</v>
      </c>
      <c r="D4" s="18">
        <v>11077</v>
      </c>
      <c r="E4" s="18">
        <v>55420</v>
      </c>
      <c r="F4" s="18">
        <v>55059</v>
      </c>
      <c r="G4" s="18">
        <v>12896</v>
      </c>
      <c r="H4" s="18">
        <v>945</v>
      </c>
      <c r="I4" s="18">
        <v>377</v>
      </c>
      <c r="J4" s="18">
        <v>3357.6248555372799</v>
      </c>
      <c r="K4" s="18">
        <v>55418</v>
      </c>
      <c r="L4" s="18">
        <v>32039</v>
      </c>
      <c r="M4" s="18">
        <v>307179</v>
      </c>
      <c r="N4" s="18">
        <v>119685</v>
      </c>
      <c r="P4">
        <f t="shared" si="0"/>
        <v>1.7163406527543182E-2</v>
      </c>
      <c r="T4" s="40" t="s">
        <v>69</v>
      </c>
      <c r="AA4" t="s">
        <v>6</v>
      </c>
      <c r="AB4">
        <v>11077</v>
      </c>
      <c r="AC4">
        <v>1917</v>
      </c>
      <c r="AD4">
        <v>1884</v>
      </c>
      <c r="AE4">
        <v>482</v>
      </c>
      <c r="AF4">
        <v>102</v>
      </c>
      <c r="AG4">
        <v>48</v>
      </c>
      <c r="AH4">
        <v>725.04979152571798</v>
      </c>
      <c r="AI4">
        <v>1917</v>
      </c>
      <c r="AJ4">
        <v>1054</v>
      </c>
      <c r="AK4">
        <v>10072</v>
      </c>
      <c r="AL4">
        <v>5394</v>
      </c>
    </row>
    <row r="5" spans="1:40">
      <c r="A5" s="40" t="s">
        <v>171</v>
      </c>
      <c r="C5" t="s">
        <v>7</v>
      </c>
      <c r="D5">
        <v>11072</v>
      </c>
      <c r="E5">
        <v>103870</v>
      </c>
      <c r="F5">
        <v>96876</v>
      </c>
      <c r="G5">
        <v>24694</v>
      </c>
      <c r="H5">
        <v>12175</v>
      </c>
      <c r="I5">
        <v>3756</v>
      </c>
      <c r="J5">
        <v>131377.23987582201</v>
      </c>
      <c r="K5">
        <v>103848</v>
      </c>
      <c r="L5">
        <v>60276</v>
      </c>
      <c r="M5">
        <v>632383</v>
      </c>
      <c r="N5">
        <v>283006</v>
      </c>
      <c r="O5">
        <f>J5/I5</f>
        <v>34.977965888131529</v>
      </c>
      <c r="P5">
        <f t="shared" si="0"/>
        <v>0.12567612205293366</v>
      </c>
      <c r="T5" s="40" t="s">
        <v>171</v>
      </c>
      <c r="AA5" t="s">
        <v>7</v>
      </c>
      <c r="AB5">
        <v>11072</v>
      </c>
      <c r="AC5">
        <v>29832</v>
      </c>
      <c r="AD5">
        <v>27328</v>
      </c>
      <c r="AE5">
        <v>8056</v>
      </c>
      <c r="AF5">
        <v>5419</v>
      </c>
      <c r="AG5">
        <v>1815</v>
      </c>
      <c r="AH5">
        <v>75287.730051989507</v>
      </c>
      <c r="AI5">
        <v>29827</v>
      </c>
      <c r="AJ5">
        <v>15106</v>
      </c>
      <c r="AK5">
        <v>170198</v>
      </c>
      <c r="AL5">
        <v>69721</v>
      </c>
    </row>
    <row r="6" spans="1:40">
      <c r="A6" s="39" t="s">
        <v>172</v>
      </c>
      <c r="C6" t="s">
        <v>7</v>
      </c>
      <c r="D6">
        <v>11073</v>
      </c>
      <c r="E6">
        <v>104498</v>
      </c>
      <c r="F6">
        <v>96288</v>
      </c>
      <c r="G6">
        <v>18446</v>
      </c>
      <c r="H6">
        <v>9844</v>
      </c>
      <c r="I6">
        <v>2908</v>
      </c>
      <c r="J6">
        <v>106351.36010121299</v>
      </c>
      <c r="K6">
        <v>104473</v>
      </c>
      <c r="L6">
        <v>77983</v>
      </c>
      <c r="M6">
        <v>678245</v>
      </c>
      <c r="N6">
        <v>308678</v>
      </c>
      <c r="O6">
        <f t="shared" ref="O6:O7" si="1">J6/I6</f>
        <v>36.571994532741748</v>
      </c>
      <c r="P6">
        <f t="shared" si="0"/>
        <v>0.1022349617813227</v>
      </c>
      <c r="T6" s="39" t="s">
        <v>172</v>
      </c>
      <c r="AA6" t="s">
        <v>7</v>
      </c>
      <c r="AB6">
        <v>11073</v>
      </c>
      <c r="AC6">
        <v>30131</v>
      </c>
      <c r="AD6">
        <v>27358</v>
      </c>
      <c r="AE6">
        <v>6587</v>
      </c>
      <c r="AF6">
        <v>4748</v>
      </c>
      <c r="AG6">
        <v>1521</v>
      </c>
      <c r="AH6">
        <v>64935.218337116399</v>
      </c>
      <c r="AI6">
        <v>30128</v>
      </c>
      <c r="AJ6">
        <v>20044</v>
      </c>
      <c r="AK6">
        <v>179788</v>
      </c>
      <c r="AL6">
        <v>76009</v>
      </c>
    </row>
    <row r="7" spans="1:40">
      <c r="A7" s="39" t="s">
        <v>173</v>
      </c>
      <c r="C7" t="s">
        <v>7</v>
      </c>
      <c r="D7">
        <v>11074</v>
      </c>
      <c r="E7">
        <v>103668</v>
      </c>
      <c r="F7">
        <v>96705</v>
      </c>
      <c r="G7">
        <v>20299</v>
      </c>
      <c r="H7">
        <v>10281</v>
      </c>
      <c r="I7">
        <v>2949</v>
      </c>
      <c r="J7">
        <v>104953.982527423</v>
      </c>
      <c r="K7">
        <v>103634</v>
      </c>
      <c r="L7">
        <v>72844</v>
      </c>
      <c r="M7">
        <v>660703</v>
      </c>
      <c r="N7">
        <v>303151</v>
      </c>
      <c r="O7">
        <f t="shared" si="1"/>
        <v>35.58968549590471</v>
      </c>
      <c r="P7">
        <f t="shared" si="0"/>
        <v>0.10631301380487049</v>
      </c>
      <c r="T7" s="39" t="s">
        <v>173</v>
      </c>
      <c r="AA7" t="s">
        <v>7</v>
      </c>
      <c r="AB7">
        <v>11074</v>
      </c>
      <c r="AC7">
        <v>29906</v>
      </c>
      <c r="AD7">
        <v>27415</v>
      </c>
      <c r="AE7">
        <v>6902</v>
      </c>
      <c r="AF7">
        <v>4698</v>
      </c>
      <c r="AG7">
        <v>1538</v>
      </c>
      <c r="AH7">
        <v>64871.350808127398</v>
      </c>
      <c r="AI7">
        <v>29897</v>
      </c>
      <c r="AJ7">
        <v>18486</v>
      </c>
      <c r="AK7">
        <v>177506</v>
      </c>
      <c r="AL7">
        <v>74218</v>
      </c>
    </row>
    <row r="8" spans="1:40">
      <c r="A8" s="39" t="s">
        <v>174</v>
      </c>
      <c r="T8" s="39" t="s">
        <v>174</v>
      </c>
    </row>
    <row r="9" spans="1:40">
      <c r="A9" s="39" t="s">
        <v>175</v>
      </c>
      <c r="C9" s="84" t="s">
        <v>24</v>
      </c>
      <c r="D9" s="17" t="s">
        <v>21</v>
      </c>
      <c r="E9">
        <f>E2+E5</f>
        <v>159500</v>
      </c>
      <c r="F9">
        <f>F2+F5</f>
        <v>152155</v>
      </c>
      <c r="H9">
        <f>H2+H5</f>
        <v>13485</v>
      </c>
      <c r="I9">
        <f>I2+I5</f>
        <v>4221</v>
      </c>
      <c r="J9">
        <f>J2+J5</f>
        <v>135430.72890766346</v>
      </c>
      <c r="P9">
        <f>H9/F9</f>
        <v>8.8626729322072884E-2</v>
      </c>
      <c r="T9" s="39" t="s">
        <v>175</v>
      </c>
      <c r="AA9" s="84" t="s">
        <v>24</v>
      </c>
      <c r="AB9" s="17" t="s">
        <v>21</v>
      </c>
      <c r="AC9">
        <f>AC2+AC5</f>
        <v>31807</v>
      </c>
      <c r="AD9">
        <f>AD2+AD5</f>
        <v>29272</v>
      </c>
      <c r="AF9">
        <f>AF2+AF5</f>
        <v>5570</v>
      </c>
      <c r="AG9">
        <f>AG2+AG5</f>
        <v>1875</v>
      </c>
      <c r="AH9">
        <f>AH2+AH5</f>
        <v>76196.100051989502</v>
      </c>
      <c r="AN9">
        <f>AF9/AD9</f>
        <v>0.19028423066411587</v>
      </c>
    </row>
    <row r="10" spans="1:40">
      <c r="A10" s="40" t="s">
        <v>71</v>
      </c>
      <c r="C10" s="84"/>
      <c r="D10" s="17" t="s">
        <v>22</v>
      </c>
      <c r="E10">
        <f t="shared" ref="E10:F10" si="2">E3+E6</f>
        <v>159858</v>
      </c>
      <c r="F10">
        <f t="shared" si="2"/>
        <v>151093</v>
      </c>
      <c r="H10">
        <f t="shared" ref="H10:J10" si="3">H3+H6</f>
        <v>10544</v>
      </c>
      <c r="I10">
        <f t="shared" si="3"/>
        <v>3238</v>
      </c>
      <c r="J10">
        <f t="shared" si="3"/>
        <v>108932.11312743892</v>
      </c>
      <c r="L10" s="57">
        <f>J10-J9</f>
        <v>-26498.615780224543</v>
      </c>
      <c r="M10" s="57">
        <f>L10/15</f>
        <v>-1766.5743853483029</v>
      </c>
      <c r="P10">
        <f t="shared" si="0"/>
        <v>6.9784834505900339E-2</v>
      </c>
      <c r="T10" s="40" t="s">
        <v>71</v>
      </c>
      <c r="AA10" s="84"/>
      <c r="AB10" s="17" t="s">
        <v>22</v>
      </c>
      <c r="AC10">
        <f t="shared" ref="AC10:AD10" si="4">AC3+AC6</f>
        <v>32133</v>
      </c>
      <c r="AD10">
        <f t="shared" si="4"/>
        <v>29305</v>
      </c>
      <c r="AF10">
        <f t="shared" ref="AF10:AG10" si="5">AF3+AF6</f>
        <v>4824</v>
      </c>
      <c r="AG10">
        <f t="shared" si="5"/>
        <v>1560</v>
      </c>
      <c r="AH10">
        <f>AH3+AH6</f>
        <v>65512.628337116403</v>
      </c>
      <c r="AJ10" s="57">
        <f>AH10-AH9</f>
        <v>-10683.4717148731</v>
      </c>
      <c r="AK10" s="57">
        <f>AJ10/15</f>
        <v>-712.23144765820666</v>
      </c>
      <c r="AN10">
        <f t="shared" ref="AN10:AN11" si="6">AF10/AD10</f>
        <v>0.16461354717624979</v>
      </c>
    </row>
    <row r="11" spans="1:40">
      <c r="A11" s="41" t="s">
        <v>58</v>
      </c>
      <c r="C11" s="84"/>
      <c r="D11" s="17" t="s">
        <v>23</v>
      </c>
      <c r="E11">
        <f>E4+E7</f>
        <v>159088</v>
      </c>
      <c r="F11">
        <f>F4+F7</f>
        <v>151764</v>
      </c>
      <c r="H11">
        <f>H4+H7</f>
        <v>11226</v>
      </c>
      <c r="I11">
        <f>I4+I7</f>
        <v>3326</v>
      </c>
      <c r="J11">
        <f>J4+J7</f>
        <v>108311.60738296027</v>
      </c>
      <c r="L11">
        <f>J11-J9</f>
        <v>-27119.121524703194</v>
      </c>
      <c r="M11" s="57">
        <f>L11/15</f>
        <v>-1807.941434980213</v>
      </c>
      <c r="P11">
        <f t="shared" si="0"/>
        <v>7.3970111488890641E-2</v>
      </c>
      <c r="T11" s="41" t="s">
        <v>58</v>
      </c>
      <c r="AA11" s="84"/>
      <c r="AB11" s="17" t="s">
        <v>23</v>
      </c>
      <c r="AC11">
        <f>AC4+AC7</f>
        <v>31823</v>
      </c>
      <c r="AD11">
        <f>AD4+AD7</f>
        <v>29299</v>
      </c>
      <c r="AF11">
        <f>AF4+AF7</f>
        <v>4800</v>
      </c>
      <c r="AG11">
        <f>AG4+AG7</f>
        <v>1586</v>
      </c>
      <c r="AH11">
        <f>AH4+AH7</f>
        <v>65596.40059965312</v>
      </c>
      <c r="AJ11">
        <f>AH11-AH9</f>
        <v>-10599.699452336383</v>
      </c>
      <c r="AK11" s="57">
        <f>AJ11/15</f>
        <v>-706.64663015575888</v>
      </c>
      <c r="AN11">
        <f t="shared" si="6"/>
        <v>0.16382811700058023</v>
      </c>
    </row>
    <row r="12" spans="1:40">
      <c r="A12" s="40" t="s">
        <v>176</v>
      </c>
      <c r="T12" s="40" t="s">
        <v>176</v>
      </c>
    </row>
    <row r="13" spans="1:40">
      <c r="A13" s="40" t="s">
        <v>177</v>
      </c>
      <c r="T13" s="40" t="s">
        <v>177</v>
      </c>
    </row>
    <row r="14" spans="1:40">
      <c r="A14" s="40" t="s">
        <v>178</v>
      </c>
      <c r="T14" s="40" t="s">
        <v>178</v>
      </c>
    </row>
    <row r="15" spans="1:40">
      <c r="A15" s="40" t="s">
        <v>179</v>
      </c>
      <c r="T15" s="40" t="s">
        <v>179</v>
      </c>
    </row>
    <row r="16" spans="1:40">
      <c r="A16" s="40" t="s">
        <v>180</v>
      </c>
      <c r="T16" s="40" t="s">
        <v>180</v>
      </c>
    </row>
    <row r="17" spans="1:20">
      <c r="A17" s="40" t="s">
        <v>181</v>
      </c>
      <c r="T17" s="40" t="s">
        <v>181</v>
      </c>
    </row>
    <row r="18" spans="1:20" ht="16" customHeight="1">
      <c r="A18" s="40" t="s">
        <v>182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T18" s="40" t="s">
        <v>182</v>
      </c>
    </row>
    <row r="19" spans="1:20">
      <c r="A19" s="40" t="s">
        <v>72</v>
      </c>
      <c r="T19" s="40" t="s">
        <v>72</v>
      </c>
    </row>
    <row r="20" spans="1:20">
      <c r="A20" s="39" t="s">
        <v>59</v>
      </c>
      <c r="T20" s="39" t="s">
        <v>59</v>
      </c>
    </row>
    <row r="21" spans="1:20">
      <c r="A21" s="41" t="s">
        <v>73</v>
      </c>
      <c r="T21" s="41" t="s">
        <v>73</v>
      </c>
    </row>
    <row r="22" spans="1:20">
      <c r="A22" s="39" t="s">
        <v>74</v>
      </c>
      <c r="T22" s="39" t="s">
        <v>74</v>
      </c>
    </row>
    <row r="23" spans="1:20">
      <c r="A23" s="42" t="s">
        <v>183</v>
      </c>
      <c r="T23" s="42" t="s">
        <v>183</v>
      </c>
    </row>
    <row r="24" spans="1:20">
      <c r="A24" s="40" t="s">
        <v>184</v>
      </c>
      <c r="T24" s="40" t="s">
        <v>184</v>
      </c>
    </row>
    <row r="25" spans="1:20">
      <c r="A25" s="39" t="s">
        <v>76</v>
      </c>
      <c r="T25" s="39" t="s">
        <v>76</v>
      </c>
    </row>
    <row r="26" spans="1:20">
      <c r="A26" s="39" t="s">
        <v>65</v>
      </c>
      <c r="T26" s="39" t="s">
        <v>294</v>
      </c>
    </row>
    <row r="27" spans="1:20">
      <c r="A27" s="39" t="s">
        <v>185</v>
      </c>
      <c r="T27" s="39" t="s">
        <v>65</v>
      </c>
    </row>
    <row r="28" spans="1:20">
      <c r="A28" s="43" t="s">
        <v>66</v>
      </c>
      <c r="T28" s="39" t="s">
        <v>185</v>
      </c>
    </row>
    <row r="29" spans="1:20">
      <c r="A29" s="40" t="s">
        <v>186</v>
      </c>
      <c r="T29" s="43" t="s">
        <v>66</v>
      </c>
    </row>
    <row r="30" spans="1:20">
      <c r="A30" s="39" t="s">
        <v>51</v>
      </c>
      <c r="T30" s="40" t="s">
        <v>186</v>
      </c>
    </row>
    <row r="31" spans="1:20">
      <c r="A31" s="39" t="s">
        <v>52</v>
      </c>
      <c r="T31" s="39" t="s">
        <v>51</v>
      </c>
    </row>
    <row r="32" spans="1:20">
      <c r="A32" s="39" t="s">
        <v>53</v>
      </c>
      <c r="T32" s="39" t="s">
        <v>52</v>
      </c>
    </row>
    <row r="33" spans="1:20">
      <c r="A33" s="40" t="s">
        <v>54</v>
      </c>
      <c r="T33" s="39" t="s">
        <v>53</v>
      </c>
    </row>
    <row r="34" spans="1:20">
      <c r="A34" s="40" t="s">
        <v>55</v>
      </c>
      <c r="T34" s="40" t="s">
        <v>54</v>
      </c>
    </row>
    <row r="35" spans="1:20">
      <c r="A35" s="40" t="s">
        <v>56</v>
      </c>
      <c r="T35" s="40" t="s">
        <v>55</v>
      </c>
    </row>
    <row r="36" spans="1:20">
      <c r="A36" s="40" t="s">
        <v>57</v>
      </c>
      <c r="T36" s="40" t="s">
        <v>56</v>
      </c>
    </row>
    <row r="37" spans="1:20">
      <c r="A37" s="41" t="s">
        <v>58</v>
      </c>
      <c r="T37" s="40" t="s">
        <v>57</v>
      </c>
    </row>
    <row r="38" spans="1:20">
      <c r="A38" s="39" t="s">
        <v>59</v>
      </c>
      <c r="T38" s="41" t="s">
        <v>58</v>
      </c>
    </row>
    <row r="39" spans="1:20">
      <c r="A39" s="41" t="s">
        <v>60</v>
      </c>
      <c r="T39" s="39" t="s">
        <v>59</v>
      </c>
    </row>
    <row r="40" spans="1:20">
      <c r="A40" s="39" t="s">
        <v>61</v>
      </c>
      <c r="T40" s="41" t="s">
        <v>60</v>
      </c>
    </row>
    <row r="41" spans="1:20">
      <c r="A41" s="42" t="s">
        <v>62</v>
      </c>
      <c r="T41" s="39" t="s">
        <v>61</v>
      </c>
    </row>
    <row r="42" spans="1:20">
      <c r="A42" s="39" t="s">
        <v>63</v>
      </c>
      <c r="T42" s="42" t="s">
        <v>62</v>
      </c>
    </row>
    <row r="43" spans="1:20">
      <c r="A43" s="39" t="s">
        <v>64</v>
      </c>
      <c r="T43" s="39" t="s">
        <v>63</v>
      </c>
    </row>
    <row r="44" spans="1:20">
      <c r="A44" s="39" t="s">
        <v>65</v>
      </c>
      <c r="T44" s="39" t="s">
        <v>64</v>
      </c>
    </row>
    <row r="45" spans="1:20">
      <c r="A45" s="43" t="s">
        <v>187</v>
      </c>
      <c r="T45" s="39" t="s">
        <v>294</v>
      </c>
    </row>
    <row r="46" spans="1:20">
      <c r="T46" s="39" t="s">
        <v>65</v>
      </c>
    </row>
    <row r="47" spans="1:20">
      <c r="A47" s="40" t="s">
        <v>188</v>
      </c>
      <c r="T47" s="43" t="s">
        <v>187</v>
      </c>
    </row>
    <row r="48" spans="1:20">
      <c r="A48" s="39" t="s">
        <v>51</v>
      </c>
    </row>
    <row r="49" spans="1:20">
      <c r="A49" s="39" t="s">
        <v>349</v>
      </c>
      <c r="T49" s="40" t="s">
        <v>188</v>
      </c>
    </row>
    <row r="50" spans="1:20">
      <c r="A50" s="39" t="s">
        <v>90</v>
      </c>
      <c r="T50" s="39" t="s">
        <v>51</v>
      </c>
    </row>
    <row r="51" spans="1:20">
      <c r="A51" s="43" t="s">
        <v>190</v>
      </c>
      <c r="T51" s="39" t="s">
        <v>349</v>
      </c>
    </row>
    <row r="52" spans="1:20">
      <c r="A52" s="39" t="s">
        <v>191</v>
      </c>
      <c r="T52" s="39" t="s">
        <v>90</v>
      </c>
    </row>
    <row r="53" spans="1:20">
      <c r="A53" s="43" t="s">
        <v>192</v>
      </c>
      <c r="T53" s="43" t="s">
        <v>190</v>
      </c>
    </row>
    <row r="54" spans="1:20">
      <c r="A54" s="39" t="s">
        <v>350</v>
      </c>
      <c r="T54" s="39" t="s">
        <v>191</v>
      </c>
    </row>
    <row r="55" spans="1:20">
      <c r="A55" s="39" t="s">
        <v>93</v>
      </c>
      <c r="T55" s="43" t="s">
        <v>192</v>
      </c>
    </row>
    <row r="56" spans="1:20">
      <c r="A56" s="43" t="s">
        <v>66</v>
      </c>
      <c r="T56" s="39" t="s">
        <v>350</v>
      </c>
    </row>
    <row r="57" spans="1:20">
      <c r="A57" s="40" t="s">
        <v>193</v>
      </c>
      <c r="T57" s="39" t="s">
        <v>93</v>
      </c>
    </row>
    <row r="58" spans="1:20">
      <c r="A58" s="39" t="s">
        <v>194</v>
      </c>
      <c r="T58" s="43" t="s">
        <v>66</v>
      </c>
    </row>
    <row r="59" spans="1:20">
      <c r="A59" s="42" t="s">
        <v>195</v>
      </c>
      <c r="T59" s="40" t="s">
        <v>193</v>
      </c>
    </row>
    <row r="60" spans="1:20">
      <c r="A60" s="40" t="s">
        <v>196</v>
      </c>
      <c r="T60" s="39" t="s">
        <v>194</v>
      </c>
    </row>
    <row r="61" spans="1:20">
      <c r="A61" s="40" t="s">
        <v>197</v>
      </c>
      <c r="T61" s="42" t="s">
        <v>195</v>
      </c>
    </row>
    <row r="62" spans="1:20">
      <c r="A62" s="39" t="s">
        <v>198</v>
      </c>
      <c r="T62" s="40" t="s">
        <v>196</v>
      </c>
    </row>
    <row r="63" spans="1:20">
      <c r="A63" s="39" t="s">
        <v>199</v>
      </c>
      <c r="T63" s="40" t="s">
        <v>197</v>
      </c>
    </row>
    <row r="64" spans="1:20">
      <c r="A64" s="39" t="s">
        <v>200</v>
      </c>
      <c r="T64" s="39" t="s">
        <v>198</v>
      </c>
    </row>
    <row r="65" spans="1:20">
      <c r="A65" s="39" t="s">
        <v>201</v>
      </c>
      <c r="T65" s="39" t="s">
        <v>199</v>
      </c>
    </row>
    <row r="66" spans="1:20">
      <c r="A66" s="43" t="s">
        <v>66</v>
      </c>
      <c r="T66" s="39" t="s">
        <v>200</v>
      </c>
    </row>
    <row r="67" spans="1:20">
      <c r="A67" s="39" t="s">
        <v>51</v>
      </c>
      <c r="T67" s="39" t="s">
        <v>201</v>
      </c>
    </row>
    <row r="68" spans="1:20">
      <c r="A68" s="42" t="s">
        <v>202</v>
      </c>
      <c r="T68" s="43" t="s">
        <v>66</v>
      </c>
    </row>
    <row r="69" spans="1:20">
      <c r="A69" s="40" t="s">
        <v>203</v>
      </c>
      <c r="T69" s="39" t="s">
        <v>51</v>
      </c>
    </row>
    <row r="70" spans="1:20">
      <c r="A70" s="41" t="s">
        <v>204</v>
      </c>
      <c r="T70" s="42" t="s">
        <v>202</v>
      </c>
    </row>
    <row r="71" spans="1:20">
      <c r="A71" s="40" t="s">
        <v>205</v>
      </c>
      <c r="T71" s="40" t="s">
        <v>203</v>
      </c>
    </row>
    <row r="72" spans="1:20">
      <c r="A72" s="40" t="s">
        <v>206</v>
      </c>
      <c r="T72" s="41" t="s">
        <v>204</v>
      </c>
    </row>
    <row r="73" spans="1:20">
      <c r="A73" s="40" t="s">
        <v>207</v>
      </c>
      <c r="T73" s="40" t="s">
        <v>205</v>
      </c>
    </row>
    <row r="74" spans="1:20">
      <c r="A74" s="40" t="s">
        <v>208</v>
      </c>
      <c r="T74" s="40" t="s">
        <v>206</v>
      </c>
    </row>
    <row r="75" spans="1:20">
      <c r="A75" s="39" t="s">
        <v>209</v>
      </c>
      <c r="T75" s="40" t="s">
        <v>207</v>
      </c>
    </row>
    <row r="76" spans="1:20">
      <c r="A76" s="40" t="s">
        <v>210</v>
      </c>
      <c r="T76" s="40" t="s">
        <v>208</v>
      </c>
    </row>
    <row r="77" spans="1:20">
      <c r="A77" s="39" t="s">
        <v>211</v>
      </c>
      <c r="T77" s="39" t="s">
        <v>209</v>
      </c>
    </row>
    <row r="78" spans="1:20">
      <c r="A78" s="39" t="s">
        <v>212</v>
      </c>
      <c r="T78" s="40" t="s">
        <v>210</v>
      </c>
    </row>
    <row r="79" spans="1:20">
      <c r="T79" s="39" t="s">
        <v>211</v>
      </c>
    </row>
    <row r="80" spans="1:20">
      <c r="A80" s="41" t="s">
        <v>86</v>
      </c>
      <c r="T80" s="39" t="s">
        <v>212</v>
      </c>
    </row>
    <row r="81" spans="1:20">
      <c r="A81" s="40" t="s">
        <v>213</v>
      </c>
    </row>
    <row r="82" spans="1:20">
      <c r="A82" s="40" t="s">
        <v>214</v>
      </c>
      <c r="T82" s="41" t="s">
        <v>86</v>
      </c>
    </row>
    <row r="83" spans="1:20">
      <c r="A83" s="40" t="s">
        <v>215</v>
      </c>
      <c r="T83" s="40" t="s">
        <v>213</v>
      </c>
    </row>
    <row r="84" spans="1:20">
      <c r="A84" s="40" t="s">
        <v>216</v>
      </c>
      <c r="T84" s="40" t="s">
        <v>214</v>
      </c>
    </row>
    <row r="85" spans="1:20">
      <c r="T85" s="40" t="s">
        <v>215</v>
      </c>
    </row>
    <row r="86" spans="1:20">
      <c r="A86" s="39" t="s">
        <v>217</v>
      </c>
      <c r="T86" s="40" t="s">
        <v>216</v>
      </c>
    </row>
    <row r="87" spans="1:20">
      <c r="A87" s="39" t="s">
        <v>218</v>
      </c>
    </row>
    <row r="88" spans="1:20">
      <c r="A88" s="43" t="s">
        <v>219</v>
      </c>
      <c r="T88" s="39" t="s">
        <v>217</v>
      </c>
    </row>
    <row r="89" spans="1:20">
      <c r="A89" s="42" t="s">
        <v>220</v>
      </c>
      <c r="T89" s="39" t="s">
        <v>218</v>
      </c>
    </row>
    <row r="90" spans="1:20">
      <c r="A90" s="40" t="s">
        <v>221</v>
      </c>
      <c r="T90" s="43" t="s">
        <v>219</v>
      </c>
    </row>
    <row r="91" spans="1:20">
      <c r="A91" s="40" t="s">
        <v>222</v>
      </c>
      <c r="T91" s="42" t="s">
        <v>220</v>
      </c>
    </row>
    <row r="92" spans="1:20">
      <c r="A92" s="40" t="s">
        <v>223</v>
      </c>
      <c r="T92" s="40" t="s">
        <v>221</v>
      </c>
    </row>
    <row r="93" spans="1:20">
      <c r="A93" s="39" t="s">
        <v>133</v>
      </c>
      <c r="T93" s="40" t="s">
        <v>222</v>
      </c>
    </row>
    <row r="94" spans="1:20">
      <c r="A94" s="43" t="s">
        <v>96</v>
      </c>
      <c r="T94" s="40" t="s">
        <v>223</v>
      </c>
    </row>
    <row r="95" spans="1:20">
      <c r="A95" s="39" t="s">
        <v>51</v>
      </c>
      <c r="T95" s="39" t="s">
        <v>133</v>
      </c>
    </row>
    <row r="96" spans="1:20">
      <c r="A96" s="43" t="s">
        <v>224</v>
      </c>
      <c r="T96" s="43" t="s">
        <v>96</v>
      </c>
    </row>
    <row r="97" spans="1:20">
      <c r="A97" s="39" t="s">
        <v>158</v>
      </c>
      <c r="T97" s="39" t="s">
        <v>51</v>
      </c>
    </row>
    <row r="98" spans="1:20">
      <c r="A98" s="39" t="s">
        <v>225</v>
      </c>
      <c r="T98" s="43" t="s">
        <v>224</v>
      </c>
    </row>
    <row r="99" spans="1:20">
      <c r="A99" s="43" t="s">
        <v>226</v>
      </c>
      <c r="T99" s="39" t="s">
        <v>158</v>
      </c>
    </row>
    <row r="100" spans="1:20">
      <c r="A100" s="39" t="s">
        <v>227</v>
      </c>
      <c r="T100" s="39" t="s">
        <v>225</v>
      </c>
    </row>
    <row r="101" spans="1:20">
      <c r="A101" s="43" t="s">
        <v>228</v>
      </c>
      <c r="T101" s="43" t="s">
        <v>226</v>
      </c>
    </row>
    <row r="102" spans="1:20">
      <c r="A102" s="39" t="s">
        <v>100</v>
      </c>
      <c r="T102" s="39" t="s">
        <v>227</v>
      </c>
    </row>
    <row r="103" spans="1:20">
      <c r="A103" s="39" t="s">
        <v>101</v>
      </c>
      <c r="T103" s="43" t="s">
        <v>228</v>
      </c>
    </row>
    <row r="104" spans="1:20">
      <c r="T104" s="39" t="s">
        <v>100</v>
      </c>
    </row>
    <row r="105" spans="1:20">
      <c r="T105" s="39" t="s">
        <v>101</v>
      </c>
    </row>
  </sheetData>
  <mergeCells count="5">
    <mergeCell ref="C9:C11"/>
    <mergeCell ref="B1:B1048576"/>
    <mergeCell ref="S1:S1048576"/>
    <mergeCell ref="Y1:Y1048576"/>
    <mergeCell ref="AA9:AA11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3BEC-EC35-9644-A18D-082F55E21AC9}">
  <dimension ref="B2:BE205"/>
  <sheetViews>
    <sheetView workbookViewId="0">
      <selection activeCell="AR10" sqref="AR10"/>
    </sheetView>
  </sheetViews>
  <sheetFormatPr baseColWidth="10" defaultRowHeight="16"/>
  <cols>
    <col min="11" max="11" width="10.83203125" style="87"/>
    <col min="13" max="13" width="10.5" bestFit="1" customWidth="1"/>
    <col min="14" max="17" width="11.33203125" bestFit="1" customWidth="1"/>
    <col min="18" max="19" width="15.6640625" bestFit="1" customWidth="1"/>
  </cols>
  <sheetData>
    <row r="2" spans="2:57">
      <c r="B2" s="39" t="s">
        <v>170</v>
      </c>
      <c r="G2" s="41" t="s">
        <v>296</v>
      </c>
    </row>
    <row r="3" spans="2:57">
      <c r="B3" s="39" t="s">
        <v>51</v>
      </c>
      <c r="G3" s="39" t="s">
        <v>297</v>
      </c>
      <c r="L3" t="s">
        <v>293</v>
      </c>
      <c r="AD3" t="s">
        <v>1</v>
      </c>
      <c r="AE3" t="s">
        <v>2</v>
      </c>
      <c r="AF3" t="s">
        <v>0</v>
      </c>
      <c r="AG3" t="s">
        <v>15</v>
      </c>
      <c r="AH3" t="s">
        <v>3</v>
      </c>
      <c r="AI3" t="s">
        <v>4</v>
      </c>
      <c r="AJ3" t="s">
        <v>5</v>
      </c>
      <c r="AP3" s="41" t="s">
        <v>273</v>
      </c>
    </row>
    <row r="4" spans="2:57" ht="51">
      <c r="B4" s="39" t="s">
        <v>68</v>
      </c>
      <c r="G4" s="39" t="s">
        <v>298</v>
      </c>
      <c r="L4" s="18" t="s">
        <v>1</v>
      </c>
      <c r="M4" s="18" t="s">
        <v>25</v>
      </c>
      <c r="N4" s="18" t="s">
        <v>3</v>
      </c>
      <c r="O4" s="18" t="s">
        <v>26</v>
      </c>
      <c r="P4" s="18" t="s">
        <v>27</v>
      </c>
      <c r="Q4" s="18" t="s">
        <v>28</v>
      </c>
      <c r="R4" s="18" t="s">
        <v>29</v>
      </c>
      <c r="S4" s="18" t="s">
        <v>30</v>
      </c>
      <c r="T4" s="18" t="s">
        <v>31</v>
      </c>
      <c r="U4" s="18" t="s">
        <v>169</v>
      </c>
      <c r="V4" s="18" t="s">
        <v>32</v>
      </c>
      <c r="W4" s="18" t="s">
        <v>33</v>
      </c>
      <c r="X4" s="18" t="s">
        <v>34</v>
      </c>
      <c r="Y4" s="18" t="s">
        <v>339</v>
      </c>
      <c r="Z4" s="18" t="s">
        <v>340</v>
      </c>
      <c r="AD4" t="s">
        <v>6</v>
      </c>
      <c r="AE4">
        <v>11075</v>
      </c>
      <c r="AF4" t="s">
        <v>17</v>
      </c>
      <c r="AG4" s="55">
        <v>45761</v>
      </c>
      <c r="AH4">
        <v>103</v>
      </c>
      <c r="AI4">
        <v>103</v>
      </c>
      <c r="AJ4">
        <v>14</v>
      </c>
      <c r="AP4" s="39" t="s">
        <v>274</v>
      </c>
      <c r="AU4" t="s">
        <v>1</v>
      </c>
      <c r="AV4" t="s">
        <v>2</v>
      </c>
      <c r="AW4" t="s">
        <v>41</v>
      </c>
      <c r="AX4" t="s">
        <v>42</v>
      </c>
      <c r="AY4" t="s">
        <v>43</v>
      </c>
      <c r="BC4" t="s">
        <v>41</v>
      </c>
      <c r="BD4" t="s">
        <v>42</v>
      </c>
      <c r="BE4" t="s">
        <v>43</v>
      </c>
    </row>
    <row r="5" spans="2:57">
      <c r="B5" s="40" t="s">
        <v>69</v>
      </c>
      <c r="G5" s="39" t="s">
        <v>299</v>
      </c>
      <c r="L5" t="s">
        <v>6</v>
      </c>
      <c r="M5">
        <v>11075</v>
      </c>
      <c r="N5">
        <v>1975</v>
      </c>
      <c r="O5">
        <v>1944</v>
      </c>
      <c r="P5">
        <v>614</v>
      </c>
      <c r="Q5">
        <v>153</v>
      </c>
      <c r="R5">
        <v>57</v>
      </c>
      <c r="S5">
        <v>880.8</v>
      </c>
      <c r="T5">
        <v>1975</v>
      </c>
      <c r="U5">
        <v>808</v>
      </c>
      <c r="V5">
        <v>11526</v>
      </c>
      <c r="W5">
        <v>4274</v>
      </c>
      <c r="X5">
        <f>W5/U5</f>
        <v>5.2896039603960396</v>
      </c>
      <c r="AD5" t="s">
        <v>6</v>
      </c>
      <c r="AE5">
        <v>11075</v>
      </c>
      <c r="AF5" t="s">
        <v>16</v>
      </c>
      <c r="AG5" s="55">
        <v>45761</v>
      </c>
      <c r="AH5">
        <v>123</v>
      </c>
      <c r="AI5">
        <v>123</v>
      </c>
      <c r="AJ5">
        <v>36</v>
      </c>
      <c r="AP5" s="39" t="s">
        <v>51</v>
      </c>
      <c r="AU5" t="s">
        <v>6</v>
      </c>
      <c r="AV5">
        <v>11075</v>
      </c>
      <c r="AW5">
        <v>56.850942000000003</v>
      </c>
      <c r="AX5">
        <v>107661</v>
      </c>
      <c r="AY5">
        <v>0.52805500000000005</v>
      </c>
      <c r="BB5" t="s">
        <v>265</v>
      </c>
      <c r="BC5">
        <f>AW5+AW8</f>
        <v>625.52470700000003</v>
      </c>
      <c r="BD5">
        <f>AX5+AX8</f>
        <v>915170</v>
      </c>
      <c r="BE5">
        <f>BC5/BD5*1000</f>
        <v>0.68350656927128295</v>
      </c>
    </row>
    <row r="6" spans="2:57">
      <c r="B6" s="40" t="s">
        <v>171</v>
      </c>
      <c r="G6" s="42" t="s">
        <v>300</v>
      </c>
      <c r="L6" t="s">
        <v>6</v>
      </c>
      <c r="M6">
        <v>11076</v>
      </c>
      <c r="N6">
        <v>2002</v>
      </c>
      <c r="O6">
        <v>1947</v>
      </c>
      <c r="P6">
        <v>369</v>
      </c>
      <c r="Q6">
        <v>79</v>
      </c>
      <c r="R6">
        <v>36</v>
      </c>
      <c r="S6">
        <v>507.7</v>
      </c>
      <c r="T6">
        <v>2002</v>
      </c>
      <c r="U6">
        <v>1323</v>
      </c>
      <c r="V6">
        <v>14462</v>
      </c>
      <c r="W6">
        <v>6718</v>
      </c>
      <c r="X6">
        <f t="shared" ref="X6:X14" si="0">W6/U6</f>
        <v>5.077853363567649</v>
      </c>
      <c r="AD6" t="s">
        <v>6</v>
      </c>
      <c r="AE6">
        <v>11075</v>
      </c>
      <c r="AF6" t="s">
        <v>17</v>
      </c>
      <c r="AG6" s="55">
        <v>45759</v>
      </c>
      <c r="AH6">
        <v>95</v>
      </c>
      <c r="AI6">
        <v>95</v>
      </c>
      <c r="AJ6">
        <v>10</v>
      </c>
      <c r="AP6" s="42" t="s">
        <v>272</v>
      </c>
      <c r="AU6" t="s">
        <v>6</v>
      </c>
      <c r="AV6">
        <v>11076</v>
      </c>
      <c r="AW6">
        <v>33.406635999999999</v>
      </c>
      <c r="AX6">
        <v>44979</v>
      </c>
      <c r="AY6">
        <v>0.74271600000000004</v>
      </c>
      <c r="BB6" t="s">
        <v>345</v>
      </c>
      <c r="BC6">
        <f t="shared" ref="BC6:BD6" si="1">AW6+AW9</f>
        <v>222.259581</v>
      </c>
      <c r="BD6">
        <f t="shared" si="1"/>
        <v>258861</v>
      </c>
      <c r="BE6">
        <f t="shared" ref="BE6:BE7" si="2">BC6/BD6*1000</f>
        <v>0.85860589660087838</v>
      </c>
    </row>
    <row r="7" spans="2:57">
      <c r="B7" s="39" t="s">
        <v>172</v>
      </c>
      <c r="G7" s="42" t="s">
        <v>301</v>
      </c>
      <c r="L7" t="s">
        <v>6</v>
      </c>
      <c r="M7">
        <v>11077</v>
      </c>
      <c r="N7">
        <v>1917</v>
      </c>
      <c r="O7">
        <v>1884</v>
      </c>
      <c r="P7">
        <v>486</v>
      </c>
      <c r="Q7">
        <v>107</v>
      </c>
      <c r="R7">
        <v>47</v>
      </c>
      <c r="S7">
        <v>711.02</v>
      </c>
      <c r="T7">
        <v>1917</v>
      </c>
      <c r="U7">
        <v>1060</v>
      </c>
      <c r="V7">
        <v>11019</v>
      </c>
      <c r="W7">
        <v>5684</v>
      </c>
      <c r="X7">
        <f t="shared" si="0"/>
        <v>5.3622641509433961</v>
      </c>
      <c r="AD7" t="s">
        <v>6</v>
      </c>
      <c r="AE7">
        <v>11075</v>
      </c>
      <c r="AF7" t="s">
        <v>16</v>
      </c>
      <c r="AG7" s="55">
        <v>45760</v>
      </c>
      <c r="AH7">
        <v>115</v>
      </c>
      <c r="AI7">
        <v>115</v>
      </c>
      <c r="AJ7">
        <v>33</v>
      </c>
      <c r="AP7" s="40" t="s">
        <v>275</v>
      </c>
      <c r="AU7" t="s">
        <v>6</v>
      </c>
      <c r="AV7">
        <v>11077</v>
      </c>
      <c r="AW7">
        <v>42.598255999999999</v>
      </c>
      <c r="AX7">
        <v>69496</v>
      </c>
      <c r="AY7">
        <v>0.61295999999999995</v>
      </c>
      <c r="BB7" t="s">
        <v>346</v>
      </c>
      <c r="BC7">
        <f t="shared" ref="BC7:BD7" si="3">AW7+AW10</f>
        <v>543.38790500000005</v>
      </c>
      <c r="BD7">
        <f t="shared" si="3"/>
        <v>732078</v>
      </c>
      <c r="BE7">
        <f t="shared" si="2"/>
        <v>0.74225411090075111</v>
      </c>
    </row>
    <row r="8" spans="2:57">
      <c r="B8" s="39" t="s">
        <v>173</v>
      </c>
      <c r="G8" s="42" t="s">
        <v>302</v>
      </c>
      <c r="L8" t="s">
        <v>7</v>
      </c>
      <c r="M8">
        <v>11072</v>
      </c>
      <c r="N8">
        <v>29805</v>
      </c>
      <c r="O8">
        <v>27394</v>
      </c>
      <c r="P8">
        <v>8084</v>
      </c>
      <c r="Q8">
        <v>5436</v>
      </c>
      <c r="R8">
        <v>1514</v>
      </c>
      <c r="S8">
        <v>63747.760833266599</v>
      </c>
      <c r="T8">
        <v>29801</v>
      </c>
      <c r="U8">
        <v>15109</v>
      </c>
      <c r="V8">
        <v>187103</v>
      </c>
      <c r="W8">
        <v>72822</v>
      </c>
      <c r="X8">
        <f t="shared" si="0"/>
        <v>4.8197762922761269</v>
      </c>
      <c r="AD8" t="s">
        <v>6</v>
      </c>
      <c r="AE8">
        <v>11075</v>
      </c>
      <c r="AF8" t="s">
        <v>17</v>
      </c>
      <c r="AG8" s="55">
        <v>45760</v>
      </c>
      <c r="AH8">
        <v>123</v>
      </c>
      <c r="AI8">
        <v>123</v>
      </c>
      <c r="AJ8">
        <v>22</v>
      </c>
      <c r="AP8" s="40" t="s">
        <v>276</v>
      </c>
      <c r="AU8" t="s">
        <v>7</v>
      </c>
      <c r="AV8">
        <v>11072</v>
      </c>
      <c r="AW8">
        <v>568.673765</v>
      </c>
      <c r="AX8">
        <v>807509</v>
      </c>
      <c r="AY8">
        <v>0.70423199999999997</v>
      </c>
    </row>
    <row r="9" spans="2:57">
      <c r="B9" s="39" t="s">
        <v>174</v>
      </c>
      <c r="G9" s="42" t="s">
        <v>303</v>
      </c>
      <c r="L9" t="s">
        <v>7</v>
      </c>
      <c r="M9">
        <v>11073</v>
      </c>
      <c r="N9">
        <v>30119</v>
      </c>
      <c r="O9">
        <v>27438</v>
      </c>
      <c r="P9">
        <v>6623</v>
      </c>
      <c r="Q9">
        <v>4773</v>
      </c>
      <c r="R9">
        <v>1231</v>
      </c>
      <c r="S9">
        <v>53886.997461400002</v>
      </c>
      <c r="T9">
        <v>30118</v>
      </c>
      <c r="U9">
        <v>20055</v>
      </c>
      <c r="V9">
        <v>200147</v>
      </c>
      <c r="W9">
        <v>80289</v>
      </c>
      <c r="X9">
        <f t="shared" si="0"/>
        <v>4.0034405385190723</v>
      </c>
      <c r="AD9" t="s">
        <v>6</v>
      </c>
      <c r="AE9">
        <v>11075</v>
      </c>
      <c r="AF9" t="s">
        <v>16</v>
      </c>
      <c r="AG9" s="55">
        <v>45764</v>
      </c>
      <c r="AH9">
        <v>117</v>
      </c>
      <c r="AI9">
        <v>117</v>
      </c>
      <c r="AJ9">
        <v>31</v>
      </c>
      <c r="AP9" s="40" t="s">
        <v>277</v>
      </c>
      <c r="AU9" t="s">
        <v>7</v>
      </c>
      <c r="AV9">
        <v>11073</v>
      </c>
      <c r="AW9">
        <v>188.85294500000001</v>
      </c>
      <c r="AX9">
        <v>213882</v>
      </c>
      <c r="AY9">
        <v>0.88297700000000001</v>
      </c>
    </row>
    <row r="10" spans="2:57">
      <c r="B10" s="39" t="s">
        <v>175</v>
      </c>
      <c r="G10" s="42" t="s">
        <v>304</v>
      </c>
      <c r="L10" t="s">
        <v>7</v>
      </c>
      <c r="M10">
        <v>11074</v>
      </c>
      <c r="N10">
        <v>29888</v>
      </c>
      <c r="O10">
        <v>27478</v>
      </c>
      <c r="P10">
        <v>6936</v>
      </c>
      <c r="Q10">
        <v>4716</v>
      </c>
      <c r="R10">
        <v>1289</v>
      </c>
      <c r="S10">
        <v>55447.324783755103</v>
      </c>
      <c r="T10">
        <v>29880</v>
      </c>
      <c r="U10">
        <v>18489</v>
      </c>
      <c r="V10">
        <v>194294</v>
      </c>
      <c r="W10">
        <v>77395</v>
      </c>
      <c r="X10">
        <f t="shared" si="0"/>
        <v>4.1860024879658173</v>
      </c>
      <c r="AD10" t="s">
        <v>6</v>
      </c>
      <c r="AE10">
        <v>11075</v>
      </c>
      <c r="AF10" t="s">
        <v>17</v>
      </c>
      <c r="AG10" s="55">
        <v>45757</v>
      </c>
      <c r="AH10">
        <v>109</v>
      </c>
      <c r="AI10">
        <v>109</v>
      </c>
      <c r="AJ10">
        <v>11</v>
      </c>
      <c r="AP10" s="40" t="s">
        <v>278</v>
      </c>
      <c r="AU10" t="s">
        <v>7</v>
      </c>
      <c r="AV10">
        <v>11074</v>
      </c>
      <c r="AW10">
        <v>500.789649</v>
      </c>
      <c r="AX10">
        <v>662582</v>
      </c>
      <c r="AY10">
        <v>0.75581500000000001</v>
      </c>
    </row>
    <row r="11" spans="2:57">
      <c r="B11" s="40" t="s">
        <v>71</v>
      </c>
      <c r="G11" s="41" t="s">
        <v>305</v>
      </c>
      <c r="AD11" t="s">
        <v>6</v>
      </c>
      <c r="AE11">
        <v>11075</v>
      </c>
      <c r="AF11" t="s">
        <v>16</v>
      </c>
      <c r="AG11" s="55">
        <v>45757</v>
      </c>
      <c r="AH11">
        <v>82</v>
      </c>
      <c r="AI11">
        <v>82</v>
      </c>
      <c r="AJ11">
        <v>13</v>
      </c>
      <c r="AP11" s="39" t="s">
        <v>279</v>
      </c>
    </row>
    <row r="12" spans="2:57" ht="16" customHeight="1">
      <c r="B12" s="41" t="s">
        <v>58</v>
      </c>
      <c r="G12" s="39" t="s">
        <v>306</v>
      </c>
      <c r="L12" s="79"/>
      <c r="M12" s="17" t="s">
        <v>21</v>
      </c>
      <c r="N12">
        <f t="shared" ref="N12:O14" si="4">N5+N8</f>
        <v>31780</v>
      </c>
      <c r="O12">
        <f t="shared" si="4"/>
        <v>29338</v>
      </c>
      <c r="Q12">
        <f t="shared" ref="Q12:S14" si="5">Q5+Q8</f>
        <v>5589</v>
      </c>
      <c r="R12">
        <f t="shared" si="5"/>
        <v>1571</v>
      </c>
      <c r="S12">
        <f t="shared" si="5"/>
        <v>64628.560833266602</v>
      </c>
      <c r="T12">
        <f t="shared" ref="T12:W12" si="6">T5+T8</f>
        <v>31776</v>
      </c>
      <c r="U12">
        <f t="shared" si="6"/>
        <v>15917</v>
      </c>
      <c r="V12">
        <f t="shared" si="6"/>
        <v>198629</v>
      </c>
      <c r="W12">
        <f t="shared" si="6"/>
        <v>77096</v>
      </c>
      <c r="X12">
        <f t="shared" si="0"/>
        <v>4.8436263114908584</v>
      </c>
      <c r="Y12">
        <f>U12/N12</f>
        <v>0.50084959093769665</v>
      </c>
      <c r="Z12">
        <f>Q12/O12</f>
        <v>0.19050378348899039</v>
      </c>
      <c r="AD12" t="s">
        <v>6</v>
      </c>
      <c r="AE12">
        <v>11075</v>
      </c>
      <c r="AF12" t="s">
        <v>16</v>
      </c>
      <c r="AG12" s="55">
        <v>45755</v>
      </c>
      <c r="AH12">
        <v>39</v>
      </c>
      <c r="AI12">
        <v>39</v>
      </c>
      <c r="AJ12">
        <v>7</v>
      </c>
      <c r="AP12" s="39" t="s">
        <v>280</v>
      </c>
    </row>
    <row r="13" spans="2:57">
      <c r="B13" s="40" t="s">
        <v>176</v>
      </c>
      <c r="G13" s="39" t="s">
        <v>307</v>
      </c>
      <c r="L13" s="79"/>
      <c r="M13" s="17" t="s">
        <v>22</v>
      </c>
      <c r="N13">
        <f t="shared" si="4"/>
        <v>32121</v>
      </c>
      <c r="O13">
        <f t="shared" si="4"/>
        <v>29385</v>
      </c>
      <c r="Q13">
        <f t="shared" si="5"/>
        <v>4852</v>
      </c>
      <c r="R13">
        <f t="shared" si="5"/>
        <v>1267</v>
      </c>
      <c r="S13">
        <f t="shared" si="5"/>
        <v>54394.697461399999</v>
      </c>
      <c r="T13">
        <f t="shared" ref="T13:W13" si="7">T6+T9</f>
        <v>32120</v>
      </c>
      <c r="U13">
        <f t="shared" si="7"/>
        <v>21378</v>
      </c>
      <c r="V13">
        <f t="shared" si="7"/>
        <v>214609</v>
      </c>
      <c r="W13">
        <f t="shared" si="7"/>
        <v>87007</v>
      </c>
      <c r="X13">
        <f t="shared" si="0"/>
        <v>4.0699317054916273</v>
      </c>
      <c r="Y13">
        <f t="shared" ref="Y13:Y14" si="8">U13/N13</f>
        <v>0.66554590454842621</v>
      </c>
      <c r="Z13">
        <f t="shared" ref="Z13:Z14" si="9">Q13/O13</f>
        <v>0.16511825761442914</v>
      </c>
      <c r="AD13" t="s">
        <v>6</v>
      </c>
      <c r="AE13">
        <v>11075</v>
      </c>
      <c r="AF13" t="s">
        <v>17</v>
      </c>
      <c r="AG13" s="55">
        <v>45753</v>
      </c>
      <c r="AH13">
        <v>51</v>
      </c>
      <c r="AI13">
        <v>51</v>
      </c>
      <c r="AJ13">
        <v>6</v>
      </c>
      <c r="AP13" s="39" t="s">
        <v>281</v>
      </c>
    </row>
    <row r="14" spans="2:57">
      <c r="B14" s="40" t="s">
        <v>177</v>
      </c>
      <c r="G14" s="39" t="s">
        <v>308</v>
      </c>
      <c r="L14" s="79"/>
      <c r="M14" s="17" t="s">
        <v>23</v>
      </c>
      <c r="N14">
        <f t="shared" si="4"/>
        <v>31805</v>
      </c>
      <c r="O14">
        <f t="shared" si="4"/>
        <v>29362</v>
      </c>
      <c r="Q14">
        <f t="shared" si="5"/>
        <v>4823</v>
      </c>
      <c r="R14">
        <f t="shared" si="5"/>
        <v>1336</v>
      </c>
      <c r="S14">
        <f t="shared" si="5"/>
        <v>56158.344783755099</v>
      </c>
      <c r="T14">
        <f t="shared" ref="T14:W14" si="10">T7+T10</f>
        <v>31797</v>
      </c>
      <c r="U14">
        <f t="shared" si="10"/>
        <v>19549</v>
      </c>
      <c r="V14">
        <f t="shared" si="10"/>
        <v>205313</v>
      </c>
      <c r="W14">
        <f t="shared" si="10"/>
        <v>83079</v>
      </c>
      <c r="X14">
        <f t="shared" si="0"/>
        <v>4.2497825975753232</v>
      </c>
      <c r="Y14">
        <f t="shared" si="8"/>
        <v>0.61465178431064293</v>
      </c>
      <c r="Z14">
        <f t="shared" si="9"/>
        <v>0.16425992779783394</v>
      </c>
      <c r="AD14" t="s">
        <v>6</v>
      </c>
      <c r="AE14">
        <v>11075</v>
      </c>
      <c r="AF14" t="s">
        <v>16</v>
      </c>
      <c r="AG14" s="55">
        <v>45756</v>
      </c>
      <c r="AH14">
        <v>64</v>
      </c>
      <c r="AI14">
        <v>64</v>
      </c>
      <c r="AJ14">
        <v>19</v>
      </c>
      <c r="AP14" s="39" t="s">
        <v>165</v>
      </c>
    </row>
    <row r="15" spans="2:57">
      <c r="B15" s="40" t="s">
        <v>178</v>
      </c>
      <c r="G15" s="43" t="s">
        <v>66</v>
      </c>
      <c r="AD15" t="s">
        <v>6</v>
      </c>
      <c r="AE15">
        <v>11075</v>
      </c>
      <c r="AF15" t="s">
        <v>16</v>
      </c>
      <c r="AG15" s="55">
        <v>45762</v>
      </c>
      <c r="AH15">
        <v>111</v>
      </c>
      <c r="AI15">
        <v>111</v>
      </c>
      <c r="AJ15">
        <v>32</v>
      </c>
      <c r="AP15" s="43" t="s">
        <v>66</v>
      </c>
    </row>
    <row r="16" spans="2:57">
      <c r="B16" s="40" t="s">
        <v>179</v>
      </c>
      <c r="G16" s="40" t="s">
        <v>309</v>
      </c>
      <c r="AD16" t="s">
        <v>6</v>
      </c>
      <c r="AE16">
        <v>11075</v>
      </c>
      <c r="AF16" t="s">
        <v>16</v>
      </c>
      <c r="AG16" s="55">
        <v>45763</v>
      </c>
      <c r="AH16">
        <v>106</v>
      </c>
      <c r="AI16">
        <v>106</v>
      </c>
      <c r="AJ16">
        <v>31</v>
      </c>
      <c r="AP16" s="40" t="s">
        <v>282</v>
      </c>
    </row>
    <row r="17" spans="2:42">
      <c r="B17" s="40" t="s">
        <v>180</v>
      </c>
      <c r="G17" s="39" t="s">
        <v>51</v>
      </c>
      <c r="AD17" t="s">
        <v>6</v>
      </c>
      <c r="AE17">
        <v>11075</v>
      </c>
      <c r="AF17" t="s">
        <v>17</v>
      </c>
      <c r="AG17" s="55">
        <v>45754</v>
      </c>
      <c r="AH17">
        <v>62</v>
      </c>
      <c r="AI17">
        <v>62</v>
      </c>
      <c r="AJ17">
        <v>11</v>
      </c>
      <c r="AP17" s="39" t="s">
        <v>51</v>
      </c>
    </row>
    <row r="18" spans="2:42">
      <c r="B18" s="40" t="s">
        <v>181</v>
      </c>
      <c r="G18" s="42" t="s">
        <v>310</v>
      </c>
      <c r="N18" s="3" t="s">
        <v>10</v>
      </c>
      <c r="AD18" t="s">
        <v>6</v>
      </c>
      <c r="AE18">
        <v>11075</v>
      </c>
      <c r="AF18" t="s">
        <v>17</v>
      </c>
      <c r="AG18" s="55">
        <v>45765</v>
      </c>
      <c r="AH18">
        <v>94</v>
      </c>
      <c r="AI18">
        <v>94</v>
      </c>
      <c r="AJ18">
        <v>9</v>
      </c>
      <c r="AP18" s="39" t="s">
        <v>52</v>
      </c>
    </row>
    <row r="19" spans="2:42">
      <c r="B19" s="40" t="s">
        <v>182</v>
      </c>
      <c r="G19" s="39" t="s">
        <v>311</v>
      </c>
      <c r="N19" t="s">
        <v>17</v>
      </c>
      <c r="P19" t="s">
        <v>16</v>
      </c>
      <c r="R19" t="s">
        <v>12</v>
      </c>
      <c r="S19" t="s">
        <v>13</v>
      </c>
      <c r="AD19" t="s">
        <v>6</v>
      </c>
      <c r="AE19">
        <v>11075</v>
      </c>
      <c r="AF19" t="s">
        <v>17</v>
      </c>
      <c r="AG19" s="55">
        <v>45766</v>
      </c>
      <c r="AH19">
        <v>94</v>
      </c>
      <c r="AI19">
        <v>94</v>
      </c>
      <c r="AJ19">
        <v>15</v>
      </c>
      <c r="AP19" s="39" t="s">
        <v>283</v>
      </c>
    </row>
    <row r="20" spans="2:42">
      <c r="B20" s="40" t="s">
        <v>72</v>
      </c>
      <c r="G20" s="41" t="s">
        <v>312</v>
      </c>
      <c r="M20" s="3" t="s">
        <v>8</v>
      </c>
      <c r="N20" t="s">
        <v>11</v>
      </c>
      <c r="O20" t="s">
        <v>14</v>
      </c>
      <c r="P20" t="s">
        <v>11</v>
      </c>
      <c r="Q20" t="s">
        <v>14</v>
      </c>
      <c r="AD20" t="s">
        <v>6</v>
      </c>
      <c r="AE20">
        <v>11075</v>
      </c>
      <c r="AF20" t="s">
        <v>17</v>
      </c>
      <c r="AG20" s="55">
        <v>45750</v>
      </c>
      <c r="AH20">
        <v>2</v>
      </c>
      <c r="AI20">
        <v>2</v>
      </c>
      <c r="AJ20">
        <v>0</v>
      </c>
      <c r="AP20" s="40" t="s">
        <v>54</v>
      </c>
    </row>
    <row r="21" spans="2:42">
      <c r="B21" s="39" t="s">
        <v>59</v>
      </c>
      <c r="G21" s="39" t="s">
        <v>74</v>
      </c>
      <c r="M21" s="4">
        <v>11072</v>
      </c>
      <c r="N21" s="8">
        <v>12185</v>
      </c>
      <c r="O21" s="8">
        <v>1633</v>
      </c>
      <c r="P21" s="8">
        <v>26773</v>
      </c>
      <c r="Q21" s="8">
        <v>5832</v>
      </c>
      <c r="R21" s="8">
        <v>38958</v>
      </c>
      <c r="S21" s="8">
        <v>7465</v>
      </c>
      <c r="AD21" t="s">
        <v>6</v>
      </c>
      <c r="AE21">
        <v>11075</v>
      </c>
      <c r="AF21" t="s">
        <v>16</v>
      </c>
      <c r="AG21" s="55">
        <v>45758</v>
      </c>
      <c r="AH21">
        <v>80</v>
      </c>
      <c r="AI21">
        <v>80</v>
      </c>
      <c r="AJ21">
        <v>17</v>
      </c>
      <c r="AP21" s="40" t="s">
        <v>55</v>
      </c>
    </row>
    <row r="22" spans="2:42">
      <c r="B22" s="41" t="s">
        <v>73</v>
      </c>
      <c r="G22" s="42" t="s">
        <v>313</v>
      </c>
      <c r="M22" s="4">
        <v>11073</v>
      </c>
      <c r="N22" s="8">
        <v>12343</v>
      </c>
      <c r="O22" s="8">
        <v>1978</v>
      </c>
      <c r="P22" s="8">
        <v>28484</v>
      </c>
      <c r="Q22" s="8">
        <v>6415</v>
      </c>
      <c r="R22" s="8">
        <v>40827</v>
      </c>
      <c r="S22" s="8">
        <v>8393</v>
      </c>
      <c r="AD22" t="s">
        <v>6</v>
      </c>
      <c r="AE22">
        <v>11075</v>
      </c>
      <c r="AF22" t="s">
        <v>17</v>
      </c>
      <c r="AG22" s="55">
        <v>45763</v>
      </c>
      <c r="AH22">
        <v>85</v>
      </c>
      <c r="AI22">
        <v>85</v>
      </c>
      <c r="AJ22">
        <v>12</v>
      </c>
      <c r="AP22" s="41" t="s">
        <v>284</v>
      </c>
    </row>
    <row r="23" spans="2:42">
      <c r="B23" s="39" t="s">
        <v>74</v>
      </c>
      <c r="G23" s="39" t="s">
        <v>314</v>
      </c>
      <c r="M23" s="4">
        <v>11074</v>
      </c>
      <c r="N23" s="8">
        <v>12280</v>
      </c>
      <c r="O23" s="8">
        <v>1854</v>
      </c>
      <c r="P23" s="8">
        <v>27969</v>
      </c>
      <c r="Q23" s="8">
        <v>6165</v>
      </c>
      <c r="R23" s="8">
        <v>40249</v>
      </c>
      <c r="S23" s="8">
        <v>8019</v>
      </c>
      <c r="AD23" t="s">
        <v>6</v>
      </c>
      <c r="AE23">
        <v>11075</v>
      </c>
      <c r="AF23" t="s">
        <v>16</v>
      </c>
      <c r="AG23" s="55">
        <v>45759</v>
      </c>
      <c r="AH23">
        <v>88</v>
      </c>
      <c r="AI23">
        <v>88</v>
      </c>
      <c r="AJ23">
        <v>29</v>
      </c>
      <c r="AP23" s="40" t="s">
        <v>285</v>
      </c>
    </row>
    <row r="24" spans="2:42">
      <c r="B24" s="42" t="s">
        <v>183</v>
      </c>
      <c r="G24" s="39" t="s">
        <v>315</v>
      </c>
      <c r="M24" s="4">
        <v>11075</v>
      </c>
      <c r="N24" s="8">
        <v>1402</v>
      </c>
      <c r="O24" s="8">
        <v>172</v>
      </c>
      <c r="P24" s="8">
        <v>1210</v>
      </c>
      <c r="Q24" s="8">
        <v>330</v>
      </c>
      <c r="R24" s="8">
        <v>2612</v>
      </c>
      <c r="S24" s="8">
        <v>502</v>
      </c>
      <c r="AD24" t="s">
        <v>6</v>
      </c>
      <c r="AE24">
        <v>11075</v>
      </c>
      <c r="AF24" t="s">
        <v>17</v>
      </c>
      <c r="AG24" s="55">
        <v>45762</v>
      </c>
      <c r="AH24">
        <v>104</v>
      </c>
      <c r="AI24">
        <v>104</v>
      </c>
      <c r="AJ24">
        <v>11</v>
      </c>
      <c r="AP24" s="41" t="s">
        <v>58</v>
      </c>
    </row>
    <row r="25" spans="2:42">
      <c r="B25" s="40" t="s">
        <v>184</v>
      </c>
      <c r="G25" s="43" t="s">
        <v>66</v>
      </c>
      <c r="M25" s="4">
        <v>11076</v>
      </c>
      <c r="N25" s="8">
        <v>1445</v>
      </c>
      <c r="O25" s="8">
        <v>219</v>
      </c>
      <c r="P25" s="8">
        <v>1248</v>
      </c>
      <c r="Q25" s="8">
        <v>305</v>
      </c>
      <c r="R25" s="8">
        <v>2693</v>
      </c>
      <c r="S25" s="8">
        <v>524</v>
      </c>
      <c r="AD25" t="s">
        <v>6</v>
      </c>
      <c r="AE25">
        <v>11075</v>
      </c>
      <c r="AF25" t="s">
        <v>16</v>
      </c>
      <c r="AG25" s="55">
        <v>45765</v>
      </c>
      <c r="AH25">
        <v>95</v>
      </c>
      <c r="AI25">
        <v>95</v>
      </c>
      <c r="AJ25">
        <v>30</v>
      </c>
      <c r="AP25" s="39" t="s">
        <v>90</v>
      </c>
    </row>
    <row r="26" spans="2:42">
      <c r="B26" s="39" t="s">
        <v>76</v>
      </c>
      <c r="G26" s="40" t="s">
        <v>316</v>
      </c>
      <c r="M26" s="4">
        <v>11077</v>
      </c>
      <c r="N26" s="8">
        <v>1405</v>
      </c>
      <c r="O26" s="8">
        <v>200</v>
      </c>
      <c r="P26" s="8">
        <v>1098</v>
      </c>
      <c r="Q26" s="8">
        <v>259</v>
      </c>
      <c r="R26" s="8">
        <v>2503</v>
      </c>
      <c r="S26" s="8">
        <v>459</v>
      </c>
      <c r="AD26" t="s">
        <v>6</v>
      </c>
      <c r="AE26">
        <v>11075</v>
      </c>
      <c r="AF26" t="s">
        <v>16</v>
      </c>
      <c r="AG26" s="55">
        <v>45752</v>
      </c>
      <c r="AH26">
        <v>13</v>
      </c>
      <c r="AI26">
        <v>13</v>
      </c>
      <c r="AJ26">
        <v>3</v>
      </c>
      <c r="AP26" s="75" t="s">
        <v>286</v>
      </c>
    </row>
    <row r="27" spans="2:42">
      <c r="B27" s="39" t="s">
        <v>294</v>
      </c>
      <c r="G27" s="41" t="s">
        <v>317</v>
      </c>
      <c r="M27" s="4" t="s">
        <v>9</v>
      </c>
      <c r="N27" s="8">
        <v>41060</v>
      </c>
      <c r="O27" s="8">
        <v>6056</v>
      </c>
      <c r="P27" s="8">
        <v>86782</v>
      </c>
      <c r="Q27" s="8">
        <v>19306</v>
      </c>
      <c r="R27" s="8">
        <v>127842</v>
      </c>
      <c r="S27" s="8">
        <v>25362</v>
      </c>
      <c r="AD27" t="s">
        <v>6</v>
      </c>
      <c r="AE27">
        <v>11075</v>
      </c>
      <c r="AF27" t="s">
        <v>17</v>
      </c>
      <c r="AG27" s="55">
        <v>45755</v>
      </c>
      <c r="AH27">
        <v>115</v>
      </c>
      <c r="AI27">
        <v>115</v>
      </c>
      <c r="AJ27">
        <v>13</v>
      </c>
      <c r="AP27" s="39" t="s">
        <v>61</v>
      </c>
    </row>
    <row r="28" spans="2:42">
      <c r="B28" s="39" t="s">
        <v>65</v>
      </c>
      <c r="G28" s="39" t="s">
        <v>51</v>
      </c>
      <c r="AD28" t="s">
        <v>6</v>
      </c>
      <c r="AE28">
        <v>11075</v>
      </c>
      <c r="AF28" t="s">
        <v>16</v>
      </c>
      <c r="AG28" s="55">
        <v>45753</v>
      </c>
      <c r="AH28">
        <v>24</v>
      </c>
      <c r="AI28">
        <v>24</v>
      </c>
      <c r="AJ28">
        <v>4</v>
      </c>
      <c r="AP28" s="42" t="s">
        <v>295</v>
      </c>
    </row>
    <row r="29" spans="2:42">
      <c r="B29" s="39" t="s">
        <v>185</v>
      </c>
      <c r="G29" s="42" t="s">
        <v>318</v>
      </c>
      <c r="AD29" t="s">
        <v>6</v>
      </c>
      <c r="AE29">
        <v>11075</v>
      </c>
      <c r="AF29" t="s">
        <v>16</v>
      </c>
      <c r="AG29" s="55">
        <v>45751</v>
      </c>
      <c r="AH29">
        <v>3</v>
      </c>
      <c r="AI29">
        <v>3</v>
      </c>
      <c r="AJ29">
        <v>0</v>
      </c>
      <c r="AP29" s="39" t="s">
        <v>63</v>
      </c>
    </row>
    <row r="30" spans="2:42">
      <c r="B30" s="43" t="s">
        <v>66</v>
      </c>
      <c r="G30" s="39" t="s">
        <v>319</v>
      </c>
      <c r="M30" s="6"/>
      <c r="N30" s="6" t="s">
        <v>17</v>
      </c>
      <c r="O30" s="6"/>
      <c r="P30" s="6" t="s">
        <v>16</v>
      </c>
      <c r="Q30" s="6"/>
      <c r="AD30" t="s">
        <v>6</v>
      </c>
      <c r="AE30">
        <v>11075</v>
      </c>
      <c r="AF30" t="s">
        <v>16</v>
      </c>
      <c r="AG30" s="55">
        <v>45766</v>
      </c>
      <c r="AH30">
        <v>117</v>
      </c>
      <c r="AI30">
        <v>117</v>
      </c>
      <c r="AJ30">
        <v>37</v>
      </c>
      <c r="AP30" s="43" t="s">
        <v>187</v>
      </c>
    </row>
    <row r="31" spans="2:42">
      <c r="B31" s="40" t="s">
        <v>186</v>
      </c>
      <c r="G31" s="39" t="s">
        <v>320</v>
      </c>
      <c r="M31" s="7" t="s">
        <v>8</v>
      </c>
      <c r="N31" s="7" t="s">
        <v>11</v>
      </c>
      <c r="O31" s="7" t="s">
        <v>14</v>
      </c>
      <c r="P31" s="7" t="s">
        <v>11</v>
      </c>
      <c r="Q31" s="7" t="s">
        <v>14</v>
      </c>
      <c r="AD31" t="s">
        <v>6</v>
      </c>
      <c r="AE31">
        <v>11075</v>
      </c>
      <c r="AF31" t="s">
        <v>16</v>
      </c>
      <c r="AG31" s="55">
        <v>45754</v>
      </c>
      <c r="AH31">
        <v>33</v>
      </c>
      <c r="AI31">
        <v>33</v>
      </c>
      <c r="AJ31">
        <v>8</v>
      </c>
    </row>
    <row r="32" spans="2:42">
      <c r="B32" s="39" t="s">
        <v>51</v>
      </c>
      <c r="G32" s="42" t="s">
        <v>321</v>
      </c>
      <c r="M32" s="4">
        <v>11072</v>
      </c>
      <c r="N32" s="8">
        <v>12185</v>
      </c>
      <c r="O32" s="8">
        <v>1633</v>
      </c>
      <c r="P32" s="8">
        <v>26773</v>
      </c>
      <c r="Q32" s="8">
        <v>5832</v>
      </c>
      <c r="AD32" t="s">
        <v>6</v>
      </c>
      <c r="AE32">
        <v>11075</v>
      </c>
      <c r="AF32" t="s">
        <v>17</v>
      </c>
      <c r="AG32" s="55">
        <v>45758</v>
      </c>
      <c r="AH32">
        <v>102</v>
      </c>
      <c r="AI32">
        <v>102</v>
      </c>
      <c r="AJ32">
        <v>10</v>
      </c>
      <c r="AP32" s="39" t="s">
        <v>51</v>
      </c>
    </row>
    <row r="33" spans="2:42">
      <c r="B33" s="39" t="s">
        <v>52</v>
      </c>
      <c r="G33" s="39" t="s">
        <v>322</v>
      </c>
      <c r="M33" s="4">
        <v>11073</v>
      </c>
      <c r="N33" s="8">
        <v>12343</v>
      </c>
      <c r="O33" s="8">
        <v>1978</v>
      </c>
      <c r="P33" s="8">
        <v>28484</v>
      </c>
      <c r="Q33" s="8">
        <v>6415</v>
      </c>
      <c r="AD33" t="s">
        <v>6</v>
      </c>
      <c r="AE33">
        <v>11075</v>
      </c>
      <c r="AF33" t="s">
        <v>17</v>
      </c>
      <c r="AG33" s="55">
        <v>45752</v>
      </c>
      <c r="AH33">
        <v>32</v>
      </c>
      <c r="AI33">
        <v>32</v>
      </c>
      <c r="AJ33">
        <v>3</v>
      </c>
      <c r="AP33" s="42" t="s">
        <v>344</v>
      </c>
    </row>
    <row r="34" spans="2:42">
      <c r="B34" s="39" t="s">
        <v>53</v>
      </c>
      <c r="G34" s="43" t="s">
        <v>66</v>
      </c>
      <c r="M34" s="4">
        <v>11074</v>
      </c>
      <c r="N34" s="8">
        <v>12280</v>
      </c>
      <c r="O34" s="8">
        <v>1854</v>
      </c>
      <c r="P34" s="8">
        <v>27969</v>
      </c>
      <c r="Q34" s="8">
        <v>6165</v>
      </c>
      <c r="AD34" t="s">
        <v>6</v>
      </c>
      <c r="AE34">
        <v>11075</v>
      </c>
      <c r="AF34" t="s">
        <v>17</v>
      </c>
      <c r="AG34" s="55">
        <v>45751</v>
      </c>
      <c r="AH34">
        <v>19</v>
      </c>
      <c r="AI34">
        <v>19</v>
      </c>
      <c r="AJ34">
        <v>4</v>
      </c>
      <c r="AP34" s="40" t="s">
        <v>287</v>
      </c>
    </row>
    <row r="35" spans="2:42">
      <c r="B35" s="40" t="s">
        <v>54</v>
      </c>
      <c r="M35" s="4">
        <v>11075</v>
      </c>
      <c r="N35" s="8">
        <v>1402</v>
      </c>
      <c r="O35" s="8">
        <v>172</v>
      </c>
      <c r="P35" s="8">
        <v>1210</v>
      </c>
      <c r="Q35" s="8">
        <v>330</v>
      </c>
      <c r="AD35" t="s">
        <v>6</v>
      </c>
      <c r="AE35">
        <v>11075</v>
      </c>
      <c r="AF35" t="s">
        <v>17</v>
      </c>
      <c r="AG35" s="55">
        <v>45756</v>
      </c>
      <c r="AH35">
        <v>101</v>
      </c>
      <c r="AI35">
        <v>101</v>
      </c>
      <c r="AJ35">
        <v>12</v>
      </c>
      <c r="AP35" s="40" t="s">
        <v>277</v>
      </c>
    </row>
    <row r="36" spans="2:42">
      <c r="B36" s="40" t="s">
        <v>55</v>
      </c>
      <c r="G36" s="39" t="s">
        <v>298</v>
      </c>
      <c r="M36" s="4">
        <v>11076</v>
      </c>
      <c r="N36" s="8">
        <v>1445</v>
      </c>
      <c r="O36" s="8">
        <v>219</v>
      </c>
      <c r="P36" s="8">
        <v>1248</v>
      </c>
      <c r="Q36" s="8">
        <v>305</v>
      </c>
      <c r="AD36" t="s">
        <v>6</v>
      </c>
      <c r="AE36">
        <v>11075</v>
      </c>
      <c r="AF36" t="s">
        <v>17</v>
      </c>
      <c r="AG36" s="55">
        <v>45764</v>
      </c>
      <c r="AH36">
        <v>111</v>
      </c>
      <c r="AI36">
        <v>111</v>
      </c>
      <c r="AJ36">
        <v>9</v>
      </c>
      <c r="AP36" s="40" t="s">
        <v>288</v>
      </c>
    </row>
    <row r="37" spans="2:42">
      <c r="B37" s="40" t="s">
        <v>56</v>
      </c>
      <c r="G37" s="42" t="s">
        <v>323</v>
      </c>
      <c r="M37" s="4">
        <v>11077</v>
      </c>
      <c r="N37" s="8">
        <v>1405</v>
      </c>
      <c r="O37" s="8">
        <v>200</v>
      </c>
      <c r="P37" s="8">
        <v>1098</v>
      </c>
      <c r="Q37" s="8">
        <v>259</v>
      </c>
      <c r="AD37" t="s">
        <v>6</v>
      </c>
      <c r="AE37">
        <v>11076</v>
      </c>
      <c r="AF37" t="s">
        <v>17</v>
      </c>
      <c r="AG37" s="55">
        <v>45765</v>
      </c>
      <c r="AH37">
        <v>87</v>
      </c>
      <c r="AI37">
        <v>87</v>
      </c>
      <c r="AJ37">
        <v>18</v>
      </c>
      <c r="AP37" s="39" t="s">
        <v>133</v>
      </c>
    </row>
    <row r="38" spans="2:42">
      <c r="B38" s="40" t="s">
        <v>57</v>
      </c>
      <c r="G38" s="42" t="s">
        <v>324</v>
      </c>
      <c r="N38" s="6" t="s">
        <v>17</v>
      </c>
      <c r="O38" s="6"/>
      <c r="P38" s="6" t="s">
        <v>16</v>
      </c>
      <c r="S38" t="s">
        <v>341</v>
      </c>
      <c r="T38" t="s">
        <v>342</v>
      </c>
      <c r="AD38" t="s">
        <v>6</v>
      </c>
      <c r="AE38">
        <v>11076</v>
      </c>
      <c r="AF38" t="s">
        <v>16</v>
      </c>
      <c r="AG38" s="55">
        <v>45764</v>
      </c>
      <c r="AH38">
        <v>112</v>
      </c>
      <c r="AI38">
        <v>112</v>
      </c>
      <c r="AJ38">
        <v>25</v>
      </c>
      <c r="AP38" s="42" t="s">
        <v>289</v>
      </c>
    </row>
    <row r="39" spans="2:42" ht="16" customHeight="1">
      <c r="B39" s="41" t="s">
        <v>58</v>
      </c>
      <c r="G39" s="39" t="s">
        <v>325</v>
      </c>
      <c r="L39" s="79"/>
      <c r="M39" s="17" t="s">
        <v>21</v>
      </c>
      <c r="N39">
        <f>N32+N35</f>
        <v>13587</v>
      </c>
      <c r="O39">
        <f t="shared" ref="O39:Q39" si="11">O32+O35</f>
        <v>1805</v>
      </c>
      <c r="P39">
        <f t="shared" si="11"/>
        <v>27983</v>
      </c>
      <c r="Q39">
        <f t="shared" si="11"/>
        <v>6162</v>
      </c>
      <c r="S39">
        <f>O39/N39</f>
        <v>0.13284757488776036</v>
      </c>
      <c r="T39">
        <f>Q39/P39</f>
        <v>0.22020512453989921</v>
      </c>
      <c r="AD39" t="s">
        <v>6</v>
      </c>
      <c r="AE39">
        <v>11076</v>
      </c>
      <c r="AF39" t="s">
        <v>17</v>
      </c>
      <c r="AG39" s="55">
        <v>45766</v>
      </c>
      <c r="AH39">
        <v>100</v>
      </c>
      <c r="AI39">
        <v>100</v>
      </c>
      <c r="AJ39">
        <v>19</v>
      </c>
      <c r="AP39" s="39" t="s">
        <v>290</v>
      </c>
    </row>
    <row r="40" spans="2:42">
      <c r="B40" s="39" t="s">
        <v>59</v>
      </c>
      <c r="G40" s="42" t="s">
        <v>326</v>
      </c>
      <c r="L40" s="79"/>
      <c r="M40" s="17" t="s">
        <v>22</v>
      </c>
      <c r="N40">
        <f>N33+N36</f>
        <v>13788</v>
      </c>
      <c r="O40">
        <f t="shared" ref="O40:Q40" si="12">O33+O36</f>
        <v>2197</v>
      </c>
      <c r="P40">
        <f t="shared" si="12"/>
        <v>29732</v>
      </c>
      <c r="Q40">
        <f t="shared" si="12"/>
        <v>6720</v>
      </c>
      <c r="S40">
        <f t="shared" ref="S40:S41" si="13">O40/N40</f>
        <v>0.15934145633884536</v>
      </c>
      <c r="T40">
        <f t="shared" ref="T40:T41" si="14">Q40/P40</f>
        <v>0.22601910399569489</v>
      </c>
      <c r="AD40" t="s">
        <v>6</v>
      </c>
      <c r="AE40">
        <v>11076</v>
      </c>
      <c r="AF40" t="s">
        <v>16</v>
      </c>
      <c r="AG40" s="55">
        <v>45751</v>
      </c>
      <c r="AH40">
        <v>1</v>
      </c>
      <c r="AI40">
        <v>1</v>
      </c>
      <c r="AJ40">
        <v>0</v>
      </c>
      <c r="AP40" s="39" t="s">
        <v>100</v>
      </c>
    </row>
    <row r="41" spans="2:42">
      <c r="B41" s="41" t="s">
        <v>60</v>
      </c>
      <c r="G41" s="39" t="s">
        <v>327</v>
      </c>
      <c r="L41" s="79"/>
      <c r="M41" s="17" t="s">
        <v>23</v>
      </c>
      <c r="N41">
        <f>N34+N37</f>
        <v>13685</v>
      </c>
      <c r="O41">
        <f t="shared" ref="O41:Q41" si="15">O34+O37</f>
        <v>2054</v>
      </c>
      <c r="P41">
        <f t="shared" si="15"/>
        <v>29067</v>
      </c>
      <c r="Q41">
        <f t="shared" si="15"/>
        <v>6424</v>
      </c>
      <c r="S41">
        <f t="shared" si="13"/>
        <v>0.15009134088417975</v>
      </c>
      <c r="T41">
        <f t="shared" si="14"/>
        <v>0.22100663983211202</v>
      </c>
      <c r="AD41" t="s">
        <v>6</v>
      </c>
      <c r="AE41">
        <v>11076</v>
      </c>
      <c r="AF41" t="s">
        <v>17</v>
      </c>
      <c r="AG41" s="55">
        <v>45750</v>
      </c>
      <c r="AH41">
        <v>1</v>
      </c>
      <c r="AI41">
        <v>1</v>
      </c>
      <c r="AJ41">
        <v>0</v>
      </c>
      <c r="AP41" s="39" t="s">
        <v>101</v>
      </c>
    </row>
    <row r="42" spans="2:42">
      <c r="B42" s="39" t="s">
        <v>61</v>
      </c>
      <c r="G42" s="39" t="s">
        <v>328</v>
      </c>
      <c r="P42" t="s">
        <v>343</v>
      </c>
      <c r="AD42" t="s">
        <v>6</v>
      </c>
      <c r="AE42">
        <v>11076</v>
      </c>
      <c r="AF42" t="s">
        <v>16</v>
      </c>
      <c r="AG42" s="55">
        <v>45753</v>
      </c>
      <c r="AH42">
        <v>24</v>
      </c>
      <c r="AI42">
        <v>24</v>
      </c>
      <c r="AJ42">
        <v>9</v>
      </c>
    </row>
    <row r="43" spans="2:42">
      <c r="B43" s="42" t="s">
        <v>295</v>
      </c>
      <c r="G43" s="39" t="s">
        <v>329</v>
      </c>
      <c r="O43" s="17" t="s">
        <v>21</v>
      </c>
      <c r="P43">
        <f>P39+N39</f>
        <v>41570</v>
      </c>
      <c r="Q43">
        <f>Q39+O39</f>
        <v>7967</v>
      </c>
      <c r="S43">
        <f>Q43/P43</f>
        <v>0.19165263411113784</v>
      </c>
      <c r="AD43" t="s">
        <v>6</v>
      </c>
      <c r="AE43">
        <v>11076</v>
      </c>
      <c r="AF43" t="s">
        <v>17</v>
      </c>
      <c r="AG43" s="55">
        <v>45758</v>
      </c>
      <c r="AH43">
        <v>109</v>
      </c>
      <c r="AI43">
        <v>109</v>
      </c>
      <c r="AJ43">
        <v>20</v>
      </c>
    </row>
    <row r="44" spans="2:42">
      <c r="B44" s="39" t="s">
        <v>63</v>
      </c>
      <c r="G44" s="41" t="s">
        <v>330</v>
      </c>
      <c r="O44" s="17" t="s">
        <v>22</v>
      </c>
      <c r="P44">
        <f t="shared" ref="P44:Q45" si="16">P40+N40</f>
        <v>43520</v>
      </c>
      <c r="Q44">
        <f t="shared" si="16"/>
        <v>8917</v>
      </c>
      <c r="S44">
        <f t="shared" ref="S44:S45" si="17">Q44/P44</f>
        <v>0.20489430147058824</v>
      </c>
      <c r="AD44" t="s">
        <v>6</v>
      </c>
      <c r="AE44">
        <v>11076</v>
      </c>
      <c r="AF44" t="s">
        <v>17</v>
      </c>
      <c r="AG44" s="55">
        <v>45761</v>
      </c>
      <c r="AH44">
        <v>134</v>
      </c>
      <c r="AI44">
        <v>134</v>
      </c>
      <c r="AJ44">
        <v>23</v>
      </c>
    </row>
    <row r="45" spans="2:42">
      <c r="B45" s="39" t="s">
        <v>64</v>
      </c>
      <c r="O45" s="17" t="s">
        <v>23</v>
      </c>
      <c r="P45">
        <f t="shared" si="16"/>
        <v>42752</v>
      </c>
      <c r="Q45">
        <f t="shared" si="16"/>
        <v>8478</v>
      </c>
      <c r="S45">
        <f t="shared" si="17"/>
        <v>0.1983065119760479</v>
      </c>
      <c r="AD45" t="s">
        <v>6</v>
      </c>
      <c r="AE45">
        <v>11076</v>
      </c>
      <c r="AF45" t="s">
        <v>16</v>
      </c>
      <c r="AG45" s="55">
        <v>45761</v>
      </c>
      <c r="AH45">
        <v>124</v>
      </c>
      <c r="AI45">
        <v>124</v>
      </c>
      <c r="AJ45">
        <v>33</v>
      </c>
    </row>
    <row r="46" spans="2:42">
      <c r="B46" s="39" t="s">
        <v>65</v>
      </c>
      <c r="G46" s="41" t="s">
        <v>331</v>
      </c>
      <c r="AD46" t="s">
        <v>6</v>
      </c>
      <c r="AE46">
        <v>11076</v>
      </c>
      <c r="AF46" t="s">
        <v>16</v>
      </c>
      <c r="AG46" s="55">
        <v>45760</v>
      </c>
      <c r="AH46">
        <v>117</v>
      </c>
      <c r="AI46">
        <v>117</v>
      </c>
      <c r="AJ46">
        <v>29</v>
      </c>
    </row>
    <row r="47" spans="2:42">
      <c r="B47" s="43" t="s">
        <v>187</v>
      </c>
      <c r="AD47" t="s">
        <v>6</v>
      </c>
      <c r="AE47">
        <v>11076</v>
      </c>
      <c r="AF47" t="s">
        <v>17</v>
      </c>
      <c r="AG47" s="55">
        <v>45755</v>
      </c>
      <c r="AH47">
        <v>96</v>
      </c>
      <c r="AI47">
        <v>96</v>
      </c>
      <c r="AJ47">
        <v>15</v>
      </c>
    </row>
    <row r="48" spans="2:42">
      <c r="G48" s="41" t="s">
        <v>330</v>
      </c>
      <c r="AD48" t="s">
        <v>6</v>
      </c>
      <c r="AE48">
        <v>11076</v>
      </c>
      <c r="AF48" t="s">
        <v>16</v>
      </c>
      <c r="AG48" s="55">
        <v>45758</v>
      </c>
      <c r="AH48">
        <v>83</v>
      </c>
      <c r="AI48">
        <v>83</v>
      </c>
      <c r="AJ48">
        <v>15</v>
      </c>
    </row>
    <row r="49" spans="2:36">
      <c r="B49" s="40" t="s">
        <v>188</v>
      </c>
      <c r="G49" s="41" t="s">
        <v>332</v>
      </c>
      <c r="AD49" t="s">
        <v>6</v>
      </c>
      <c r="AE49">
        <v>11076</v>
      </c>
      <c r="AF49" t="s">
        <v>17</v>
      </c>
      <c r="AG49" s="55">
        <v>45759</v>
      </c>
      <c r="AH49">
        <v>101</v>
      </c>
      <c r="AI49">
        <v>101</v>
      </c>
      <c r="AJ49">
        <v>11</v>
      </c>
    </row>
    <row r="50" spans="2:36">
      <c r="B50" s="39" t="s">
        <v>51</v>
      </c>
      <c r="G50" s="41" t="s">
        <v>333</v>
      </c>
      <c r="AD50" t="s">
        <v>6</v>
      </c>
      <c r="AE50">
        <v>11076</v>
      </c>
      <c r="AF50" t="s">
        <v>17</v>
      </c>
      <c r="AG50" s="55">
        <v>45756</v>
      </c>
      <c r="AH50">
        <v>101</v>
      </c>
      <c r="AI50">
        <v>101</v>
      </c>
      <c r="AJ50">
        <v>11</v>
      </c>
    </row>
    <row r="51" spans="2:36">
      <c r="B51" s="42" t="s">
        <v>189</v>
      </c>
      <c r="G51" s="39" t="s">
        <v>334</v>
      </c>
      <c r="AD51" t="s">
        <v>6</v>
      </c>
      <c r="AE51">
        <v>11076</v>
      </c>
      <c r="AF51" t="s">
        <v>16</v>
      </c>
      <c r="AG51" s="55">
        <v>45750</v>
      </c>
      <c r="AH51">
        <v>1</v>
      </c>
      <c r="AI51">
        <v>1</v>
      </c>
      <c r="AJ51">
        <v>1</v>
      </c>
    </row>
    <row r="52" spans="2:36">
      <c r="B52" s="39" t="s">
        <v>90</v>
      </c>
      <c r="G52" s="39" t="s">
        <v>335</v>
      </c>
      <c r="AD52" t="s">
        <v>6</v>
      </c>
      <c r="AE52">
        <v>11076</v>
      </c>
      <c r="AF52" t="s">
        <v>16</v>
      </c>
      <c r="AG52" s="55">
        <v>45759</v>
      </c>
      <c r="AH52">
        <v>93</v>
      </c>
      <c r="AI52">
        <v>93</v>
      </c>
      <c r="AJ52">
        <v>21</v>
      </c>
    </row>
    <row r="53" spans="2:36">
      <c r="B53" s="43" t="s">
        <v>190</v>
      </c>
      <c r="G53" s="39" t="s">
        <v>336</v>
      </c>
      <c r="AD53" t="s">
        <v>6</v>
      </c>
      <c r="AE53">
        <v>11076</v>
      </c>
      <c r="AF53" t="s">
        <v>16</v>
      </c>
      <c r="AG53" s="55">
        <v>45756</v>
      </c>
      <c r="AH53">
        <v>60</v>
      </c>
      <c r="AI53">
        <v>60</v>
      </c>
      <c r="AJ53">
        <v>13</v>
      </c>
    </row>
    <row r="54" spans="2:36">
      <c r="B54" s="39" t="s">
        <v>191</v>
      </c>
      <c r="G54" s="39" t="s">
        <v>337</v>
      </c>
      <c r="AD54" t="s">
        <v>6</v>
      </c>
      <c r="AE54">
        <v>11076</v>
      </c>
      <c r="AF54" t="s">
        <v>17</v>
      </c>
      <c r="AG54" s="55">
        <v>45751</v>
      </c>
      <c r="AH54">
        <v>26</v>
      </c>
      <c r="AI54">
        <v>26</v>
      </c>
      <c r="AJ54">
        <v>4</v>
      </c>
    </row>
    <row r="55" spans="2:36">
      <c r="B55" s="43" t="s">
        <v>192</v>
      </c>
      <c r="G55" s="39" t="s">
        <v>338</v>
      </c>
      <c r="AD55" t="s">
        <v>6</v>
      </c>
      <c r="AE55">
        <v>11076</v>
      </c>
      <c r="AF55" t="s">
        <v>16</v>
      </c>
      <c r="AG55" s="55">
        <v>45766</v>
      </c>
      <c r="AH55">
        <v>126</v>
      </c>
      <c r="AI55">
        <v>126</v>
      </c>
      <c r="AJ55">
        <v>33</v>
      </c>
    </row>
    <row r="56" spans="2:36">
      <c r="B56" s="39" t="s">
        <v>92</v>
      </c>
      <c r="AD56" t="s">
        <v>6</v>
      </c>
      <c r="AE56">
        <v>11076</v>
      </c>
      <c r="AF56" t="s">
        <v>16</v>
      </c>
      <c r="AG56" s="55">
        <v>45762</v>
      </c>
      <c r="AH56">
        <v>119</v>
      </c>
      <c r="AI56">
        <v>119</v>
      </c>
      <c r="AJ56">
        <v>34</v>
      </c>
    </row>
    <row r="57" spans="2:36">
      <c r="B57" s="39" t="s">
        <v>93</v>
      </c>
      <c r="AD57" t="s">
        <v>6</v>
      </c>
      <c r="AE57">
        <v>11076</v>
      </c>
      <c r="AF57" t="s">
        <v>16</v>
      </c>
      <c r="AG57" s="55">
        <v>45765</v>
      </c>
      <c r="AH57">
        <v>114</v>
      </c>
      <c r="AI57">
        <v>114</v>
      </c>
      <c r="AJ57">
        <v>30</v>
      </c>
    </row>
    <row r="58" spans="2:36">
      <c r="B58" s="43" t="s">
        <v>66</v>
      </c>
      <c r="AD58" t="s">
        <v>6</v>
      </c>
      <c r="AE58">
        <v>11076</v>
      </c>
      <c r="AF58" t="s">
        <v>17</v>
      </c>
      <c r="AG58" s="55">
        <v>45760</v>
      </c>
      <c r="AH58">
        <v>150</v>
      </c>
      <c r="AI58">
        <v>150</v>
      </c>
      <c r="AJ58">
        <v>28</v>
      </c>
    </row>
    <row r="59" spans="2:36">
      <c r="B59" s="40" t="s">
        <v>193</v>
      </c>
      <c r="AD59" t="s">
        <v>6</v>
      </c>
      <c r="AE59">
        <v>11076</v>
      </c>
      <c r="AF59" t="s">
        <v>17</v>
      </c>
      <c r="AG59" s="55">
        <v>45764</v>
      </c>
      <c r="AH59">
        <v>98</v>
      </c>
      <c r="AI59">
        <v>98</v>
      </c>
      <c r="AJ59">
        <v>18</v>
      </c>
    </row>
    <row r="60" spans="2:36">
      <c r="B60" s="39" t="s">
        <v>194</v>
      </c>
      <c r="AD60" t="s">
        <v>6</v>
      </c>
      <c r="AE60">
        <v>11076</v>
      </c>
      <c r="AF60" t="s">
        <v>17</v>
      </c>
      <c r="AG60" s="55">
        <v>45753</v>
      </c>
      <c r="AH60">
        <v>63</v>
      </c>
      <c r="AI60">
        <v>63</v>
      </c>
      <c r="AJ60">
        <v>9</v>
      </c>
    </row>
    <row r="61" spans="2:36">
      <c r="B61" s="42" t="s">
        <v>195</v>
      </c>
      <c r="AD61" t="s">
        <v>6</v>
      </c>
      <c r="AE61">
        <v>11076</v>
      </c>
      <c r="AF61" t="s">
        <v>16</v>
      </c>
      <c r="AG61" s="55">
        <v>45763</v>
      </c>
      <c r="AH61">
        <v>113</v>
      </c>
      <c r="AI61">
        <v>113</v>
      </c>
      <c r="AJ61">
        <v>25</v>
      </c>
    </row>
    <row r="62" spans="2:36">
      <c r="B62" s="40" t="s">
        <v>196</v>
      </c>
      <c r="AD62" t="s">
        <v>6</v>
      </c>
      <c r="AE62">
        <v>11076</v>
      </c>
      <c r="AF62" t="s">
        <v>17</v>
      </c>
      <c r="AG62" s="55">
        <v>45762</v>
      </c>
      <c r="AH62">
        <v>101</v>
      </c>
      <c r="AI62">
        <v>101</v>
      </c>
      <c r="AJ62">
        <v>15</v>
      </c>
    </row>
    <row r="63" spans="2:36">
      <c r="B63" s="40" t="s">
        <v>197</v>
      </c>
      <c r="AD63" t="s">
        <v>6</v>
      </c>
      <c r="AE63">
        <v>11076</v>
      </c>
      <c r="AF63" t="s">
        <v>16</v>
      </c>
      <c r="AG63" s="55">
        <v>45754</v>
      </c>
      <c r="AH63">
        <v>33</v>
      </c>
      <c r="AI63">
        <v>33</v>
      </c>
      <c r="AJ63">
        <v>7</v>
      </c>
    </row>
    <row r="64" spans="2:36">
      <c r="B64" s="39" t="s">
        <v>198</v>
      </c>
      <c r="AD64" t="s">
        <v>6</v>
      </c>
      <c r="AE64">
        <v>11076</v>
      </c>
      <c r="AF64" t="s">
        <v>17</v>
      </c>
      <c r="AG64" s="55">
        <v>45757</v>
      </c>
      <c r="AH64">
        <v>90</v>
      </c>
      <c r="AI64">
        <v>90</v>
      </c>
      <c r="AJ64">
        <v>7</v>
      </c>
    </row>
    <row r="65" spans="2:36">
      <c r="B65" s="39" t="s">
        <v>199</v>
      </c>
      <c r="AD65" t="s">
        <v>6</v>
      </c>
      <c r="AE65">
        <v>11076</v>
      </c>
      <c r="AF65" t="s">
        <v>17</v>
      </c>
      <c r="AG65" s="55">
        <v>45763</v>
      </c>
      <c r="AH65">
        <v>95</v>
      </c>
      <c r="AI65">
        <v>95</v>
      </c>
      <c r="AJ65">
        <v>11</v>
      </c>
    </row>
    <row r="66" spans="2:36">
      <c r="B66" s="39" t="s">
        <v>200</v>
      </c>
      <c r="AD66" t="s">
        <v>6</v>
      </c>
      <c r="AE66">
        <v>11076</v>
      </c>
      <c r="AF66" t="s">
        <v>17</v>
      </c>
      <c r="AG66" s="55">
        <v>45752</v>
      </c>
      <c r="AH66">
        <v>27</v>
      </c>
      <c r="AI66">
        <v>27</v>
      </c>
      <c r="AJ66">
        <v>4</v>
      </c>
    </row>
    <row r="67" spans="2:36">
      <c r="B67" s="39" t="s">
        <v>201</v>
      </c>
      <c r="AD67" t="s">
        <v>6</v>
      </c>
      <c r="AE67">
        <v>11076</v>
      </c>
      <c r="AF67" t="s">
        <v>17</v>
      </c>
      <c r="AG67" s="55">
        <v>45754</v>
      </c>
      <c r="AH67">
        <v>66</v>
      </c>
      <c r="AI67">
        <v>66</v>
      </c>
      <c r="AJ67">
        <v>6</v>
      </c>
    </row>
    <row r="68" spans="2:36">
      <c r="B68" s="43" t="s">
        <v>66</v>
      </c>
      <c r="AD68" t="s">
        <v>6</v>
      </c>
      <c r="AE68">
        <v>11076</v>
      </c>
      <c r="AF68" t="s">
        <v>16</v>
      </c>
      <c r="AG68" s="55">
        <v>45752</v>
      </c>
      <c r="AH68">
        <v>12</v>
      </c>
      <c r="AI68">
        <v>12</v>
      </c>
      <c r="AJ68">
        <v>4</v>
      </c>
    </row>
    <row r="69" spans="2:36">
      <c r="B69" s="39" t="s">
        <v>51</v>
      </c>
      <c r="AD69" t="s">
        <v>6</v>
      </c>
      <c r="AE69">
        <v>11076</v>
      </c>
      <c r="AF69" t="s">
        <v>16</v>
      </c>
      <c r="AG69" s="55">
        <v>45757</v>
      </c>
      <c r="AH69">
        <v>78</v>
      </c>
      <c r="AI69">
        <v>78</v>
      </c>
      <c r="AJ69">
        <v>19</v>
      </c>
    </row>
    <row r="70" spans="2:36">
      <c r="B70" s="42" t="s">
        <v>202</v>
      </c>
      <c r="AD70" t="s">
        <v>6</v>
      </c>
      <c r="AE70">
        <v>11076</v>
      </c>
      <c r="AF70" t="s">
        <v>16</v>
      </c>
      <c r="AG70" s="55">
        <v>45755</v>
      </c>
      <c r="AH70">
        <v>38</v>
      </c>
      <c r="AI70">
        <v>38</v>
      </c>
      <c r="AJ70">
        <v>7</v>
      </c>
    </row>
    <row r="71" spans="2:36">
      <c r="B71" s="40" t="s">
        <v>203</v>
      </c>
      <c r="AD71" t="s">
        <v>6</v>
      </c>
      <c r="AE71">
        <v>11077</v>
      </c>
      <c r="AF71" t="s">
        <v>17</v>
      </c>
      <c r="AG71" s="55">
        <v>45763</v>
      </c>
      <c r="AH71">
        <v>96</v>
      </c>
      <c r="AI71">
        <v>96</v>
      </c>
      <c r="AJ71">
        <v>11</v>
      </c>
    </row>
    <row r="72" spans="2:36">
      <c r="B72" s="41" t="s">
        <v>204</v>
      </c>
      <c r="AD72" t="s">
        <v>6</v>
      </c>
      <c r="AE72">
        <v>11077</v>
      </c>
      <c r="AF72" t="s">
        <v>16</v>
      </c>
      <c r="AG72" s="55">
        <v>45759</v>
      </c>
      <c r="AH72">
        <v>85</v>
      </c>
      <c r="AI72">
        <v>85</v>
      </c>
      <c r="AJ72">
        <v>26</v>
      </c>
    </row>
    <row r="73" spans="2:36">
      <c r="B73" s="40" t="s">
        <v>205</v>
      </c>
      <c r="AD73" t="s">
        <v>6</v>
      </c>
      <c r="AE73">
        <v>11077</v>
      </c>
      <c r="AF73" t="s">
        <v>16</v>
      </c>
      <c r="AG73" s="55">
        <v>45760</v>
      </c>
      <c r="AH73">
        <v>101</v>
      </c>
      <c r="AI73">
        <v>101</v>
      </c>
      <c r="AJ73">
        <v>21</v>
      </c>
    </row>
    <row r="74" spans="2:36">
      <c r="B74" s="40" t="s">
        <v>206</v>
      </c>
      <c r="AD74" t="s">
        <v>6</v>
      </c>
      <c r="AE74">
        <v>11077</v>
      </c>
      <c r="AF74" t="s">
        <v>16</v>
      </c>
      <c r="AG74" s="55">
        <v>45762</v>
      </c>
      <c r="AH74">
        <v>108</v>
      </c>
      <c r="AI74">
        <v>108</v>
      </c>
      <c r="AJ74">
        <v>19</v>
      </c>
    </row>
    <row r="75" spans="2:36">
      <c r="B75" s="40" t="s">
        <v>207</v>
      </c>
      <c r="AD75" t="s">
        <v>6</v>
      </c>
      <c r="AE75">
        <v>11077</v>
      </c>
      <c r="AF75" t="s">
        <v>16</v>
      </c>
      <c r="AG75" s="55">
        <v>45752</v>
      </c>
      <c r="AH75">
        <v>10</v>
      </c>
      <c r="AI75">
        <v>10</v>
      </c>
      <c r="AJ75">
        <v>1</v>
      </c>
    </row>
    <row r="76" spans="2:36">
      <c r="B76" s="40" t="s">
        <v>208</v>
      </c>
      <c r="AD76" t="s">
        <v>6</v>
      </c>
      <c r="AE76">
        <v>11077</v>
      </c>
      <c r="AF76" t="s">
        <v>17</v>
      </c>
      <c r="AG76" s="55">
        <v>45754</v>
      </c>
      <c r="AH76">
        <v>74</v>
      </c>
      <c r="AI76">
        <v>74</v>
      </c>
      <c r="AJ76">
        <v>9</v>
      </c>
    </row>
    <row r="77" spans="2:36">
      <c r="B77" s="39" t="s">
        <v>209</v>
      </c>
      <c r="AD77" t="s">
        <v>6</v>
      </c>
      <c r="AE77">
        <v>11077</v>
      </c>
      <c r="AF77" t="s">
        <v>17</v>
      </c>
      <c r="AG77" s="55">
        <v>45757</v>
      </c>
      <c r="AH77">
        <v>114</v>
      </c>
      <c r="AI77">
        <v>114</v>
      </c>
      <c r="AJ77">
        <v>13</v>
      </c>
    </row>
    <row r="78" spans="2:36">
      <c r="B78" s="40" t="s">
        <v>210</v>
      </c>
      <c r="AD78" t="s">
        <v>6</v>
      </c>
      <c r="AE78">
        <v>11077</v>
      </c>
      <c r="AF78" t="s">
        <v>16</v>
      </c>
      <c r="AG78" s="55">
        <v>45763</v>
      </c>
      <c r="AH78">
        <v>87</v>
      </c>
      <c r="AI78">
        <v>87</v>
      </c>
      <c r="AJ78">
        <v>22</v>
      </c>
    </row>
    <row r="79" spans="2:36">
      <c r="B79" s="39" t="s">
        <v>211</v>
      </c>
      <c r="AD79" t="s">
        <v>6</v>
      </c>
      <c r="AE79">
        <v>11077</v>
      </c>
      <c r="AF79" t="s">
        <v>17</v>
      </c>
      <c r="AG79" s="55">
        <v>45762</v>
      </c>
      <c r="AH79">
        <v>95</v>
      </c>
      <c r="AI79">
        <v>95</v>
      </c>
      <c r="AJ79">
        <v>11</v>
      </c>
    </row>
    <row r="80" spans="2:36">
      <c r="B80" s="39" t="s">
        <v>212</v>
      </c>
      <c r="AD80" t="s">
        <v>6</v>
      </c>
      <c r="AE80">
        <v>11077</v>
      </c>
      <c r="AF80" t="s">
        <v>16</v>
      </c>
      <c r="AG80" s="55">
        <v>45765</v>
      </c>
      <c r="AH80">
        <v>104</v>
      </c>
      <c r="AI80">
        <v>104</v>
      </c>
      <c r="AJ80">
        <v>30</v>
      </c>
    </row>
    <row r="81" spans="2:36">
      <c r="AD81" t="s">
        <v>6</v>
      </c>
      <c r="AE81">
        <v>11077</v>
      </c>
      <c r="AF81" t="s">
        <v>17</v>
      </c>
      <c r="AG81" s="55">
        <v>45750</v>
      </c>
      <c r="AH81">
        <v>6</v>
      </c>
      <c r="AI81">
        <v>6</v>
      </c>
      <c r="AJ81">
        <v>1</v>
      </c>
    </row>
    <row r="82" spans="2:36">
      <c r="B82" s="41" t="s">
        <v>86</v>
      </c>
      <c r="AD82" t="s">
        <v>6</v>
      </c>
      <c r="AE82">
        <v>11077</v>
      </c>
      <c r="AF82" t="s">
        <v>17</v>
      </c>
      <c r="AG82" s="55">
        <v>45756</v>
      </c>
      <c r="AH82">
        <v>104</v>
      </c>
      <c r="AI82">
        <v>104</v>
      </c>
      <c r="AJ82">
        <v>18</v>
      </c>
    </row>
    <row r="83" spans="2:36">
      <c r="B83" s="40" t="s">
        <v>213</v>
      </c>
      <c r="AD83" t="s">
        <v>6</v>
      </c>
      <c r="AE83">
        <v>11077</v>
      </c>
      <c r="AF83" t="s">
        <v>17</v>
      </c>
      <c r="AG83" s="55">
        <v>45755</v>
      </c>
      <c r="AH83">
        <v>102</v>
      </c>
      <c r="AI83">
        <v>102</v>
      </c>
      <c r="AJ83">
        <v>14</v>
      </c>
    </row>
    <row r="84" spans="2:36">
      <c r="B84" s="40" t="s">
        <v>214</v>
      </c>
      <c r="AD84" t="s">
        <v>6</v>
      </c>
      <c r="AE84">
        <v>11077</v>
      </c>
      <c r="AF84" t="s">
        <v>17</v>
      </c>
      <c r="AG84" s="55">
        <v>45764</v>
      </c>
      <c r="AH84">
        <v>106</v>
      </c>
      <c r="AI84">
        <v>106</v>
      </c>
      <c r="AJ84">
        <v>12</v>
      </c>
    </row>
    <row r="85" spans="2:36">
      <c r="B85" s="40" t="s">
        <v>215</v>
      </c>
      <c r="AD85" t="s">
        <v>6</v>
      </c>
      <c r="AE85">
        <v>11077</v>
      </c>
      <c r="AF85" t="s">
        <v>16</v>
      </c>
      <c r="AG85" s="55">
        <v>45757</v>
      </c>
      <c r="AH85">
        <v>75</v>
      </c>
      <c r="AI85">
        <v>75</v>
      </c>
      <c r="AJ85">
        <v>16</v>
      </c>
    </row>
    <row r="86" spans="2:36">
      <c r="B86" s="40" t="s">
        <v>216</v>
      </c>
      <c r="AD86" t="s">
        <v>6</v>
      </c>
      <c r="AE86">
        <v>11077</v>
      </c>
      <c r="AF86" t="s">
        <v>16</v>
      </c>
      <c r="AG86" s="55">
        <v>45753</v>
      </c>
      <c r="AH86">
        <v>17</v>
      </c>
      <c r="AI86">
        <v>17</v>
      </c>
      <c r="AJ86">
        <v>2</v>
      </c>
    </row>
    <row r="87" spans="2:36">
      <c r="AD87" t="s">
        <v>6</v>
      </c>
      <c r="AE87">
        <v>11077</v>
      </c>
      <c r="AF87" t="s">
        <v>17</v>
      </c>
      <c r="AG87" s="55">
        <v>45760</v>
      </c>
      <c r="AH87">
        <v>134</v>
      </c>
      <c r="AI87">
        <v>134</v>
      </c>
      <c r="AJ87">
        <v>23</v>
      </c>
    </row>
    <row r="88" spans="2:36">
      <c r="B88" s="39" t="s">
        <v>217</v>
      </c>
      <c r="AD88" t="s">
        <v>6</v>
      </c>
      <c r="AE88">
        <v>11077</v>
      </c>
      <c r="AF88" t="s">
        <v>16</v>
      </c>
      <c r="AG88" s="55">
        <v>45764</v>
      </c>
      <c r="AH88">
        <v>89</v>
      </c>
      <c r="AI88">
        <v>89</v>
      </c>
      <c r="AJ88">
        <v>27</v>
      </c>
    </row>
    <row r="89" spans="2:36">
      <c r="B89" s="39" t="s">
        <v>218</v>
      </c>
      <c r="AD89" t="s">
        <v>6</v>
      </c>
      <c r="AE89">
        <v>11077</v>
      </c>
      <c r="AF89" t="s">
        <v>17</v>
      </c>
      <c r="AG89" s="55">
        <v>45766</v>
      </c>
      <c r="AH89">
        <v>99</v>
      </c>
      <c r="AI89">
        <v>99</v>
      </c>
      <c r="AJ89">
        <v>16</v>
      </c>
    </row>
    <row r="90" spans="2:36">
      <c r="B90" s="43" t="s">
        <v>219</v>
      </c>
      <c r="AD90" t="s">
        <v>6</v>
      </c>
      <c r="AE90">
        <v>11077</v>
      </c>
      <c r="AF90" t="s">
        <v>16</v>
      </c>
      <c r="AG90" s="55">
        <v>45756</v>
      </c>
      <c r="AH90">
        <v>60</v>
      </c>
      <c r="AI90">
        <v>60</v>
      </c>
      <c r="AJ90">
        <v>13</v>
      </c>
    </row>
    <row r="91" spans="2:36">
      <c r="B91" s="42" t="s">
        <v>220</v>
      </c>
      <c r="AD91" t="s">
        <v>6</v>
      </c>
      <c r="AE91">
        <v>11077</v>
      </c>
      <c r="AF91" t="s">
        <v>16</v>
      </c>
      <c r="AG91" s="55">
        <v>45755</v>
      </c>
      <c r="AH91">
        <v>37</v>
      </c>
      <c r="AI91">
        <v>37</v>
      </c>
      <c r="AJ91">
        <v>6</v>
      </c>
    </row>
    <row r="92" spans="2:36">
      <c r="B92" s="40" t="s">
        <v>221</v>
      </c>
      <c r="AD92" t="s">
        <v>6</v>
      </c>
      <c r="AE92">
        <v>11077</v>
      </c>
      <c r="AF92" t="s">
        <v>17</v>
      </c>
      <c r="AG92" s="55">
        <v>45752</v>
      </c>
      <c r="AH92">
        <v>27</v>
      </c>
      <c r="AI92">
        <v>27</v>
      </c>
      <c r="AJ92">
        <v>3</v>
      </c>
    </row>
    <row r="93" spans="2:36">
      <c r="B93" s="40" t="s">
        <v>222</v>
      </c>
      <c r="AD93" t="s">
        <v>6</v>
      </c>
      <c r="AE93">
        <v>11077</v>
      </c>
      <c r="AF93" t="s">
        <v>17</v>
      </c>
      <c r="AG93" s="55">
        <v>45751</v>
      </c>
      <c r="AH93">
        <v>12</v>
      </c>
      <c r="AI93">
        <v>12</v>
      </c>
      <c r="AJ93">
        <v>0</v>
      </c>
    </row>
    <row r="94" spans="2:36">
      <c r="B94" s="40" t="s">
        <v>223</v>
      </c>
      <c r="AD94" t="s">
        <v>6</v>
      </c>
      <c r="AE94">
        <v>11077</v>
      </c>
      <c r="AF94" t="s">
        <v>16</v>
      </c>
      <c r="AG94" s="55">
        <v>45751</v>
      </c>
      <c r="AH94">
        <v>4</v>
      </c>
      <c r="AI94">
        <v>4</v>
      </c>
      <c r="AJ94">
        <v>1</v>
      </c>
    </row>
    <row r="95" spans="2:36">
      <c r="B95" s="39" t="s">
        <v>133</v>
      </c>
      <c r="AD95" t="s">
        <v>6</v>
      </c>
      <c r="AE95">
        <v>11077</v>
      </c>
      <c r="AF95" t="s">
        <v>17</v>
      </c>
      <c r="AG95" s="55">
        <v>45753</v>
      </c>
      <c r="AH95">
        <v>43</v>
      </c>
      <c r="AI95">
        <v>43</v>
      </c>
      <c r="AJ95">
        <v>8</v>
      </c>
    </row>
    <row r="96" spans="2:36">
      <c r="B96" s="43" t="s">
        <v>96</v>
      </c>
      <c r="AD96" t="s">
        <v>6</v>
      </c>
      <c r="AE96">
        <v>11077</v>
      </c>
      <c r="AF96" t="s">
        <v>16</v>
      </c>
      <c r="AG96" s="55">
        <v>45761</v>
      </c>
      <c r="AH96">
        <v>111</v>
      </c>
      <c r="AI96">
        <v>111</v>
      </c>
      <c r="AJ96">
        <v>27</v>
      </c>
    </row>
    <row r="97" spans="2:36">
      <c r="B97" s="39" t="s">
        <v>51</v>
      </c>
      <c r="AD97" t="s">
        <v>6</v>
      </c>
      <c r="AE97">
        <v>11077</v>
      </c>
      <c r="AF97" t="s">
        <v>17</v>
      </c>
      <c r="AG97" s="55">
        <v>45765</v>
      </c>
      <c r="AH97">
        <v>93</v>
      </c>
      <c r="AI97">
        <v>93</v>
      </c>
      <c r="AJ97">
        <v>17</v>
      </c>
    </row>
    <row r="98" spans="2:36">
      <c r="B98" s="43" t="s">
        <v>224</v>
      </c>
      <c r="AD98" t="s">
        <v>6</v>
      </c>
      <c r="AE98">
        <v>11077</v>
      </c>
      <c r="AF98" t="s">
        <v>16</v>
      </c>
      <c r="AG98" s="55">
        <v>45766</v>
      </c>
      <c r="AH98">
        <v>107</v>
      </c>
      <c r="AI98">
        <v>107</v>
      </c>
      <c r="AJ98">
        <v>21</v>
      </c>
    </row>
    <row r="99" spans="2:36">
      <c r="B99" s="39" t="s">
        <v>158</v>
      </c>
      <c r="AD99" t="s">
        <v>6</v>
      </c>
      <c r="AE99">
        <v>11077</v>
      </c>
      <c r="AF99" t="s">
        <v>17</v>
      </c>
      <c r="AG99" s="55">
        <v>45761</v>
      </c>
      <c r="AH99">
        <v>88</v>
      </c>
      <c r="AI99">
        <v>88</v>
      </c>
      <c r="AJ99">
        <v>12</v>
      </c>
    </row>
    <row r="100" spans="2:36">
      <c r="B100" s="39" t="s">
        <v>225</v>
      </c>
      <c r="AD100" t="s">
        <v>6</v>
      </c>
      <c r="AE100">
        <v>11077</v>
      </c>
      <c r="AF100" t="s">
        <v>16</v>
      </c>
      <c r="AG100" s="55">
        <v>45758</v>
      </c>
      <c r="AH100">
        <v>81</v>
      </c>
      <c r="AI100">
        <v>81</v>
      </c>
      <c r="AJ100">
        <v>22</v>
      </c>
    </row>
    <row r="101" spans="2:36">
      <c r="B101" s="43" t="s">
        <v>226</v>
      </c>
      <c r="AD101" t="s">
        <v>6</v>
      </c>
      <c r="AE101">
        <v>11077</v>
      </c>
      <c r="AF101" t="s">
        <v>17</v>
      </c>
      <c r="AG101" s="55">
        <v>45758</v>
      </c>
      <c r="AH101">
        <v>107</v>
      </c>
      <c r="AI101">
        <v>107</v>
      </c>
      <c r="AJ101">
        <v>17</v>
      </c>
    </row>
    <row r="102" spans="2:36">
      <c r="B102" s="39" t="s">
        <v>227</v>
      </c>
      <c r="AD102" t="s">
        <v>6</v>
      </c>
      <c r="AE102">
        <v>11077</v>
      </c>
      <c r="AF102" t="s">
        <v>16</v>
      </c>
      <c r="AG102" s="55">
        <v>45754</v>
      </c>
      <c r="AH102">
        <v>22</v>
      </c>
      <c r="AI102">
        <v>22</v>
      </c>
      <c r="AJ102">
        <v>5</v>
      </c>
    </row>
    <row r="103" spans="2:36">
      <c r="B103" s="43" t="s">
        <v>228</v>
      </c>
      <c r="AD103" t="s">
        <v>6</v>
      </c>
      <c r="AE103">
        <v>11077</v>
      </c>
      <c r="AF103" t="s">
        <v>17</v>
      </c>
      <c r="AG103" s="55">
        <v>45759</v>
      </c>
      <c r="AH103">
        <v>105</v>
      </c>
      <c r="AI103">
        <v>105</v>
      </c>
      <c r="AJ103">
        <v>15</v>
      </c>
    </row>
    <row r="104" spans="2:36">
      <c r="B104" s="39" t="s">
        <v>100</v>
      </c>
      <c r="AD104" t="s">
        <v>7</v>
      </c>
      <c r="AE104">
        <v>11072</v>
      </c>
      <c r="AF104" t="s">
        <v>17</v>
      </c>
      <c r="AG104" s="55">
        <v>45750</v>
      </c>
      <c r="AH104">
        <v>580</v>
      </c>
      <c r="AI104">
        <v>580</v>
      </c>
      <c r="AJ104">
        <v>81</v>
      </c>
    </row>
    <row r="105" spans="2:36">
      <c r="B105" s="39" t="s">
        <v>101</v>
      </c>
      <c r="AD105" t="s">
        <v>7</v>
      </c>
      <c r="AE105">
        <v>11072</v>
      </c>
      <c r="AF105" t="s">
        <v>17</v>
      </c>
      <c r="AG105" s="55">
        <v>45758</v>
      </c>
      <c r="AH105">
        <v>661</v>
      </c>
      <c r="AI105">
        <v>661</v>
      </c>
      <c r="AJ105">
        <v>76</v>
      </c>
    </row>
    <row r="106" spans="2:36">
      <c r="AD106" t="s">
        <v>7</v>
      </c>
      <c r="AE106">
        <v>11072</v>
      </c>
      <c r="AF106" t="s">
        <v>16</v>
      </c>
      <c r="AG106" s="55">
        <v>45758</v>
      </c>
      <c r="AH106">
        <v>1645</v>
      </c>
      <c r="AI106">
        <v>1645</v>
      </c>
      <c r="AJ106">
        <v>471</v>
      </c>
    </row>
    <row r="107" spans="2:36">
      <c r="AD107" t="s">
        <v>7</v>
      </c>
      <c r="AE107">
        <v>11072</v>
      </c>
      <c r="AF107" t="s">
        <v>16</v>
      </c>
      <c r="AG107" s="55">
        <v>45752</v>
      </c>
      <c r="AH107">
        <v>790</v>
      </c>
      <c r="AI107">
        <v>790</v>
      </c>
      <c r="AJ107">
        <v>149</v>
      </c>
    </row>
    <row r="108" spans="2:36">
      <c r="AD108" t="s">
        <v>7</v>
      </c>
      <c r="AE108">
        <v>11072</v>
      </c>
      <c r="AF108" t="s">
        <v>16</v>
      </c>
      <c r="AG108" s="55">
        <v>45759</v>
      </c>
      <c r="AH108">
        <v>1926</v>
      </c>
      <c r="AI108">
        <v>1926</v>
      </c>
      <c r="AJ108">
        <v>539</v>
      </c>
    </row>
    <row r="109" spans="2:36">
      <c r="AD109" t="s">
        <v>7</v>
      </c>
      <c r="AE109">
        <v>11072</v>
      </c>
      <c r="AF109" t="s">
        <v>16</v>
      </c>
      <c r="AG109" s="55">
        <v>45763</v>
      </c>
      <c r="AH109">
        <v>1907</v>
      </c>
      <c r="AI109">
        <v>1907</v>
      </c>
      <c r="AJ109">
        <v>332</v>
      </c>
    </row>
    <row r="110" spans="2:36">
      <c r="AD110" t="s">
        <v>7</v>
      </c>
      <c r="AE110">
        <v>11072</v>
      </c>
      <c r="AF110" t="s">
        <v>16</v>
      </c>
      <c r="AG110" s="55">
        <v>45761</v>
      </c>
      <c r="AH110">
        <v>2674</v>
      </c>
      <c r="AI110">
        <v>2674</v>
      </c>
      <c r="AJ110">
        <v>522</v>
      </c>
    </row>
    <row r="111" spans="2:36">
      <c r="AD111" t="s">
        <v>7</v>
      </c>
      <c r="AE111">
        <v>11072</v>
      </c>
      <c r="AF111" t="s">
        <v>17</v>
      </c>
      <c r="AG111" s="55">
        <v>45755</v>
      </c>
      <c r="AH111">
        <v>659</v>
      </c>
      <c r="AI111">
        <v>659</v>
      </c>
      <c r="AJ111">
        <v>77</v>
      </c>
    </row>
    <row r="112" spans="2:36">
      <c r="AD112" t="s">
        <v>7</v>
      </c>
      <c r="AE112">
        <v>11072</v>
      </c>
      <c r="AF112" t="s">
        <v>17</v>
      </c>
      <c r="AG112" s="55">
        <v>45764</v>
      </c>
      <c r="AH112">
        <v>632</v>
      </c>
      <c r="AI112">
        <v>632</v>
      </c>
      <c r="AJ112">
        <v>88</v>
      </c>
    </row>
    <row r="113" spans="30:36">
      <c r="AD113" t="s">
        <v>7</v>
      </c>
      <c r="AE113">
        <v>11072</v>
      </c>
      <c r="AF113" t="s">
        <v>17</v>
      </c>
      <c r="AG113" s="55">
        <v>45757</v>
      </c>
      <c r="AH113">
        <v>638</v>
      </c>
      <c r="AI113">
        <v>638</v>
      </c>
      <c r="AJ113">
        <v>84</v>
      </c>
    </row>
    <row r="114" spans="30:36">
      <c r="AD114" t="s">
        <v>7</v>
      </c>
      <c r="AE114">
        <v>11072</v>
      </c>
      <c r="AF114" t="s">
        <v>17</v>
      </c>
      <c r="AG114" s="55">
        <v>45766</v>
      </c>
      <c r="AH114">
        <v>787</v>
      </c>
      <c r="AI114">
        <v>787</v>
      </c>
      <c r="AJ114">
        <v>120</v>
      </c>
    </row>
    <row r="115" spans="30:36">
      <c r="AD115" t="s">
        <v>7</v>
      </c>
      <c r="AE115">
        <v>11072</v>
      </c>
      <c r="AF115" t="s">
        <v>16</v>
      </c>
      <c r="AG115" s="55">
        <v>45762</v>
      </c>
      <c r="AH115">
        <v>2040</v>
      </c>
      <c r="AI115">
        <v>2040</v>
      </c>
      <c r="AJ115">
        <v>362</v>
      </c>
    </row>
    <row r="116" spans="30:36">
      <c r="AD116" t="s">
        <v>7</v>
      </c>
      <c r="AE116">
        <v>11072</v>
      </c>
      <c r="AF116" t="s">
        <v>17</v>
      </c>
      <c r="AG116" s="55">
        <v>45759</v>
      </c>
      <c r="AH116">
        <v>585</v>
      </c>
      <c r="AI116">
        <v>585</v>
      </c>
      <c r="AJ116">
        <v>92</v>
      </c>
    </row>
    <row r="117" spans="30:36">
      <c r="AD117" t="s">
        <v>7</v>
      </c>
      <c r="AE117">
        <v>11072</v>
      </c>
      <c r="AF117" t="s">
        <v>17</v>
      </c>
      <c r="AG117" s="55">
        <v>45756</v>
      </c>
      <c r="AH117">
        <v>625</v>
      </c>
      <c r="AI117">
        <v>625</v>
      </c>
      <c r="AJ117">
        <v>82</v>
      </c>
    </row>
    <row r="118" spans="30:36">
      <c r="AD118" t="s">
        <v>7</v>
      </c>
      <c r="AE118">
        <v>11072</v>
      </c>
      <c r="AF118" t="s">
        <v>17</v>
      </c>
      <c r="AG118" s="55">
        <v>45765</v>
      </c>
      <c r="AH118">
        <v>616</v>
      </c>
      <c r="AI118">
        <v>616</v>
      </c>
      <c r="AJ118">
        <v>84</v>
      </c>
    </row>
    <row r="119" spans="30:36">
      <c r="AD119" t="s">
        <v>7</v>
      </c>
      <c r="AE119">
        <v>11072</v>
      </c>
      <c r="AF119" t="s">
        <v>16</v>
      </c>
      <c r="AG119" s="55">
        <v>45757</v>
      </c>
      <c r="AH119">
        <v>1385</v>
      </c>
      <c r="AI119">
        <v>1385</v>
      </c>
      <c r="AJ119">
        <v>371</v>
      </c>
    </row>
    <row r="120" spans="30:36">
      <c r="AD120" t="s">
        <v>7</v>
      </c>
      <c r="AE120">
        <v>11072</v>
      </c>
      <c r="AF120" t="s">
        <v>16</v>
      </c>
      <c r="AG120" s="55">
        <v>45760</v>
      </c>
      <c r="AH120">
        <v>2538</v>
      </c>
      <c r="AI120">
        <v>2538</v>
      </c>
      <c r="AJ120">
        <v>622</v>
      </c>
    </row>
    <row r="121" spans="30:36">
      <c r="AD121" t="s">
        <v>7</v>
      </c>
      <c r="AE121">
        <v>11072</v>
      </c>
      <c r="AF121" t="s">
        <v>16</v>
      </c>
      <c r="AG121" s="55">
        <v>45756</v>
      </c>
      <c r="AH121">
        <v>1075</v>
      </c>
      <c r="AI121">
        <v>1075</v>
      </c>
      <c r="AJ121">
        <v>200</v>
      </c>
    </row>
    <row r="122" spans="30:36">
      <c r="AD122" t="s">
        <v>7</v>
      </c>
      <c r="AE122">
        <v>11072</v>
      </c>
      <c r="AF122" t="s">
        <v>17</v>
      </c>
      <c r="AG122" s="55">
        <v>45752</v>
      </c>
      <c r="AH122">
        <v>681</v>
      </c>
      <c r="AI122">
        <v>681</v>
      </c>
      <c r="AJ122">
        <v>88</v>
      </c>
    </row>
    <row r="123" spans="30:36">
      <c r="AD123" t="s">
        <v>7</v>
      </c>
      <c r="AE123">
        <v>11072</v>
      </c>
      <c r="AF123" t="s">
        <v>17</v>
      </c>
      <c r="AG123" s="55">
        <v>45763</v>
      </c>
      <c r="AH123">
        <v>668</v>
      </c>
      <c r="AI123">
        <v>668</v>
      </c>
      <c r="AJ123">
        <v>91</v>
      </c>
    </row>
    <row r="124" spans="30:36">
      <c r="AD124" t="s">
        <v>7</v>
      </c>
      <c r="AE124">
        <v>11072</v>
      </c>
      <c r="AF124" t="s">
        <v>17</v>
      </c>
      <c r="AG124" s="55">
        <v>45761</v>
      </c>
      <c r="AH124">
        <v>937</v>
      </c>
      <c r="AI124">
        <v>937</v>
      </c>
      <c r="AJ124">
        <v>116</v>
      </c>
    </row>
    <row r="125" spans="30:36">
      <c r="AD125" t="s">
        <v>7</v>
      </c>
      <c r="AE125">
        <v>11072</v>
      </c>
      <c r="AF125" t="s">
        <v>16</v>
      </c>
      <c r="AG125" s="55">
        <v>45765</v>
      </c>
      <c r="AH125">
        <v>2029</v>
      </c>
      <c r="AI125">
        <v>2029</v>
      </c>
      <c r="AJ125">
        <v>373</v>
      </c>
    </row>
    <row r="126" spans="30:36">
      <c r="AD126" t="s">
        <v>7</v>
      </c>
      <c r="AE126">
        <v>11072</v>
      </c>
      <c r="AF126" t="s">
        <v>16</v>
      </c>
      <c r="AG126" s="55">
        <v>45754</v>
      </c>
      <c r="AH126">
        <v>1413</v>
      </c>
      <c r="AI126">
        <v>1413</v>
      </c>
      <c r="AJ126">
        <v>332</v>
      </c>
    </row>
    <row r="127" spans="30:36">
      <c r="AD127" t="s">
        <v>7</v>
      </c>
      <c r="AE127">
        <v>11072</v>
      </c>
      <c r="AF127" t="s">
        <v>17</v>
      </c>
      <c r="AG127" s="55">
        <v>45754</v>
      </c>
      <c r="AH127">
        <v>892</v>
      </c>
      <c r="AI127">
        <v>892</v>
      </c>
      <c r="AJ127">
        <v>109</v>
      </c>
    </row>
    <row r="128" spans="30:36">
      <c r="AD128" t="s">
        <v>7</v>
      </c>
      <c r="AE128">
        <v>11072</v>
      </c>
      <c r="AF128" t="s">
        <v>16</v>
      </c>
      <c r="AG128" s="55">
        <v>45750</v>
      </c>
      <c r="AH128">
        <v>352</v>
      </c>
      <c r="AI128">
        <v>352</v>
      </c>
      <c r="AJ128">
        <v>43</v>
      </c>
    </row>
    <row r="129" spans="30:36">
      <c r="AD129" t="s">
        <v>7</v>
      </c>
      <c r="AE129">
        <v>11072</v>
      </c>
      <c r="AF129" t="s">
        <v>16</v>
      </c>
      <c r="AG129" s="55">
        <v>45766</v>
      </c>
      <c r="AH129">
        <v>2187</v>
      </c>
      <c r="AI129">
        <v>2187</v>
      </c>
      <c r="AJ129">
        <v>533</v>
      </c>
    </row>
    <row r="130" spans="30:36">
      <c r="AD130" t="s">
        <v>7</v>
      </c>
      <c r="AE130">
        <v>11072</v>
      </c>
      <c r="AF130" t="s">
        <v>17</v>
      </c>
      <c r="AG130" s="55">
        <v>45762</v>
      </c>
      <c r="AH130">
        <v>778</v>
      </c>
      <c r="AI130">
        <v>778</v>
      </c>
      <c r="AJ130">
        <v>113</v>
      </c>
    </row>
    <row r="131" spans="30:36">
      <c r="AD131" t="s">
        <v>7</v>
      </c>
      <c r="AE131">
        <v>11072</v>
      </c>
      <c r="AF131" t="s">
        <v>16</v>
      </c>
      <c r="AG131" s="55">
        <v>45753</v>
      </c>
      <c r="AH131">
        <v>1129</v>
      </c>
      <c r="AI131">
        <v>1129</v>
      </c>
      <c r="AJ131">
        <v>286</v>
      </c>
    </row>
    <row r="132" spans="30:36">
      <c r="AD132" t="s">
        <v>7</v>
      </c>
      <c r="AE132">
        <v>11072</v>
      </c>
      <c r="AF132" t="s">
        <v>17</v>
      </c>
      <c r="AG132" s="55">
        <v>45751</v>
      </c>
      <c r="AH132">
        <v>580</v>
      </c>
      <c r="AI132">
        <v>580</v>
      </c>
      <c r="AJ132">
        <v>72</v>
      </c>
    </row>
    <row r="133" spans="30:36">
      <c r="AD133" t="s">
        <v>7</v>
      </c>
      <c r="AE133">
        <v>11072</v>
      </c>
      <c r="AF133" t="s">
        <v>16</v>
      </c>
      <c r="AG133" s="55">
        <v>45755</v>
      </c>
      <c r="AH133">
        <v>1236</v>
      </c>
      <c r="AI133">
        <v>1236</v>
      </c>
      <c r="AJ133">
        <v>196</v>
      </c>
    </row>
    <row r="134" spans="30:36">
      <c r="AD134" t="s">
        <v>7</v>
      </c>
      <c r="AE134">
        <v>11072</v>
      </c>
      <c r="AF134" t="s">
        <v>16</v>
      </c>
      <c r="AG134" s="55">
        <v>45764</v>
      </c>
      <c r="AH134">
        <v>1757</v>
      </c>
      <c r="AI134">
        <v>1757</v>
      </c>
      <c r="AJ134">
        <v>328</v>
      </c>
    </row>
    <row r="135" spans="30:36">
      <c r="AD135" t="s">
        <v>7</v>
      </c>
      <c r="AE135">
        <v>11072</v>
      </c>
      <c r="AF135" t="s">
        <v>17</v>
      </c>
      <c r="AG135" s="55">
        <v>45753</v>
      </c>
      <c r="AH135">
        <v>917</v>
      </c>
      <c r="AI135">
        <v>917</v>
      </c>
      <c r="AJ135">
        <v>134</v>
      </c>
    </row>
    <row r="136" spans="30:36">
      <c r="AD136" t="s">
        <v>7</v>
      </c>
      <c r="AE136">
        <v>11072</v>
      </c>
      <c r="AF136" t="s">
        <v>17</v>
      </c>
      <c r="AG136" s="55">
        <v>45760</v>
      </c>
      <c r="AH136">
        <v>949</v>
      </c>
      <c r="AI136">
        <v>949</v>
      </c>
      <c r="AJ136">
        <v>126</v>
      </c>
    </row>
    <row r="137" spans="30:36">
      <c r="AD137" t="s">
        <v>7</v>
      </c>
      <c r="AE137">
        <v>11072</v>
      </c>
      <c r="AF137" t="s">
        <v>16</v>
      </c>
      <c r="AG137" s="55">
        <v>45751</v>
      </c>
      <c r="AH137">
        <v>690</v>
      </c>
      <c r="AI137">
        <v>690</v>
      </c>
      <c r="AJ137">
        <v>173</v>
      </c>
    </row>
    <row r="138" spans="30:36">
      <c r="AD138" t="s">
        <v>7</v>
      </c>
      <c r="AE138">
        <v>11073</v>
      </c>
      <c r="AF138" t="s">
        <v>17</v>
      </c>
      <c r="AG138" s="55">
        <v>45750</v>
      </c>
      <c r="AH138">
        <v>551</v>
      </c>
      <c r="AI138">
        <v>551</v>
      </c>
      <c r="AJ138">
        <v>88</v>
      </c>
    </row>
    <row r="139" spans="30:36">
      <c r="AD139" t="s">
        <v>7</v>
      </c>
      <c r="AE139">
        <v>11073</v>
      </c>
      <c r="AF139" t="s">
        <v>17</v>
      </c>
      <c r="AG139" s="55">
        <v>45757</v>
      </c>
      <c r="AH139">
        <v>658</v>
      </c>
      <c r="AI139">
        <v>658</v>
      </c>
      <c r="AJ139">
        <v>109</v>
      </c>
    </row>
    <row r="140" spans="30:36">
      <c r="AD140" t="s">
        <v>7</v>
      </c>
      <c r="AE140">
        <v>11073</v>
      </c>
      <c r="AF140" t="s">
        <v>17</v>
      </c>
      <c r="AG140" s="55">
        <v>45766</v>
      </c>
      <c r="AH140">
        <v>776</v>
      </c>
      <c r="AI140">
        <v>776</v>
      </c>
      <c r="AJ140">
        <v>132</v>
      </c>
    </row>
    <row r="141" spans="30:36">
      <c r="AD141" t="s">
        <v>7</v>
      </c>
      <c r="AE141">
        <v>11073</v>
      </c>
      <c r="AF141" t="s">
        <v>17</v>
      </c>
      <c r="AG141" s="55">
        <v>45762</v>
      </c>
      <c r="AH141">
        <v>718</v>
      </c>
      <c r="AI141">
        <v>718</v>
      </c>
      <c r="AJ141">
        <v>112</v>
      </c>
    </row>
    <row r="142" spans="30:36">
      <c r="AD142" t="s">
        <v>7</v>
      </c>
      <c r="AE142">
        <v>11073</v>
      </c>
      <c r="AF142" t="s">
        <v>16</v>
      </c>
      <c r="AG142" s="55">
        <v>45752</v>
      </c>
      <c r="AH142">
        <v>856</v>
      </c>
      <c r="AI142">
        <v>856</v>
      </c>
      <c r="AJ142">
        <v>182</v>
      </c>
    </row>
    <row r="143" spans="30:36">
      <c r="AD143" t="s">
        <v>7</v>
      </c>
      <c r="AE143">
        <v>11073</v>
      </c>
      <c r="AF143" t="s">
        <v>17</v>
      </c>
      <c r="AG143" s="55">
        <v>45763</v>
      </c>
      <c r="AH143">
        <v>630</v>
      </c>
      <c r="AI143">
        <v>630</v>
      </c>
      <c r="AJ143">
        <v>85</v>
      </c>
    </row>
    <row r="144" spans="30:36">
      <c r="AD144" t="s">
        <v>7</v>
      </c>
      <c r="AE144">
        <v>11073</v>
      </c>
      <c r="AF144" t="s">
        <v>17</v>
      </c>
      <c r="AG144" s="55">
        <v>45753</v>
      </c>
      <c r="AH144">
        <v>878</v>
      </c>
      <c r="AI144">
        <v>878</v>
      </c>
      <c r="AJ144">
        <v>162</v>
      </c>
    </row>
    <row r="145" spans="30:36">
      <c r="AD145" t="s">
        <v>7</v>
      </c>
      <c r="AE145">
        <v>11073</v>
      </c>
      <c r="AF145" t="s">
        <v>16</v>
      </c>
      <c r="AG145" s="55">
        <v>45751</v>
      </c>
      <c r="AH145">
        <v>696</v>
      </c>
      <c r="AI145">
        <v>696</v>
      </c>
      <c r="AJ145">
        <v>196</v>
      </c>
    </row>
    <row r="146" spans="30:36">
      <c r="AD146" t="s">
        <v>7</v>
      </c>
      <c r="AE146">
        <v>11073</v>
      </c>
      <c r="AF146" t="s">
        <v>16</v>
      </c>
      <c r="AG146" s="55">
        <v>45755</v>
      </c>
      <c r="AH146">
        <v>1337</v>
      </c>
      <c r="AI146">
        <v>1337</v>
      </c>
      <c r="AJ146">
        <v>233</v>
      </c>
    </row>
    <row r="147" spans="30:36">
      <c r="AD147" t="s">
        <v>7</v>
      </c>
      <c r="AE147">
        <v>11073</v>
      </c>
      <c r="AF147" t="s">
        <v>16</v>
      </c>
      <c r="AG147" s="55">
        <v>45754</v>
      </c>
      <c r="AH147">
        <v>1480</v>
      </c>
      <c r="AI147">
        <v>1480</v>
      </c>
      <c r="AJ147">
        <v>388</v>
      </c>
    </row>
    <row r="148" spans="30:36">
      <c r="AD148" t="s">
        <v>7</v>
      </c>
      <c r="AE148">
        <v>11073</v>
      </c>
      <c r="AF148" t="s">
        <v>16</v>
      </c>
      <c r="AG148" s="55">
        <v>45750</v>
      </c>
      <c r="AH148">
        <v>388</v>
      </c>
      <c r="AI148">
        <v>388</v>
      </c>
      <c r="AJ148">
        <v>52</v>
      </c>
    </row>
    <row r="149" spans="30:36">
      <c r="AD149" t="s">
        <v>7</v>
      </c>
      <c r="AE149">
        <v>11073</v>
      </c>
      <c r="AF149" t="s">
        <v>16</v>
      </c>
      <c r="AG149" s="55">
        <v>45762</v>
      </c>
      <c r="AH149">
        <v>2224</v>
      </c>
      <c r="AI149">
        <v>2224</v>
      </c>
      <c r="AJ149">
        <v>433</v>
      </c>
    </row>
    <row r="150" spans="30:36">
      <c r="AD150" t="s">
        <v>7</v>
      </c>
      <c r="AE150">
        <v>11073</v>
      </c>
      <c r="AF150" t="s">
        <v>17</v>
      </c>
      <c r="AG150" s="55">
        <v>45759</v>
      </c>
      <c r="AH150">
        <v>632</v>
      </c>
      <c r="AI150">
        <v>632</v>
      </c>
      <c r="AJ150">
        <v>111</v>
      </c>
    </row>
    <row r="151" spans="30:36">
      <c r="AD151" t="s">
        <v>7</v>
      </c>
      <c r="AE151">
        <v>11073</v>
      </c>
      <c r="AF151" t="s">
        <v>16</v>
      </c>
      <c r="AG151" s="55">
        <v>45753</v>
      </c>
      <c r="AH151">
        <v>1147</v>
      </c>
      <c r="AI151">
        <v>1147</v>
      </c>
      <c r="AJ151">
        <v>273</v>
      </c>
    </row>
    <row r="152" spans="30:36">
      <c r="AD152" t="s">
        <v>7</v>
      </c>
      <c r="AE152">
        <v>11073</v>
      </c>
      <c r="AF152" t="s">
        <v>17</v>
      </c>
      <c r="AG152" s="55">
        <v>45761</v>
      </c>
      <c r="AH152">
        <v>947</v>
      </c>
      <c r="AI152">
        <v>947</v>
      </c>
      <c r="AJ152">
        <v>137</v>
      </c>
    </row>
    <row r="153" spans="30:36">
      <c r="AD153" t="s">
        <v>7</v>
      </c>
      <c r="AE153">
        <v>11073</v>
      </c>
      <c r="AF153" t="s">
        <v>17</v>
      </c>
      <c r="AG153" s="55">
        <v>45760</v>
      </c>
      <c r="AH153">
        <v>896</v>
      </c>
      <c r="AI153">
        <v>896</v>
      </c>
      <c r="AJ153">
        <v>155</v>
      </c>
    </row>
    <row r="154" spans="30:36">
      <c r="AD154" t="s">
        <v>7</v>
      </c>
      <c r="AE154">
        <v>11073</v>
      </c>
      <c r="AF154" t="s">
        <v>16</v>
      </c>
      <c r="AG154" s="55">
        <v>45765</v>
      </c>
      <c r="AH154">
        <v>2231</v>
      </c>
      <c r="AI154">
        <v>2231</v>
      </c>
      <c r="AJ154">
        <v>443</v>
      </c>
    </row>
    <row r="155" spans="30:36">
      <c r="AD155" t="s">
        <v>7</v>
      </c>
      <c r="AE155">
        <v>11073</v>
      </c>
      <c r="AF155" t="s">
        <v>17</v>
      </c>
      <c r="AG155" s="55">
        <v>45756</v>
      </c>
      <c r="AH155">
        <v>683</v>
      </c>
      <c r="AI155">
        <v>683</v>
      </c>
      <c r="AJ155">
        <v>97</v>
      </c>
    </row>
    <row r="156" spans="30:36">
      <c r="AD156" t="s">
        <v>7</v>
      </c>
      <c r="AE156">
        <v>11073</v>
      </c>
      <c r="AF156" t="s">
        <v>17</v>
      </c>
      <c r="AG156" s="55">
        <v>45758</v>
      </c>
      <c r="AH156">
        <v>641</v>
      </c>
      <c r="AI156">
        <v>641</v>
      </c>
      <c r="AJ156">
        <v>114</v>
      </c>
    </row>
    <row r="157" spans="30:36">
      <c r="AD157" t="s">
        <v>7</v>
      </c>
      <c r="AE157">
        <v>11073</v>
      </c>
      <c r="AF157" t="s">
        <v>16</v>
      </c>
      <c r="AG157" s="55">
        <v>45757</v>
      </c>
      <c r="AH157">
        <v>1449</v>
      </c>
      <c r="AI157">
        <v>1449</v>
      </c>
      <c r="AJ157">
        <v>405</v>
      </c>
    </row>
    <row r="158" spans="30:36">
      <c r="AD158" t="s">
        <v>7</v>
      </c>
      <c r="AE158">
        <v>11073</v>
      </c>
      <c r="AF158" t="s">
        <v>16</v>
      </c>
      <c r="AG158" s="55">
        <v>45766</v>
      </c>
      <c r="AH158">
        <v>2333</v>
      </c>
      <c r="AI158">
        <v>2333</v>
      </c>
      <c r="AJ158">
        <v>580</v>
      </c>
    </row>
    <row r="159" spans="30:36">
      <c r="AD159" t="s">
        <v>7</v>
      </c>
      <c r="AE159">
        <v>11073</v>
      </c>
      <c r="AF159" t="s">
        <v>17</v>
      </c>
      <c r="AG159" s="55">
        <v>45752</v>
      </c>
      <c r="AH159">
        <v>688</v>
      </c>
      <c r="AI159">
        <v>688</v>
      </c>
      <c r="AJ159">
        <v>122</v>
      </c>
    </row>
    <row r="160" spans="30:36">
      <c r="AD160" t="s">
        <v>7</v>
      </c>
      <c r="AE160">
        <v>11073</v>
      </c>
      <c r="AF160" t="s">
        <v>16</v>
      </c>
      <c r="AG160" s="55">
        <v>45759</v>
      </c>
      <c r="AH160">
        <v>2001</v>
      </c>
      <c r="AI160">
        <v>2001</v>
      </c>
      <c r="AJ160">
        <v>570</v>
      </c>
    </row>
    <row r="161" spans="30:36">
      <c r="AD161" t="s">
        <v>7</v>
      </c>
      <c r="AE161">
        <v>11073</v>
      </c>
      <c r="AF161" t="s">
        <v>16</v>
      </c>
      <c r="AG161" s="55">
        <v>45763</v>
      </c>
      <c r="AH161">
        <v>2008</v>
      </c>
      <c r="AI161">
        <v>2008</v>
      </c>
      <c r="AJ161">
        <v>365</v>
      </c>
    </row>
    <row r="162" spans="30:36">
      <c r="AD162" t="s">
        <v>7</v>
      </c>
      <c r="AE162">
        <v>11073</v>
      </c>
      <c r="AF162" t="s">
        <v>16</v>
      </c>
      <c r="AG162" s="55">
        <v>45761</v>
      </c>
      <c r="AH162">
        <v>2825</v>
      </c>
      <c r="AI162">
        <v>2825</v>
      </c>
      <c r="AJ162">
        <v>547</v>
      </c>
    </row>
    <row r="163" spans="30:36">
      <c r="AD163" t="s">
        <v>7</v>
      </c>
      <c r="AE163">
        <v>11073</v>
      </c>
      <c r="AF163" t="s">
        <v>16</v>
      </c>
      <c r="AG163" s="55">
        <v>45760</v>
      </c>
      <c r="AH163">
        <v>2642</v>
      </c>
      <c r="AI163">
        <v>2642</v>
      </c>
      <c r="AJ163">
        <v>594</v>
      </c>
    </row>
    <row r="164" spans="30:36">
      <c r="AD164" t="s">
        <v>7</v>
      </c>
      <c r="AE164">
        <v>11073</v>
      </c>
      <c r="AF164" t="s">
        <v>17</v>
      </c>
      <c r="AG164" s="55">
        <v>45765</v>
      </c>
      <c r="AH164">
        <v>692</v>
      </c>
      <c r="AI164">
        <v>692</v>
      </c>
      <c r="AJ164">
        <v>115</v>
      </c>
    </row>
    <row r="165" spans="30:36">
      <c r="AD165" t="s">
        <v>7</v>
      </c>
      <c r="AE165">
        <v>11073</v>
      </c>
      <c r="AF165" t="s">
        <v>16</v>
      </c>
      <c r="AG165" s="55">
        <v>45756</v>
      </c>
      <c r="AH165">
        <v>1219</v>
      </c>
      <c r="AI165">
        <v>1219</v>
      </c>
      <c r="AJ165">
        <v>256</v>
      </c>
    </row>
    <row r="166" spans="30:36">
      <c r="AD166" t="s">
        <v>7</v>
      </c>
      <c r="AE166">
        <v>11073</v>
      </c>
      <c r="AF166" t="s">
        <v>17</v>
      </c>
      <c r="AG166" s="55">
        <v>45751</v>
      </c>
      <c r="AH166">
        <v>635</v>
      </c>
      <c r="AI166">
        <v>635</v>
      </c>
      <c r="AJ166">
        <v>86</v>
      </c>
    </row>
    <row r="167" spans="30:36">
      <c r="AD167" t="s">
        <v>7</v>
      </c>
      <c r="AE167">
        <v>11073</v>
      </c>
      <c r="AF167" t="s">
        <v>17</v>
      </c>
      <c r="AG167" s="55">
        <v>45764</v>
      </c>
      <c r="AH167">
        <v>635</v>
      </c>
      <c r="AI167">
        <v>635</v>
      </c>
      <c r="AJ167">
        <v>111</v>
      </c>
    </row>
    <row r="168" spans="30:36">
      <c r="AD168" t="s">
        <v>7</v>
      </c>
      <c r="AE168">
        <v>11073</v>
      </c>
      <c r="AF168" t="s">
        <v>16</v>
      </c>
      <c r="AG168" s="55">
        <v>45758</v>
      </c>
      <c r="AH168">
        <v>1754</v>
      </c>
      <c r="AI168">
        <v>1754</v>
      </c>
      <c r="AJ168">
        <v>505</v>
      </c>
    </row>
    <row r="169" spans="30:36">
      <c r="AD169" t="s">
        <v>7</v>
      </c>
      <c r="AE169">
        <v>11073</v>
      </c>
      <c r="AF169" t="s">
        <v>17</v>
      </c>
      <c r="AG169" s="55">
        <v>45754</v>
      </c>
      <c r="AH169">
        <v>939</v>
      </c>
      <c r="AI169">
        <v>939</v>
      </c>
      <c r="AJ169">
        <v>134</v>
      </c>
    </row>
    <row r="170" spans="30:36">
      <c r="AD170" t="s">
        <v>7</v>
      </c>
      <c r="AE170">
        <v>11073</v>
      </c>
      <c r="AF170" t="s">
        <v>17</v>
      </c>
      <c r="AG170" s="55">
        <v>45755</v>
      </c>
      <c r="AH170">
        <v>744</v>
      </c>
      <c r="AI170">
        <v>744</v>
      </c>
      <c r="AJ170">
        <v>108</v>
      </c>
    </row>
    <row r="171" spans="30:36">
      <c r="AD171" t="s">
        <v>7</v>
      </c>
      <c r="AE171">
        <v>11073</v>
      </c>
      <c r="AF171" t="s">
        <v>16</v>
      </c>
      <c r="AG171" s="55">
        <v>45764</v>
      </c>
      <c r="AH171">
        <v>1894</v>
      </c>
      <c r="AI171">
        <v>1894</v>
      </c>
      <c r="AJ171">
        <v>393</v>
      </c>
    </row>
    <row r="172" spans="30:36">
      <c r="AD172" t="s">
        <v>7</v>
      </c>
      <c r="AE172">
        <v>11074</v>
      </c>
      <c r="AF172" t="s">
        <v>17</v>
      </c>
      <c r="AG172" s="55">
        <v>45750</v>
      </c>
      <c r="AH172">
        <v>569</v>
      </c>
      <c r="AI172">
        <v>569</v>
      </c>
      <c r="AJ172">
        <v>85</v>
      </c>
    </row>
    <row r="173" spans="30:36">
      <c r="AD173" t="s">
        <v>7</v>
      </c>
      <c r="AE173">
        <v>11074</v>
      </c>
      <c r="AF173" t="s">
        <v>16</v>
      </c>
      <c r="AG173" s="55">
        <v>45762</v>
      </c>
      <c r="AH173">
        <v>2100</v>
      </c>
      <c r="AI173">
        <v>2100</v>
      </c>
      <c r="AJ173">
        <v>406</v>
      </c>
    </row>
    <row r="174" spans="30:36">
      <c r="AD174" t="s">
        <v>7</v>
      </c>
      <c r="AE174">
        <v>11074</v>
      </c>
      <c r="AF174" t="s">
        <v>16</v>
      </c>
      <c r="AG174" s="55">
        <v>45752</v>
      </c>
      <c r="AH174">
        <v>822</v>
      </c>
      <c r="AI174">
        <v>822</v>
      </c>
      <c r="AJ174">
        <v>172</v>
      </c>
    </row>
    <row r="175" spans="30:36">
      <c r="AD175" t="s">
        <v>7</v>
      </c>
      <c r="AE175">
        <v>11074</v>
      </c>
      <c r="AF175" t="s">
        <v>17</v>
      </c>
      <c r="AG175" s="55">
        <v>45753</v>
      </c>
      <c r="AH175">
        <v>934</v>
      </c>
      <c r="AI175">
        <v>934</v>
      </c>
      <c r="AJ175">
        <v>138</v>
      </c>
    </row>
    <row r="176" spans="30:36">
      <c r="AD176" t="s">
        <v>7</v>
      </c>
      <c r="AE176">
        <v>11074</v>
      </c>
      <c r="AF176" t="s">
        <v>16</v>
      </c>
      <c r="AG176" s="55">
        <v>45753</v>
      </c>
      <c r="AH176">
        <v>1167</v>
      </c>
      <c r="AI176">
        <v>1167</v>
      </c>
      <c r="AJ176">
        <v>250</v>
      </c>
    </row>
    <row r="177" spans="30:36">
      <c r="AD177" t="s">
        <v>7</v>
      </c>
      <c r="AE177">
        <v>11074</v>
      </c>
      <c r="AF177" t="s">
        <v>16</v>
      </c>
      <c r="AG177" s="55">
        <v>45761</v>
      </c>
      <c r="AH177">
        <v>2826</v>
      </c>
      <c r="AI177">
        <v>2826</v>
      </c>
      <c r="AJ177">
        <v>555</v>
      </c>
    </row>
    <row r="178" spans="30:36">
      <c r="AD178" t="s">
        <v>7</v>
      </c>
      <c r="AE178">
        <v>11074</v>
      </c>
      <c r="AF178" t="s">
        <v>17</v>
      </c>
      <c r="AG178" s="55">
        <v>45761</v>
      </c>
      <c r="AH178">
        <v>893</v>
      </c>
      <c r="AI178">
        <v>893</v>
      </c>
      <c r="AJ178">
        <v>126</v>
      </c>
    </row>
    <row r="179" spans="30:36">
      <c r="AD179" t="s">
        <v>7</v>
      </c>
      <c r="AE179">
        <v>11074</v>
      </c>
      <c r="AF179" t="s">
        <v>17</v>
      </c>
      <c r="AG179" s="55">
        <v>45765</v>
      </c>
      <c r="AH179">
        <v>657</v>
      </c>
      <c r="AI179">
        <v>657</v>
      </c>
      <c r="AJ179">
        <v>100</v>
      </c>
    </row>
    <row r="180" spans="30:36">
      <c r="AD180" t="s">
        <v>7</v>
      </c>
      <c r="AE180">
        <v>11074</v>
      </c>
      <c r="AF180" t="s">
        <v>17</v>
      </c>
      <c r="AG180" s="55">
        <v>45756</v>
      </c>
      <c r="AH180">
        <v>680</v>
      </c>
      <c r="AI180">
        <v>680</v>
      </c>
      <c r="AJ180">
        <v>120</v>
      </c>
    </row>
    <row r="181" spans="30:36">
      <c r="AD181" t="s">
        <v>7</v>
      </c>
      <c r="AE181">
        <v>11074</v>
      </c>
      <c r="AF181" t="s">
        <v>16</v>
      </c>
      <c r="AG181" s="55">
        <v>45751</v>
      </c>
      <c r="AH181">
        <v>704</v>
      </c>
      <c r="AI181">
        <v>704</v>
      </c>
      <c r="AJ181">
        <v>171</v>
      </c>
    </row>
    <row r="182" spans="30:36">
      <c r="AD182" t="s">
        <v>7</v>
      </c>
      <c r="AE182">
        <v>11074</v>
      </c>
      <c r="AF182" t="s">
        <v>16</v>
      </c>
      <c r="AG182" s="55">
        <v>45755</v>
      </c>
      <c r="AH182">
        <v>1292</v>
      </c>
      <c r="AI182">
        <v>1292</v>
      </c>
      <c r="AJ182">
        <v>203</v>
      </c>
    </row>
    <row r="183" spans="30:36">
      <c r="AD183" t="s">
        <v>7</v>
      </c>
      <c r="AE183">
        <v>11074</v>
      </c>
      <c r="AF183" t="s">
        <v>17</v>
      </c>
      <c r="AG183" s="55">
        <v>45754</v>
      </c>
      <c r="AH183">
        <v>918</v>
      </c>
      <c r="AI183">
        <v>918</v>
      </c>
      <c r="AJ183">
        <v>121</v>
      </c>
    </row>
    <row r="184" spans="30:36">
      <c r="AD184" t="s">
        <v>7</v>
      </c>
      <c r="AE184">
        <v>11074</v>
      </c>
      <c r="AF184" t="s">
        <v>17</v>
      </c>
      <c r="AG184" s="55">
        <v>45766</v>
      </c>
      <c r="AH184">
        <v>757</v>
      </c>
      <c r="AI184">
        <v>757</v>
      </c>
      <c r="AJ184">
        <v>112</v>
      </c>
    </row>
    <row r="185" spans="30:36">
      <c r="AD185" t="s">
        <v>7</v>
      </c>
      <c r="AE185">
        <v>11074</v>
      </c>
      <c r="AF185" t="s">
        <v>16</v>
      </c>
      <c r="AG185" s="55">
        <v>45763</v>
      </c>
      <c r="AH185">
        <v>1924</v>
      </c>
      <c r="AI185">
        <v>1924</v>
      </c>
      <c r="AJ185">
        <v>367</v>
      </c>
    </row>
    <row r="186" spans="30:36">
      <c r="AD186" t="s">
        <v>7</v>
      </c>
      <c r="AE186">
        <v>11074</v>
      </c>
      <c r="AF186" t="s">
        <v>17</v>
      </c>
      <c r="AG186" s="55">
        <v>45763</v>
      </c>
      <c r="AH186">
        <v>646</v>
      </c>
      <c r="AI186">
        <v>646</v>
      </c>
      <c r="AJ186">
        <v>104</v>
      </c>
    </row>
    <row r="187" spans="30:36">
      <c r="AD187" t="s">
        <v>7</v>
      </c>
      <c r="AE187">
        <v>11074</v>
      </c>
      <c r="AF187" t="s">
        <v>16</v>
      </c>
      <c r="AG187" s="55">
        <v>45765</v>
      </c>
      <c r="AH187">
        <v>2180</v>
      </c>
      <c r="AI187">
        <v>2180</v>
      </c>
      <c r="AJ187">
        <v>449</v>
      </c>
    </row>
    <row r="188" spans="30:36">
      <c r="AD188" t="s">
        <v>7</v>
      </c>
      <c r="AE188">
        <v>11074</v>
      </c>
      <c r="AF188" t="s">
        <v>16</v>
      </c>
      <c r="AG188" s="55">
        <v>45764</v>
      </c>
      <c r="AH188">
        <v>1912</v>
      </c>
      <c r="AI188">
        <v>1912</v>
      </c>
      <c r="AJ188">
        <v>394</v>
      </c>
    </row>
    <row r="189" spans="30:36">
      <c r="AD189" t="s">
        <v>7</v>
      </c>
      <c r="AE189">
        <v>11074</v>
      </c>
      <c r="AF189" t="s">
        <v>16</v>
      </c>
      <c r="AG189" s="55">
        <v>45754</v>
      </c>
      <c r="AH189">
        <v>1463</v>
      </c>
      <c r="AI189">
        <v>1463</v>
      </c>
      <c r="AJ189">
        <v>329</v>
      </c>
    </row>
    <row r="190" spans="30:36">
      <c r="AD190" t="s">
        <v>7</v>
      </c>
      <c r="AE190">
        <v>11074</v>
      </c>
      <c r="AF190" t="s">
        <v>16</v>
      </c>
      <c r="AG190" s="55">
        <v>45750</v>
      </c>
      <c r="AH190">
        <v>356</v>
      </c>
      <c r="AI190">
        <v>356</v>
      </c>
      <c r="AJ190">
        <v>45</v>
      </c>
    </row>
    <row r="191" spans="30:36">
      <c r="AD191" t="s">
        <v>7</v>
      </c>
      <c r="AE191">
        <v>11074</v>
      </c>
      <c r="AF191" t="s">
        <v>17</v>
      </c>
      <c r="AG191" s="55">
        <v>45757</v>
      </c>
      <c r="AH191">
        <v>654</v>
      </c>
      <c r="AI191">
        <v>654</v>
      </c>
      <c r="AJ191">
        <v>95</v>
      </c>
    </row>
    <row r="192" spans="30:36">
      <c r="AD192" t="s">
        <v>7</v>
      </c>
      <c r="AE192">
        <v>11074</v>
      </c>
      <c r="AF192" t="s">
        <v>16</v>
      </c>
      <c r="AG192" s="55">
        <v>45758</v>
      </c>
      <c r="AH192">
        <v>1664</v>
      </c>
      <c r="AI192">
        <v>1664</v>
      </c>
      <c r="AJ192">
        <v>450</v>
      </c>
    </row>
    <row r="193" spans="30:36">
      <c r="AD193" t="s">
        <v>7</v>
      </c>
      <c r="AE193">
        <v>11074</v>
      </c>
      <c r="AF193" t="s">
        <v>17</v>
      </c>
      <c r="AG193" s="55">
        <v>45758</v>
      </c>
      <c r="AH193">
        <v>666</v>
      </c>
      <c r="AI193">
        <v>666</v>
      </c>
      <c r="AJ193">
        <v>92</v>
      </c>
    </row>
    <row r="194" spans="30:36">
      <c r="AD194" t="s">
        <v>7</v>
      </c>
      <c r="AE194">
        <v>11074</v>
      </c>
      <c r="AF194" t="s">
        <v>17</v>
      </c>
      <c r="AG194" s="55">
        <v>45762</v>
      </c>
      <c r="AH194">
        <v>706</v>
      </c>
      <c r="AI194">
        <v>706</v>
      </c>
      <c r="AJ194">
        <v>87</v>
      </c>
    </row>
    <row r="195" spans="30:36">
      <c r="AD195" t="s">
        <v>7</v>
      </c>
      <c r="AE195">
        <v>11074</v>
      </c>
      <c r="AF195" t="s">
        <v>17</v>
      </c>
      <c r="AG195" s="55">
        <v>45760</v>
      </c>
      <c r="AH195">
        <v>915</v>
      </c>
      <c r="AI195">
        <v>915</v>
      </c>
      <c r="AJ195">
        <v>162</v>
      </c>
    </row>
    <row r="196" spans="30:36">
      <c r="AD196" t="s">
        <v>7</v>
      </c>
      <c r="AE196">
        <v>11074</v>
      </c>
      <c r="AF196" t="s">
        <v>17</v>
      </c>
      <c r="AG196" s="55">
        <v>45764</v>
      </c>
      <c r="AH196">
        <v>648</v>
      </c>
      <c r="AI196">
        <v>648</v>
      </c>
      <c r="AJ196">
        <v>106</v>
      </c>
    </row>
    <row r="197" spans="30:36">
      <c r="AD197" t="s">
        <v>7</v>
      </c>
      <c r="AE197">
        <v>11074</v>
      </c>
      <c r="AF197" t="s">
        <v>16</v>
      </c>
      <c r="AG197" s="55">
        <v>45766</v>
      </c>
      <c r="AH197">
        <v>2269</v>
      </c>
      <c r="AI197">
        <v>2269</v>
      </c>
      <c r="AJ197">
        <v>558</v>
      </c>
    </row>
    <row r="198" spans="30:36">
      <c r="AD198" t="s">
        <v>7</v>
      </c>
      <c r="AE198">
        <v>11074</v>
      </c>
      <c r="AF198" t="s">
        <v>16</v>
      </c>
      <c r="AG198" s="55">
        <v>45756</v>
      </c>
      <c r="AH198">
        <v>1173</v>
      </c>
      <c r="AI198">
        <v>1173</v>
      </c>
      <c r="AJ198">
        <v>227</v>
      </c>
    </row>
    <row r="199" spans="30:36">
      <c r="AD199" t="s">
        <v>7</v>
      </c>
      <c r="AE199">
        <v>11074</v>
      </c>
      <c r="AF199" t="s">
        <v>17</v>
      </c>
      <c r="AG199" s="55">
        <v>45751</v>
      </c>
      <c r="AH199">
        <v>620</v>
      </c>
      <c r="AI199">
        <v>620</v>
      </c>
      <c r="AJ199">
        <v>98</v>
      </c>
    </row>
    <row r="200" spans="30:36">
      <c r="AD200" t="s">
        <v>7</v>
      </c>
      <c r="AE200">
        <v>11074</v>
      </c>
      <c r="AF200" t="s">
        <v>16</v>
      </c>
      <c r="AG200" s="55">
        <v>45757</v>
      </c>
      <c r="AH200">
        <v>1422</v>
      </c>
      <c r="AI200">
        <v>1422</v>
      </c>
      <c r="AJ200">
        <v>389</v>
      </c>
    </row>
    <row r="201" spans="30:36">
      <c r="AD201" t="s">
        <v>7</v>
      </c>
      <c r="AE201">
        <v>11074</v>
      </c>
      <c r="AF201" t="s">
        <v>17</v>
      </c>
      <c r="AG201" s="55">
        <v>45759</v>
      </c>
      <c r="AH201">
        <v>648</v>
      </c>
      <c r="AI201">
        <v>648</v>
      </c>
      <c r="AJ201">
        <v>94</v>
      </c>
    </row>
    <row r="202" spans="30:36">
      <c r="AD202" t="s">
        <v>7</v>
      </c>
      <c r="AE202">
        <v>11074</v>
      </c>
      <c r="AF202" t="s">
        <v>16</v>
      </c>
      <c r="AG202" s="55">
        <v>45759</v>
      </c>
      <c r="AH202">
        <v>1937</v>
      </c>
      <c r="AI202">
        <v>1937</v>
      </c>
      <c r="AJ202">
        <v>567</v>
      </c>
    </row>
    <row r="203" spans="30:36">
      <c r="AD203" t="s">
        <v>7</v>
      </c>
      <c r="AE203">
        <v>11074</v>
      </c>
      <c r="AF203" t="s">
        <v>16</v>
      </c>
      <c r="AG203" s="55">
        <v>45760</v>
      </c>
      <c r="AH203">
        <v>2758</v>
      </c>
      <c r="AI203">
        <v>2758</v>
      </c>
      <c r="AJ203">
        <v>633</v>
      </c>
    </row>
    <row r="204" spans="30:36">
      <c r="AD204" t="s">
        <v>7</v>
      </c>
      <c r="AE204">
        <v>11074</v>
      </c>
      <c r="AF204" t="s">
        <v>17</v>
      </c>
      <c r="AG204" s="55">
        <v>45752</v>
      </c>
      <c r="AH204">
        <v>662</v>
      </c>
      <c r="AI204">
        <v>662</v>
      </c>
      <c r="AJ204">
        <v>107</v>
      </c>
    </row>
    <row r="205" spans="30:36">
      <c r="AD205" t="s">
        <v>7</v>
      </c>
      <c r="AE205">
        <v>11074</v>
      </c>
      <c r="AF205" t="s">
        <v>17</v>
      </c>
      <c r="AG205" s="55">
        <v>45755</v>
      </c>
      <c r="AH205">
        <v>707</v>
      </c>
      <c r="AI205">
        <v>707</v>
      </c>
      <c r="AJ205">
        <v>107</v>
      </c>
    </row>
  </sheetData>
  <mergeCells count="1">
    <mergeCell ref="K1:K1048576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3650-08B2-1049-BC26-C8A4E0D77537}">
  <dimension ref="A1:X624"/>
  <sheetViews>
    <sheetView topLeftCell="Q1" workbookViewId="0">
      <selection activeCell="I34" sqref="I34"/>
    </sheetView>
  </sheetViews>
  <sheetFormatPr baseColWidth="10" defaultRowHeight="16"/>
  <cols>
    <col min="6" max="6" width="10.6640625" bestFit="1" customWidth="1"/>
    <col min="7" max="7" width="10.5" bestFit="1" customWidth="1"/>
    <col min="8" max="8" width="9.33203125" bestFit="1" customWidth="1"/>
    <col min="9" max="9" width="9.1640625" bestFit="1" customWidth="1"/>
    <col min="10" max="10" width="9" bestFit="1" customWidth="1"/>
  </cols>
  <sheetData>
    <row r="1" spans="1:24">
      <c r="A1" t="s">
        <v>25</v>
      </c>
      <c r="B1" t="s">
        <v>46</v>
      </c>
      <c r="C1" t="s">
        <v>47</v>
      </c>
    </row>
    <row r="2" spans="1:24">
      <c r="A2" t="s">
        <v>22</v>
      </c>
      <c r="B2">
        <v>0</v>
      </c>
      <c r="C2">
        <v>48624</v>
      </c>
      <c r="F2" s="3" t="s">
        <v>48</v>
      </c>
      <c r="G2" s="3" t="s">
        <v>10</v>
      </c>
      <c r="M2" s="5" t="s">
        <v>9</v>
      </c>
      <c r="N2" s="9">
        <v>159420</v>
      </c>
      <c r="O2" s="9">
        <v>159784</v>
      </c>
      <c r="P2" s="9">
        <v>159007</v>
      </c>
    </row>
    <row r="3" spans="1:24">
      <c r="A3" t="s">
        <v>22</v>
      </c>
      <c r="B3">
        <v>1</v>
      </c>
      <c r="C3">
        <v>42297</v>
      </c>
      <c r="F3" s="3" t="s">
        <v>8</v>
      </c>
      <c r="G3" t="s">
        <v>21</v>
      </c>
      <c r="H3" t="s">
        <v>22</v>
      </c>
      <c r="I3" t="s">
        <v>23</v>
      </c>
      <c r="J3" t="s">
        <v>9</v>
      </c>
      <c r="M3" s="7" t="s">
        <v>8</v>
      </c>
      <c r="N3" s="7" t="s">
        <v>21</v>
      </c>
      <c r="O3" s="7" t="s">
        <v>22</v>
      </c>
      <c r="P3" s="7" t="s">
        <v>23</v>
      </c>
      <c r="R3" s="7" t="s">
        <v>21</v>
      </c>
      <c r="S3" s="7" t="s">
        <v>22</v>
      </c>
      <c r="T3" s="7" t="s">
        <v>23</v>
      </c>
    </row>
    <row r="4" spans="1:24">
      <c r="A4" t="s">
        <v>22</v>
      </c>
      <c r="B4">
        <v>2</v>
      </c>
      <c r="C4">
        <v>29497</v>
      </c>
      <c r="D4" s="39" t="s">
        <v>50</v>
      </c>
      <c r="F4" s="4">
        <v>0</v>
      </c>
      <c r="G4" s="8">
        <v>74830</v>
      </c>
      <c r="H4" s="8">
        <v>48624</v>
      </c>
      <c r="I4" s="8">
        <v>55736</v>
      </c>
      <c r="J4" s="8">
        <v>179190</v>
      </c>
      <c r="M4" s="4">
        <v>0</v>
      </c>
      <c r="N4" s="8">
        <v>74830</v>
      </c>
      <c r="O4" s="8">
        <v>48624</v>
      </c>
      <c r="P4" s="8">
        <v>55736</v>
      </c>
      <c r="Q4" s="4">
        <v>0</v>
      </c>
      <c r="R4" s="15">
        <f t="shared" ref="R4:T10" si="0">N4/N$2</f>
        <v>0.46938903525279135</v>
      </c>
      <c r="S4" s="15">
        <f t="shared" si="0"/>
        <v>0.30431081960646872</v>
      </c>
      <c r="T4" s="15">
        <f t="shared" si="0"/>
        <v>0.35052544856515749</v>
      </c>
      <c r="V4" s="33"/>
      <c r="W4" s="33"/>
      <c r="X4" s="33"/>
    </row>
    <row r="5" spans="1:24">
      <c r="A5" t="s">
        <v>22</v>
      </c>
      <c r="B5">
        <v>3</v>
      </c>
      <c r="C5">
        <v>10950</v>
      </c>
      <c r="D5" s="39" t="s">
        <v>51</v>
      </c>
      <c r="F5" s="4">
        <v>1</v>
      </c>
      <c r="G5" s="8">
        <v>33747</v>
      </c>
      <c r="H5" s="8">
        <v>42297</v>
      </c>
      <c r="I5" s="8">
        <v>40519</v>
      </c>
      <c r="J5" s="8">
        <v>116563</v>
      </c>
      <c r="M5" s="4">
        <v>1</v>
      </c>
      <c r="N5" s="8">
        <v>33747</v>
      </c>
      <c r="O5" s="8">
        <v>42297</v>
      </c>
      <c r="P5" s="8">
        <v>40519</v>
      </c>
      <c r="Q5" s="4">
        <v>1</v>
      </c>
      <c r="R5" s="15">
        <f t="shared" si="0"/>
        <v>0.21168611215656755</v>
      </c>
      <c r="S5" s="15">
        <f t="shared" si="0"/>
        <v>0.26471361337806038</v>
      </c>
      <c r="T5" s="15">
        <f t="shared" si="0"/>
        <v>0.25482525926531535</v>
      </c>
      <c r="V5" s="33">
        <f>SUM(R5:R6)</f>
        <v>0.30851837912432567</v>
      </c>
      <c r="W5" s="33">
        <f>SUM(S5:S6)</f>
        <v>0.44931908075902471</v>
      </c>
      <c r="X5" s="33">
        <f>SUM(T5:T6)</f>
        <v>0.40750407214776707</v>
      </c>
    </row>
    <row r="6" spans="1:24">
      <c r="A6" t="s">
        <v>22</v>
      </c>
      <c r="B6">
        <v>4</v>
      </c>
      <c r="C6">
        <v>6743</v>
      </c>
      <c r="D6" s="39" t="s">
        <v>52</v>
      </c>
      <c r="F6" s="4">
        <v>2</v>
      </c>
      <c r="G6" s="8">
        <v>15437</v>
      </c>
      <c r="H6" s="8">
        <v>29497</v>
      </c>
      <c r="I6" s="8">
        <v>24277</v>
      </c>
      <c r="J6" s="8">
        <v>69211</v>
      </c>
      <c r="M6" s="4">
        <v>2</v>
      </c>
      <c r="N6" s="8">
        <v>15437</v>
      </c>
      <c r="O6" s="8">
        <v>29497</v>
      </c>
      <c r="P6" s="8">
        <v>24277</v>
      </c>
      <c r="Q6" s="4">
        <v>2</v>
      </c>
      <c r="R6" s="15">
        <f t="shared" si="0"/>
        <v>9.6832266967758124E-2</v>
      </c>
      <c r="S6" s="15">
        <f t="shared" si="0"/>
        <v>0.18460546738096431</v>
      </c>
      <c r="T6" s="15">
        <f t="shared" si="0"/>
        <v>0.15267881288245172</v>
      </c>
    </row>
    <row r="7" spans="1:24">
      <c r="A7" t="s">
        <v>22</v>
      </c>
      <c r="B7">
        <v>5</v>
      </c>
      <c r="C7">
        <v>4202</v>
      </c>
      <c r="D7" s="39" t="s">
        <v>53</v>
      </c>
      <c r="F7" s="4">
        <v>3</v>
      </c>
      <c r="G7" s="8">
        <v>8536</v>
      </c>
      <c r="H7" s="8">
        <v>10950</v>
      </c>
      <c r="I7" s="8">
        <v>10344</v>
      </c>
      <c r="J7" s="8">
        <v>29830</v>
      </c>
      <c r="M7" s="4">
        <v>3</v>
      </c>
      <c r="N7" s="8">
        <v>8536</v>
      </c>
      <c r="O7" s="8">
        <v>10950</v>
      </c>
      <c r="P7" s="8">
        <v>10344</v>
      </c>
      <c r="Q7" s="4">
        <v>3</v>
      </c>
      <c r="R7" s="15">
        <f t="shared" si="0"/>
        <v>5.3544097352904281E-2</v>
      </c>
      <c r="S7" s="15">
        <f t="shared" si="0"/>
        <v>6.853001552095328E-2</v>
      </c>
      <c r="T7" s="15">
        <f t="shared" si="0"/>
        <v>6.5053739772462843E-2</v>
      </c>
    </row>
    <row r="8" spans="1:24">
      <c r="A8" t="s">
        <v>22</v>
      </c>
      <c r="B8">
        <v>6</v>
      </c>
      <c r="C8">
        <v>3109</v>
      </c>
      <c r="D8" s="40" t="s">
        <v>54</v>
      </c>
      <c r="F8" s="4">
        <v>4</v>
      </c>
      <c r="G8" s="8">
        <v>5775</v>
      </c>
      <c r="H8" s="8">
        <v>6743</v>
      </c>
      <c r="I8" s="8">
        <v>6475</v>
      </c>
      <c r="J8" s="8">
        <v>18993</v>
      </c>
      <c r="M8" s="4">
        <v>4</v>
      </c>
      <c r="N8" s="8">
        <v>5775</v>
      </c>
      <c r="O8" s="8">
        <v>6743</v>
      </c>
      <c r="P8" s="8">
        <v>6475</v>
      </c>
      <c r="Q8" s="4">
        <v>4</v>
      </c>
      <c r="R8" s="15">
        <f t="shared" si="0"/>
        <v>3.6225065863756116E-2</v>
      </c>
      <c r="S8" s="15">
        <f t="shared" si="0"/>
        <v>4.2200720973313975E-2</v>
      </c>
      <c r="T8" s="15">
        <f t="shared" si="0"/>
        <v>4.072147767079437E-2</v>
      </c>
    </row>
    <row r="9" spans="1:24">
      <c r="A9" t="s">
        <v>22</v>
      </c>
      <c r="B9">
        <v>7</v>
      </c>
      <c r="C9">
        <v>2131</v>
      </c>
      <c r="D9" s="40" t="s">
        <v>55</v>
      </c>
      <c r="F9" s="4">
        <v>5</v>
      </c>
      <c r="G9" s="8">
        <v>3933</v>
      </c>
      <c r="H9" s="8">
        <v>4202</v>
      </c>
      <c r="I9" s="8">
        <v>4176</v>
      </c>
      <c r="J9" s="8">
        <v>12311</v>
      </c>
      <c r="M9" s="4">
        <v>5</v>
      </c>
      <c r="N9" s="8">
        <v>3933</v>
      </c>
      <c r="O9" s="8">
        <v>4202</v>
      </c>
      <c r="P9" s="8">
        <v>4176</v>
      </c>
      <c r="Q9" s="4">
        <v>5</v>
      </c>
      <c r="R9" s="15">
        <f t="shared" si="0"/>
        <v>2.4670681219420398E-2</v>
      </c>
      <c r="S9" s="15">
        <f t="shared" si="0"/>
        <v>2.6298002303109198E-2</v>
      </c>
      <c r="T9" s="15">
        <f t="shared" si="0"/>
        <v>2.6262994710924675E-2</v>
      </c>
    </row>
    <row r="10" spans="1:24">
      <c r="A10" t="s">
        <v>22</v>
      </c>
      <c r="B10">
        <v>8</v>
      </c>
      <c r="C10">
        <v>1915</v>
      </c>
      <c r="D10" s="40" t="s">
        <v>56</v>
      </c>
      <c r="F10" s="4">
        <v>6</v>
      </c>
      <c r="G10" s="8">
        <v>2834</v>
      </c>
      <c r="H10" s="8">
        <v>3109</v>
      </c>
      <c r="I10" s="8">
        <v>3084</v>
      </c>
      <c r="J10" s="8">
        <v>9027</v>
      </c>
      <c r="M10" s="4">
        <v>6</v>
      </c>
      <c r="N10" s="8">
        <v>2834</v>
      </c>
      <c r="O10" s="8">
        <v>3109</v>
      </c>
      <c r="P10" s="8">
        <v>3084</v>
      </c>
      <c r="Q10" s="4">
        <v>6</v>
      </c>
      <c r="R10" s="15">
        <f t="shared" si="0"/>
        <v>1.7776941412620751E-2</v>
      </c>
      <c r="S10" s="15">
        <f t="shared" si="0"/>
        <v>1.9457517648825914E-2</v>
      </c>
      <c r="T10" s="15">
        <f t="shared" si="0"/>
        <v>1.9395372530769086E-2</v>
      </c>
    </row>
    <row r="11" spans="1:24">
      <c r="A11" t="s">
        <v>22</v>
      </c>
      <c r="B11">
        <v>9</v>
      </c>
      <c r="C11">
        <v>1348</v>
      </c>
      <c r="D11" s="40" t="s">
        <v>57</v>
      </c>
      <c r="F11" s="4">
        <v>7</v>
      </c>
      <c r="G11" s="8">
        <v>2174</v>
      </c>
      <c r="H11" s="8">
        <v>2131</v>
      </c>
      <c r="I11" s="8">
        <v>2181</v>
      </c>
      <c r="J11" s="8">
        <v>6486</v>
      </c>
      <c r="M11" s="4">
        <v>7</v>
      </c>
      <c r="N11" s="8">
        <v>2174</v>
      </c>
      <c r="O11" s="8">
        <v>2131</v>
      </c>
      <c r="P11" s="8">
        <v>2181</v>
      </c>
      <c r="Q11" s="4">
        <v>7</v>
      </c>
      <c r="R11" s="15">
        <f t="shared" ref="R11:R20" si="1">N11/N$2</f>
        <v>1.3636933885334337E-2</v>
      </c>
      <c r="S11" s="15">
        <f t="shared" ref="S11:S20" si="2">O11/O$2</f>
        <v>1.3336754618735293E-2</v>
      </c>
      <c r="T11" s="15">
        <f t="shared" ref="T11:T20" si="3">P11/P$2</f>
        <v>1.3716377266409655E-2</v>
      </c>
    </row>
    <row r="12" spans="1:24">
      <c r="A12" t="s">
        <v>22</v>
      </c>
      <c r="B12">
        <v>10</v>
      </c>
      <c r="C12">
        <v>1182</v>
      </c>
      <c r="D12" s="41" t="s">
        <v>58</v>
      </c>
      <c r="F12" s="4">
        <v>8</v>
      </c>
      <c r="G12" s="8">
        <v>1743</v>
      </c>
      <c r="H12" s="8">
        <v>1915</v>
      </c>
      <c r="I12" s="8">
        <v>1849</v>
      </c>
      <c r="J12" s="8">
        <v>5507</v>
      </c>
      <c r="M12" s="4">
        <v>8</v>
      </c>
      <c r="N12" s="8">
        <v>1743</v>
      </c>
      <c r="O12" s="8">
        <v>1915</v>
      </c>
      <c r="P12" s="8">
        <v>1849</v>
      </c>
      <c r="Q12" s="4">
        <v>8</v>
      </c>
      <c r="R12" s="15">
        <f t="shared" si="1"/>
        <v>1.0933383515242754E-2</v>
      </c>
      <c r="S12" s="15">
        <f t="shared" si="2"/>
        <v>1.1984929655034296E-2</v>
      </c>
      <c r="T12" s="15">
        <f t="shared" si="3"/>
        <v>1.162841887464074E-2</v>
      </c>
    </row>
    <row r="13" spans="1:24">
      <c r="A13" t="s">
        <v>22</v>
      </c>
      <c r="B13">
        <v>11</v>
      </c>
      <c r="C13">
        <v>891</v>
      </c>
      <c r="D13" s="39" t="s">
        <v>59</v>
      </c>
      <c r="F13" s="4">
        <v>9</v>
      </c>
      <c r="G13" s="8">
        <v>1291</v>
      </c>
      <c r="H13" s="8">
        <v>1348</v>
      </c>
      <c r="I13" s="8">
        <v>1390</v>
      </c>
      <c r="J13" s="8">
        <v>4029</v>
      </c>
      <c r="M13" s="4">
        <v>9</v>
      </c>
      <c r="N13" s="8">
        <v>1291</v>
      </c>
      <c r="O13" s="8">
        <v>1348</v>
      </c>
      <c r="P13" s="8">
        <v>1390</v>
      </c>
      <c r="Q13" s="4">
        <v>9</v>
      </c>
      <c r="R13" s="15">
        <f t="shared" si="1"/>
        <v>8.0981056329193328E-3</v>
      </c>
      <c r="S13" s="15">
        <f t="shared" si="2"/>
        <v>8.4363891253191811E-3</v>
      </c>
      <c r="T13" s="15">
        <f t="shared" si="3"/>
        <v>8.7417535077072075E-3</v>
      </c>
    </row>
    <row r="14" spans="1:24">
      <c r="A14" t="s">
        <v>22</v>
      </c>
      <c r="B14">
        <v>12</v>
      </c>
      <c r="C14">
        <v>766</v>
      </c>
      <c r="D14" s="41" t="s">
        <v>60</v>
      </c>
      <c r="F14" s="4">
        <v>10</v>
      </c>
      <c r="G14" s="8">
        <v>1131</v>
      </c>
      <c r="H14" s="8">
        <v>1182</v>
      </c>
      <c r="I14" s="8">
        <v>1153</v>
      </c>
      <c r="J14" s="8">
        <v>3466</v>
      </c>
      <c r="M14" s="4">
        <v>10</v>
      </c>
      <c r="N14" s="8">
        <v>1131</v>
      </c>
      <c r="O14" s="8">
        <v>1182</v>
      </c>
      <c r="P14" s="8">
        <v>1153</v>
      </c>
      <c r="Q14" s="4">
        <v>10</v>
      </c>
      <c r="R14" s="15">
        <f t="shared" si="1"/>
        <v>7.094467444486263E-3</v>
      </c>
      <c r="S14" s="15">
        <f t="shared" si="2"/>
        <v>7.3974866069193412E-3</v>
      </c>
      <c r="T14" s="15">
        <f t="shared" si="3"/>
        <v>7.2512530894866265E-3</v>
      </c>
    </row>
    <row r="15" spans="1:24">
      <c r="A15" t="s">
        <v>22</v>
      </c>
      <c r="B15">
        <v>13</v>
      </c>
      <c r="C15">
        <v>596</v>
      </c>
      <c r="D15" s="39" t="s">
        <v>61</v>
      </c>
      <c r="F15" s="4">
        <v>11</v>
      </c>
      <c r="G15" s="8">
        <v>943</v>
      </c>
      <c r="H15" s="8">
        <v>891</v>
      </c>
      <c r="I15" s="8">
        <v>869</v>
      </c>
      <c r="J15" s="8">
        <v>2703</v>
      </c>
      <c r="M15" s="4">
        <v>11</v>
      </c>
      <c r="N15" s="8">
        <v>943</v>
      </c>
      <c r="O15" s="8">
        <v>891</v>
      </c>
      <c r="P15" s="8">
        <v>869</v>
      </c>
      <c r="Q15" s="4">
        <v>11</v>
      </c>
      <c r="R15" s="15">
        <f t="shared" si="1"/>
        <v>5.9151925730774055E-3</v>
      </c>
      <c r="S15" s="15">
        <f t="shared" si="2"/>
        <v>5.5762779752666098E-3</v>
      </c>
      <c r="T15" s="15">
        <f t="shared" si="3"/>
        <v>5.4651682001421323E-3</v>
      </c>
    </row>
    <row r="16" spans="1:24">
      <c r="A16" t="s">
        <v>22</v>
      </c>
      <c r="B16">
        <v>14</v>
      </c>
      <c r="C16">
        <v>576</v>
      </c>
      <c r="D16" s="42" t="s">
        <v>62</v>
      </c>
      <c r="F16" s="4">
        <v>12</v>
      </c>
      <c r="G16" s="8">
        <v>790</v>
      </c>
      <c r="H16" s="8">
        <v>766</v>
      </c>
      <c r="I16" s="8">
        <v>760</v>
      </c>
      <c r="J16" s="8">
        <v>2316</v>
      </c>
      <c r="M16" s="34">
        <v>12</v>
      </c>
      <c r="N16" s="35">
        <v>790</v>
      </c>
      <c r="O16" s="35">
        <v>766</v>
      </c>
      <c r="P16" s="35">
        <v>760</v>
      </c>
      <c r="Q16" s="34">
        <v>12</v>
      </c>
      <c r="R16" s="37">
        <f t="shared" si="1"/>
        <v>4.9554635553882825E-3</v>
      </c>
      <c r="S16" s="37">
        <f t="shared" si="2"/>
        <v>4.7939718620137184E-3</v>
      </c>
      <c r="T16" s="37">
        <f t="shared" si="3"/>
        <v>4.7796637883866745E-3</v>
      </c>
    </row>
    <row r="17" spans="1:20">
      <c r="A17" t="s">
        <v>22</v>
      </c>
      <c r="B17">
        <v>15</v>
      </c>
      <c r="C17">
        <v>475</v>
      </c>
      <c r="D17" s="39" t="s">
        <v>63</v>
      </c>
      <c r="F17" s="4">
        <v>13</v>
      </c>
      <c r="G17" s="8">
        <v>634</v>
      </c>
      <c r="H17" s="8">
        <v>596</v>
      </c>
      <c r="I17" s="8">
        <v>623</v>
      </c>
      <c r="J17" s="8">
        <v>1853</v>
      </c>
      <c r="M17" s="4">
        <v>13</v>
      </c>
      <c r="N17" s="8">
        <v>634</v>
      </c>
      <c r="O17" s="8">
        <v>596</v>
      </c>
      <c r="P17" s="8">
        <v>623</v>
      </c>
      <c r="R17" s="14">
        <f t="shared" si="1"/>
        <v>3.9769163216660398E-3</v>
      </c>
      <c r="S17" s="14">
        <f t="shared" si="2"/>
        <v>3.7300355479897864E-3</v>
      </c>
      <c r="T17" s="14">
        <f t="shared" si="3"/>
        <v>3.9180665002169716E-3</v>
      </c>
    </row>
    <row r="18" spans="1:20">
      <c r="A18" t="s">
        <v>22</v>
      </c>
      <c r="B18">
        <v>16</v>
      </c>
      <c r="C18">
        <v>429</v>
      </c>
      <c r="D18" s="39" t="s">
        <v>64</v>
      </c>
      <c r="F18" s="4">
        <v>14</v>
      </c>
      <c r="G18" s="8">
        <v>582</v>
      </c>
      <c r="H18" s="8">
        <v>576</v>
      </c>
      <c r="I18" s="8">
        <v>590</v>
      </c>
      <c r="J18" s="8">
        <v>1748</v>
      </c>
      <c r="M18" s="4">
        <v>14</v>
      </c>
      <c r="N18" s="8">
        <v>582</v>
      </c>
      <c r="O18" s="8">
        <v>576</v>
      </c>
      <c r="P18" s="8">
        <v>590</v>
      </c>
      <c r="R18" s="13">
        <f t="shared" si="1"/>
        <v>3.6507339104252918E-3</v>
      </c>
      <c r="S18" s="13">
        <f t="shared" si="2"/>
        <v>3.6048665698693236E-3</v>
      </c>
      <c r="T18" s="13">
        <f t="shared" si="3"/>
        <v>3.7105284673001819E-3</v>
      </c>
    </row>
    <row r="19" spans="1:20">
      <c r="A19" t="s">
        <v>22</v>
      </c>
      <c r="B19">
        <v>17</v>
      </c>
      <c r="C19">
        <v>348</v>
      </c>
      <c r="D19" s="39" t="s">
        <v>65</v>
      </c>
      <c r="F19" s="4">
        <v>15</v>
      </c>
      <c r="G19" s="8">
        <v>455</v>
      </c>
      <c r="H19" s="8">
        <v>475</v>
      </c>
      <c r="I19" s="8">
        <v>488</v>
      </c>
      <c r="J19" s="8">
        <v>1418</v>
      </c>
      <c r="M19" s="4">
        <v>15</v>
      </c>
      <c r="N19" s="8">
        <v>455</v>
      </c>
      <c r="O19" s="8">
        <v>475</v>
      </c>
      <c r="P19" s="8">
        <v>488</v>
      </c>
      <c r="R19" s="13">
        <f t="shared" si="1"/>
        <v>2.8540960983565425E-3</v>
      </c>
      <c r="S19" s="13">
        <f t="shared" si="2"/>
        <v>2.9727632303609875E-3</v>
      </c>
      <c r="T19" s="13">
        <f t="shared" si="3"/>
        <v>3.069047274648286E-3</v>
      </c>
    </row>
    <row r="20" spans="1:20">
      <c r="A20" t="s">
        <v>22</v>
      </c>
      <c r="B20">
        <v>18</v>
      </c>
      <c r="C20">
        <v>337</v>
      </c>
      <c r="D20" s="43" t="s">
        <v>66</v>
      </c>
      <c r="F20" s="4">
        <v>16</v>
      </c>
      <c r="G20" s="8">
        <v>445</v>
      </c>
      <c r="H20" s="8">
        <v>429</v>
      </c>
      <c r="I20" s="8">
        <v>421</v>
      </c>
      <c r="J20" s="8">
        <v>1295</v>
      </c>
      <c r="M20" s="4">
        <v>16</v>
      </c>
      <c r="N20" s="8">
        <v>445</v>
      </c>
      <c r="O20" s="8">
        <v>429</v>
      </c>
      <c r="P20" s="8">
        <v>421</v>
      </c>
      <c r="R20" s="13">
        <f t="shared" si="1"/>
        <v>2.7913687115794757E-3</v>
      </c>
      <c r="S20" s="13">
        <f t="shared" si="2"/>
        <v>2.6848745806839231E-3</v>
      </c>
      <c r="T20" s="13">
        <f t="shared" si="3"/>
        <v>2.6476821775141975E-3</v>
      </c>
    </row>
    <row r="21" spans="1:20">
      <c r="A21" t="s">
        <v>22</v>
      </c>
      <c r="B21">
        <v>19</v>
      </c>
      <c r="C21">
        <v>267</v>
      </c>
      <c r="D21" s="40" t="s">
        <v>67</v>
      </c>
      <c r="F21" s="4">
        <v>17</v>
      </c>
      <c r="G21" s="8">
        <v>349</v>
      </c>
      <c r="H21" s="8">
        <v>348</v>
      </c>
      <c r="I21" s="8">
        <v>367</v>
      </c>
      <c r="J21" s="8">
        <v>1064</v>
      </c>
      <c r="M21" s="4">
        <v>17</v>
      </c>
      <c r="N21" s="8">
        <v>349</v>
      </c>
      <c r="O21" s="8">
        <v>348</v>
      </c>
      <c r="P21" s="8">
        <v>367</v>
      </c>
    </row>
    <row r="22" spans="1:20">
      <c r="A22" t="s">
        <v>22</v>
      </c>
      <c r="B22">
        <v>20</v>
      </c>
      <c r="C22">
        <v>277</v>
      </c>
      <c r="D22" s="39" t="s">
        <v>51</v>
      </c>
      <c r="F22" s="4">
        <v>18</v>
      </c>
      <c r="G22" s="8">
        <v>336</v>
      </c>
      <c r="H22" s="8">
        <v>337</v>
      </c>
      <c r="I22" s="8">
        <v>301</v>
      </c>
      <c r="J22" s="8">
        <v>974</v>
      </c>
      <c r="M22" s="4">
        <v>18</v>
      </c>
      <c r="N22" s="8">
        <v>336</v>
      </c>
      <c r="O22" s="8">
        <v>337</v>
      </c>
      <c r="P22" s="8">
        <v>301</v>
      </c>
      <c r="Q22" t="s">
        <v>49</v>
      </c>
      <c r="R22" s="38">
        <f>1-SUM(R4:R16)</f>
        <v>3.9242253167732999E-2</v>
      </c>
      <c r="S22" s="38">
        <f>1-SUM(S4:S16)</f>
        <v>3.8358033345015974E-2</v>
      </c>
      <c r="T22" s="38">
        <f>1-SUM(T4:T16)</f>
        <v>3.8954259875351505E-2</v>
      </c>
    </row>
    <row r="23" spans="1:20">
      <c r="A23" t="s">
        <v>22</v>
      </c>
      <c r="B23">
        <v>21</v>
      </c>
      <c r="C23">
        <v>212</v>
      </c>
      <c r="D23" s="39" t="s">
        <v>68</v>
      </c>
      <c r="F23" s="4">
        <v>19</v>
      </c>
      <c r="G23" s="8">
        <v>265</v>
      </c>
      <c r="H23" s="8">
        <v>267</v>
      </c>
      <c r="I23" s="8">
        <v>274</v>
      </c>
      <c r="J23" s="8">
        <v>806</v>
      </c>
      <c r="M23" s="4">
        <v>19</v>
      </c>
      <c r="N23" s="8">
        <v>265</v>
      </c>
      <c r="O23" s="8">
        <v>267</v>
      </c>
      <c r="P23" s="8">
        <v>274</v>
      </c>
    </row>
    <row r="24" spans="1:20">
      <c r="A24" t="s">
        <v>22</v>
      </c>
      <c r="B24">
        <v>22</v>
      </c>
      <c r="C24">
        <v>213</v>
      </c>
      <c r="D24" s="40" t="s">
        <v>69</v>
      </c>
      <c r="F24" s="4">
        <v>20</v>
      </c>
      <c r="G24" s="8">
        <v>244</v>
      </c>
      <c r="H24" s="8">
        <v>277</v>
      </c>
      <c r="I24" s="8">
        <v>270</v>
      </c>
      <c r="J24" s="8">
        <v>791</v>
      </c>
      <c r="M24" s="4">
        <v>20</v>
      </c>
      <c r="N24" s="8">
        <v>244</v>
      </c>
      <c r="O24" s="8">
        <v>277</v>
      </c>
      <c r="P24" s="8">
        <v>270</v>
      </c>
    </row>
    <row r="25" spans="1:20">
      <c r="A25" t="s">
        <v>22</v>
      </c>
      <c r="B25">
        <v>23</v>
      </c>
      <c r="C25">
        <v>168</v>
      </c>
      <c r="D25" s="40" t="s">
        <v>70</v>
      </c>
      <c r="F25" s="4">
        <v>21</v>
      </c>
      <c r="G25" s="8">
        <v>191</v>
      </c>
      <c r="H25" s="8">
        <v>212</v>
      </c>
      <c r="I25" s="8">
        <v>206</v>
      </c>
      <c r="J25" s="8">
        <v>609</v>
      </c>
      <c r="M25" s="4">
        <v>21</v>
      </c>
      <c r="N25" s="8">
        <v>191</v>
      </c>
      <c r="O25" s="8">
        <v>212</v>
      </c>
      <c r="P25" s="8">
        <v>206</v>
      </c>
    </row>
    <row r="26" spans="1:20">
      <c r="A26" t="s">
        <v>22</v>
      </c>
      <c r="B26">
        <v>24</v>
      </c>
      <c r="C26">
        <v>139</v>
      </c>
      <c r="D26" s="40" t="s">
        <v>71</v>
      </c>
      <c r="F26" s="4">
        <v>22</v>
      </c>
      <c r="G26" s="8">
        <v>210</v>
      </c>
      <c r="H26" s="8">
        <v>213</v>
      </c>
      <c r="I26" s="8">
        <v>198</v>
      </c>
      <c r="J26" s="8">
        <v>621</v>
      </c>
      <c r="M26" s="4">
        <v>22</v>
      </c>
      <c r="N26" s="8">
        <v>210</v>
      </c>
      <c r="O26" s="8">
        <v>213</v>
      </c>
      <c r="P26" s="8">
        <v>198</v>
      </c>
    </row>
    <row r="27" spans="1:20">
      <c r="A27" t="s">
        <v>22</v>
      </c>
      <c r="B27">
        <v>25</v>
      </c>
      <c r="C27">
        <v>131</v>
      </c>
      <c r="D27" s="41" t="s">
        <v>58</v>
      </c>
      <c r="F27" s="4">
        <v>23</v>
      </c>
      <c r="G27" s="8">
        <v>162</v>
      </c>
      <c r="H27" s="8">
        <v>168</v>
      </c>
      <c r="I27" s="8">
        <v>163</v>
      </c>
      <c r="J27" s="8">
        <v>493</v>
      </c>
      <c r="M27" s="4">
        <v>23</v>
      </c>
      <c r="N27" s="8">
        <v>162</v>
      </c>
      <c r="O27" s="8">
        <v>168</v>
      </c>
      <c r="P27" s="8">
        <v>163</v>
      </c>
    </row>
    <row r="28" spans="1:20">
      <c r="A28" t="s">
        <v>22</v>
      </c>
      <c r="B28">
        <v>26</v>
      </c>
      <c r="C28">
        <v>129</v>
      </c>
      <c r="D28" s="40" t="s">
        <v>72</v>
      </c>
      <c r="F28" s="4">
        <v>24</v>
      </c>
      <c r="G28" s="8">
        <v>171</v>
      </c>
      <c r="H28" s="8">
        <v>139</v>
      </c>
      <c r="I28" s="8">
        <v>162</v>
      </c>
      <c r="J28" s="8">
        <v>472</v>
      </c>
      <c r="M28" s="4">
        <v>24</v>
      </c>
      <c r="N28" s="8">
        <v>171</v>
      </c>
      <c r="O28" s="8">
        <v>139</v>
      </c>
      <c r="P28" s="8">
        <v>162</v>
      </c>
    </row>
    <row r="29" spans="1:20">
      <c r="A29" t="s">
        <v>22</v>
      </c>
      <c r="B29">
        <v>27</v>
      </c>
      <c r="C29">
        <v>120</v>
      </c>
      <c r="D29" s="39" t="s">
        <v>59</v>
      </c>
      <c r="F29" s="4">
        <v>25</v>
      </c>
      <c r="G29" s="8">
        <v>140</v>
      </c>
      <c r="H29" s="8">
        <v>131</v>
      </c>
      <c r="I29" s="8">
        <v>124</v>
      </c>
      <c r="J29" s="8">
        <v>395</v>
      </c>
      <c r="M29" s="4">
        <v>25</v>
      </c>
      <c r="N29" s="8">
        <v>140</v>
      </c>
      <c r="O29" s="8">
        <v>131</v>
      </c>
      <c r="P29" s="8">
        <v>124</v>
      </c>
    </row>
    <row r="30" spans="1:20">
      <c r="A30" t="s">
        <v>22</v>
      </c>
      <c r="B30">
        <v>28</v>
      </c>
      <c r="C30">
        <v>102</v>
      </c>
      <c r="D30" s="41" t="s">
        <v>73</v>
      </c>
      <c r="F30" s="4">
        <v>26</v>
      </c>
      <c r="G30" s="8">
        <v>146</v>
      </c>
      <c r="H30" s="8">
        <v>129</v>
      </c>
      <c r="I30" s="8">
        <v>159</v>
      </c>
      <c r="J30" s="8">
        <v>434</v>
      </c>
      <c r="M30" s="4">
        <v>26</v>
      </c>
      <c r="N30" s="8">
        <v>146</v>
      </c>
      <c r="O30" s="8">
        <v>129</v>
      </c>
      <c r="P30" s="8">
        <v>159</v>
      </c>
    </row>
    <row r="31" spans="1:20">
      <c r="A31" t="s">
        <v>22</v>
      </c>
      <c r="B31">
        <v>29</v>
      </c>
      <c r="C31">
        <v>82</v>
      </c>
      <c r="D31" s="39" t="s">
        <v>74</v>
      </c>
      <c r="F31" s="4">
        <v>27</v>
      </c>
      <c r="G31" s="8">
        <v>116</v>
      </c>
      <c r="H31" s="8">
        <v>120</v>
      </c>
      <c r="I31" s="8">
        <v>119</v>
      </c>
      <c r="J31" s="8">
        <v>355</v>
      </c>
      <c r="M31" s="4">
        <v>27</v>
      </c>
      <c r="N31" s="8">
        <v>116</v>
      </c>
      <c r="O31" s="8">
        <v>120</v>
      </c>
      <c r="P31" s="8">
        <v>119</v>
      </c>
    </row>
    <row r="32" spans="1:20">
      <c r="A32" t="s">
        <v>22</v>
      </c>
      <c r="B32">
        <v>30</v>
      </c>
      <c r="C32">
        <v>90</v>
      </c>
      <c r="D32" s="42" t="s">
        <v>75</v>
      </c>
      <c r="F32" s="4">
        <v>28</v>
      </c>
      <c r="G32" s="8">
        <v>108</v>
      </c>
      <c r="H32" s="8">
        <v>102</v>
      </c>
      <c r="I32" s="8">
        <v>97</v>
      </c>
      <c r="J32" s="8">
        <v>307</v>
      </c>
      <c r="M32" s="4">
        <v>28</v>
      </c>
      <c r="N32" s="8">
        <v>108</v>
      </c>
      <c r="O32" s="8">
        <v>102</v>
      </c>
      <c r="P32" s="8">
        <v>97</v>
      </c>
    </row>
    <row r="33" spans="1:16">
      <c r="A33" t="s">
        <v>22</v>
      </c>
      <c r="B33">
        <v>31</v>
      </c>
      <c r="C33">
        <v>84</v>
      </c>
      <c r="D33" s="39" t="s">
        <v>76</v>
      </c>
      <c r="F33" s="4">
        <v>29</v>
      </c>
      <c r="G33" s="8">
        <v>98</v>
      </c>
      <c r="H33" s="8">
        <v>82</v>
      </c>
      <c r="I33" s="8">
        <v>86</v>
      </c>
      <c r="J33" s="8">
        <v>266</v>
      </c>
      <c r="M33" s="4">
        <v>29</v>
      </c>
      <c r="N33" s="8">
        <v>98</v>
      </c>
      <c r="O33" s="8">
        <v>82</v>
      </c>
      <c r="P33" s="8">
        <v>86</v>
      </c>
    </row>
    <row r="34" spans="1:16">
      <c r="A34" t="s">
        <v>22</v>
      </c>
      <c r="B34">
        <v>32</v>
      </c>
      <c r="C34">
        <v>70</v>
      </c>
      <c r="D34" s="39" t="s">
        <v>65</v>
      </c>
      <c r="F34" s="4">
        <v>30</v>
      </c>
      <c r="G34" s="8">
        <v>94</v>
      </c>
      <c r="H34" s="8">
        <v>90</v>
      </c>
      <c r="I34" s="8">
        <v>91</v>
      </c>
      <c r="J34" s="8">
        <v>275</v>
      </c>
      <c r="M34" s="4">
        <v>30</v>
      </c>
      <c r="N34" s="8">
        <v>94</v>
      </c>
      <c r="O34" s="8">
        <v>90</v>
      </c>
      <c r="P34" s="8">
        <v>91</v>
      </c>
    </row>
    <row r="35" spans="1:16">
      <c r="A35" t="s">
        <v>22</v>
      </c>
      <c r="B35">
        <v>33</v>
      </c>
      <c r="C35">
        <v>63</v>
      </c>
      <c r="D35" s="39" t="s">
        <v>77</v>
      </c>
      <c r="F35" s="4">
        <v>31</v>
      </c>
      <c r="G35" s="8">
        <v>89</v>
      </c>
      <c r="H35" s="8">
        <v>84</v>
      </c>
      <c r="I35" s="8">
        <v>90</v>
      </c>
      <c r="J35" s="8">
        <v>263</v>
      </c>
      <c r="M35" s="4">
        <v>31</v>
      </c>
      <c r="N35" s="8">
        <v>89</v>
      </c>
      <c r="O35" s="8">
        <v>84</v>
      </c>
      <c r="P35" s="8">
        <v>90</v>
      </c>
    </row>
    <row r="36" spans="1:16">
      <c r="A36" t="s">
        <v>22</v>
      </c>
      <c r="B36">
        <v>34</v>
      </c>
      <c r="C36">
        <v>65</v>
      </c>
      <c r="D36" s="43" t="s">
        <v>66</v>
      </c>
      <c r="F36" s="4">
        <v>32</v>
      </c>
      <c r="G36" s="8">
        <v>86</v>
      </c>
      <c r="H36" s="8">
        <v>70</v>
      </c>
      <c r="I36" s="8">
        <v>65</v>
      </c>
      <c r="J36" s="8">
        <v>221</v>
      </c>
      <c r="M36" s="4">
        <v>32</v>
      </c>
      <c r="N36" s="8">
        <v>86</v>
      </c>
      <c r="O36" s="8">
        <v>70</v>
      </c>
      <c r="P36" s="8">
        <v>65</v>
      </c>
    </row>
    <row r="37" spans="1:16">
      <c r="A37" t="s">
        <v>22</v>
      </c>
      <c r="B37">
        <v>35</v>
      </c>
      <c r="C37">
        <v>62</v>
      </c>
      <c r="F37" s="4">
        <v>33</v>
      </c>
      <c r="G37" s="8">
        <v>65</v>
      </c>
      <c r="H37" s="8">
        <v>63</v>
      </c>
      <c r="I37" s="8">
        <v>69</v>
      </c>
      <c r="J37" s="8">
        <v>197</v>
      </c>
      <c r="M37" s="4">
        <v>33</v>
      </c>
      <c r="N37" s="8">
        <v>65</v>
      </c>
      <c r="O37" s="8">
        <v>63</v>
      </c>
      <c r="P37" s="8">
        <v>69</v>
      </c>
    </row>
    <row r="38" spans="1:16">
      <c r="A38" t="s">
        <v>22</v>
      </c>
      <c r="B38">
        <v>36</v>
      </c>
      <c r="C38">
        <v>47</v>
      </c>
      <c r="D38" s="40" t="s">
        <v>78</v>
      </c>
      <c r="F38" s="4">
        <v>34</v>
      </c>
      <c r="G38" s="8">
        <v>59</v>
      </c>
      <c r="H38" s="8">
        <v>65</v>
      </c>
      <c r="I38" s="8">
        <v>67</v>
      </c>
      <c r="J38" s="8">
        <v>191</v>
      </c>
      <c r="M38" s="4">
        <v>34</v>
      </c>
      <c r="N38" s="8">
        <v>59</v>
      </c>
      <c r="O38" s="8">
        <v>65</v>
      </c>
      <c r="P38" s="8">
        <v>67</v>
      </c>
    </row>
    <row r="39" spans="1:16">
      <c r="A39" t="s">
        <v>22</v>
      </c>
      <c r="B39">
        <v>37</v>
      </c>
      <c r="C39">
        <v>55</v>
      </c>
      <c r="D39" s="39" t="s">
        <v>51</v>
      </c>
      <c r="F39" s="4">
        <v>35</v>
      </c>
      <c r="G39" s="8">
        <v>58</v>
      </c>
      <c r="H39" s="8">
        <v>62</v>
      </c>
      <c r="I39" s="8">
        <v>61</v>
      </c>
      <c r="J39" s="8">
        <v>181</v>
      </c>
      <c r="M39" s="4">
        <v>35</v>
      </c>
      <c r="N39" s="8">
        <v>58</v>
      </c>
      <c r="O39" s="8">
        <v>62</v>
      </c>
      <c r="P39" s="8">
        <v>61</v>
      </c>
    </row>
    <row r="40" spans="1:16">
      <c r="A40" t="s">
        <v>22</v>
      </c>
      <c r="B40">
        <v>38</v>
      </c>
      <c r="C40">
        <v>50</v>
      </c>
      <c r="D40" s="41" t="s">
        <v>79</v>
      </c>
      <c r="F40" s="4">
        <v>36</v>
      </c>
      <c r="G40" s="8">
        <v>59</v>
      </c>
      <c r="H40" s="8">
        <v>47</v>
      </c>
      <c r="I40" s="8">
        <v>60</v>
      </c>
      <c r="J40" s="8">
        <v>166</v>
      </c>
      <c r="M40" s="4">
        <v>36</v>
      </c>
      <c r="N40" s="8">
        <v>59</v>
      </c>
      <c r="O40" s="8">
        <v>47</v>
      </c>
      <c r="P40" s="8">
        <v>60</v>
      </c>
    </row>
    <row r="41" spans="1:16">
      <c r="A41" t="s">
        <v>22</v>
      </c>
      <c r="B41">
        <v>39</v>
      </c>
      <c r="C41">
        <v>37</v>
      </c>
      <c r="D41" s="39" t="s">
        <v>80</v>
      </c>
      <c r="F41" s="4">
        <v>37</v>
      </c>
      <c r="G41" s="8">
        <v>45</v>
      </c>
      <c r="H41" s="8">
        <v>55</v>
      </c>
      <c r="I41" s="8">
        <v>37</v>
      </c>
      <c r="J41" s="8">
        <v>137</v>
      </c>
      <c r="M41" s="4">
        <v>37</v>
      </c>
      <c r="N41" s="8">
        <v>45</v>
      </c>
      <c r="O41" s="8">
        <v>55</v>
      </c>
      <c r="P41" s="8">
        <v>37</v>
      </c>
    </row>
    <row r="42" spans="1:16">
      <c r="A42" t="s">
        <v>22</v>
      </c>
      <c r="B42">
        <v>40</v>
      </c>
      <c r="C42">
        <v>53</v>
      </c>
      <c r="D42" s="39" t="s">
        <v>81</v>
      </c>
      <c r="F42" s="4">
        <v>38</v>
      </c>
      <c r="G42" s="8">
        <v>60</v>
      </c>
      <c r="H42" s="8">
        <v>50</v>
      </c>
      <c r="I42" s="8">
        <v>40</v>
      </c>
      <c r="J42" s="8">
        <v>150</v>
      </c>
      <c r="M42" s="4">
        <v>38</v>
      </c>
      <c r="N42" s="8">
        <v>60</v>
      </c>
      <c r="O42" s="8">
        <v>50</v>
      </c>
      <c r="P42" s="8">
        <v>40</v>
      </c>
    </row>
    <row r="43" spans="1:16">
      <c r="A43" t="s">
        <v>22</v>
      </c>
      <c r="B43">
        <v>41</v>
      </c>
      <c r="C43">
        <v>45</v>
      </c>
      <c r="D43" s="39" t="s">
        <v>82</v>
      </c>
      <c r="F43" s="4">
        <v>39</v>
      </c>
      <c r="G43" s="8">
        <v>38</v>
      </c>
      <c r="H43" s="8">
        <v>37</v>
      </c>
      <c r="I43" s="8">
        <v>48</v>
      </c>
      <c r="J43" s="8">
        <v>123</v>
      </c>
      <c r="M43" s="4">
        <v>39</v>
      </c>
      <c r="N43" s="8">
        <v>38</v>
      </c>
      <c r="O43" s="8">
        <v>37</v>
      </c>
      <c r="P43" s="8">
        <v>48</v>
      </c>
    </row>
    <row r="44" spans="1:16">
      <c r="A44" t="s">
        <v>22</v>
      </c>
      <c r="B44">
        <v>42</v>
      </c>
      <c r="C44">
        <v>37</v>
      </c>
      <c r="D44" s="39" t="s">
        <v>83</v>
      </c>
      <c r="F44" s="4">
        <v>40</v>
      </c>
      <c r="G44" s="8">
        <v>42</v>
      </c>
      <c r="H44" s="8">
        <v>53</v>
      </c>
      <c r="I44" s="8">
        <v>39</v>
      </c>
      <c r="J44" s="8">
        <v>134</v>
      </c>
      <c r="M44" s="4">
        <v>40</v>
      </c>
      <c r="N44" s="8">
        <v>42</v>
      </c>
      <c r="O44" s="8">
        <v>53</v>
      </c>
      <c r="P44" s="8">
        <v>39</v>
      </c>
    </row>
    <row r="45" spans="1:16">
      <c r="A45" t="s">
        <v>22</v>
      </c>
      <c r="B45">
        <v>43</v>
      </c>
      <c r="C45">
        <v>29</v>
      </c>
      <c r="D45" s="39" t="s">
        <v>84</v>
      </c>
      <c r="F45" s="4">
        <v>41</v>
      </c>
      <c r="G45" s="8">
        <v>35</v>
      </c>
      <c r="H45" s="8">
        <v>45</v>
      </c>
      <c r="I45" s="8">
        <v>33</v>
      </c>
      <c r="J45" s="8">
        <v>113</v>
      </c>
      <c r="M45" s="4">
        <v>41</v>
      </c>
      <c r="N45" s="8">
        <v>35</v>
      </c>
      <c r="O45" s="8">
        <v>45</v>
      </c>
      <c r="P45" s="8">
        <v>33</v>
      </c>
    </row>
    <row r="46" spans="1:16">
      <c r="A46" t="s">
        <v>22</v>
      </c>
      <c r="B46">
        <v>44</v>
      </c>
      <c r="C46">
        <v>28</v>
      </c>
      <c r="D46" s="40" t="s">
        <v>85</v>
      </c>
      <c r="F46" s="4">
        <v>42</v>
      </c>
      <c r="G46" s="8">
        <v>44</v>
      </c>
      <c r="H46" s="8">
        <v>37</v>
      </c>
      <c r="I46" s="8">
        <v>35</v>
      </c>
      <c r="J46" s="8">
        <v>116</v>
      </c>
      <c r="M46" s="4">
        <v>42</v>
      </c>
      <c r="N46" s="8">
        <v>44</v>
      </c>
      <c r="O46" s="8">
        <v>37</v>
      </c>
      <c r="P46" s="8">
        <v>35</v>
      </c>
    </row>
    <row r="47" spans="1:16">
      <c r="A47" t="s">
        <v>22</v>
      </c>
      <c r="B47">
        <v>45</v>
      </c>
      <c r="C47">
        <v>42</v>
      </c>
      <c r="D47" s="41" t="s">
        <v>86</v>
      </c>
      <c r="F47" s="4">
        <v>43</v>
      </c>
      <c r="G47" s="8">
        <v>19</v>
      </c>
      <c r="H47" s="8">
        <v>29</v>
      </c>
      <c r="I47" s="8">
        <v>30</v>
      </c>
      <c r="J47" s="8">
        <v>78</v>
      </c>
      <c r="M47" s="4">
        <v>43</v>
      </c>
      <c r="N47" s="8">
        <v>19</v>
      </c>
      <c r="O47" s="8">
        <v>29</v>
      </c>
      <c r="P47" s="8">
        <v>30</v>
      </c>
    </row>
    <row r="48" spans="1:16">
      <c r="A48" t="s">
        <v>22</v>
      </c>
      <c r="B48">
        <v>46</v>
      </c>
      <c r="C48">
        <v>24</v>
      </c>
      <c r="D48" s="40" t="s">
        <v>87</v>
      </c>
      <c r="F48" s="4">
        <v>44</v>
      </c>
      <c r="G48" s="8">
        <v>37</v>
      </c>
      <c r="H48" s="8">
        <v>28</v>
      </c>
      <c r="I48" s="8">
        <v>31</v>
      </c>
      <c r="J48" s="8">
        <v>96</v>
      </c>
      <c r="M48" s="4">
        <v>44</v>
      </c>
      <c r="N48" s="8">
        <v>37</v>
      </c>
      <c r="O48" s="8">
        <v>28</v>
      </c>
      <c r="P48" s="8">
        <v>31</v>
      </c>
    </row>
    <row r="49" spans="1:16">
      <c r="A49" t="s">
        <v>22</v>
      </c>
      <c r="B49">
        <v>47</v>
      </c>
      <c r="C49">
        <v>26</v>
      </c>
      <c r="D49" s="40" t="s">
        <v>70</v>
      </c>
      <c r="F49" s="4">
        <v>45</v>
      </c>
      <c r="G49" s="8">
        <v>43</v>
      </c>
      <c r="H49" s="8">
        <v>42</v>
      </c>
      <c r="I49" s="8">
        <v>28</v>
      </c>
      <c r="J49" s="8">
        <v>113</v>
      </c>
      <c r="M49" s="4">
        <v>45</v>
      </c>
      <c r="N49" s="8">
        <v>43</v>
      </c>
      <c r="O49" s="8">
        <v>42</v>
      </c>
      <c r="P49" s="8">
        <v>28</v>
      </c>
    </row>
    <row r="50" spans="1:16">
      <c r="A50" t="s">
        <v>22</v>
      </c>
      <c r="B50">
        <v>48</v>
      </c>
      <c r="C50">
        <v>27</v>
      </c>
      <c r="D50" s="40" t="s">
        <v>88</v>
      </c>
      <c r="F50" s="4">
        <v>46</v>
      </c>
      <c r="G50" s="8">
        <v>32</v>
      </c>
      <c r="H50" s="8">
        <v>24</v>
      </c>
      <c r="I50" s="8">
        <v>30</v>
      </c>
      <c r="J50" s="8">
        <v>86</v>
      </c>
      <c r="M50" s="4">
        <v>46</v>
      </c>
      <c r="N50" s="8">
        <v>32</v>
      </c>
      <c r="O50" s="8">
        <v>24</v>
      </c>
      <c r="P50" s="8">
        <v>30</v>
      </c>
    </row>
    <row r="51" spans="1:16">
      <c r="A51" t="s">
        <v>22</v>
      </c>
      <c r="B51">
        <v>49</v>
      </c>
      <c r="C51">
        <v>21</v>
      </c>
      <c r="D51" s="40" t="s">
        <v>89</v>
      </c>
      <c r="F51" s="4">
        <v>47</v>
      </c>
      <c r="G51" s="8">
        <v>23</v>
      </c>
      <c r="H51" s="8">
        <v>26</v>
      </c>
      <c r="I51" s="8">
        <v>18</v>
      </c>
      <c r="J51" s="8">
        <v>67</v>
      </c>
      <c r="M51" s="4">
        <v>47</v>
      </c>
      <c r="N51" s="8">
        <v>23</v>
      </c>
      <c r="O51" s="8">
        <v>26</v>
      </c>
      <c r="P51" s="8">
        <v>18</v>
      </c>
    </row>
    <row r="52" spans="1:16">
      <c r="A52" t="s">
        <v>22</v>
      </c>
      <c r="B52">
        <v>50</v>
      </c>
      <c r="C52">
        <v>15</v>
      </c>
      <c r="D52" s="39" t="s">
        <v>90</v>
      </c>
      <c r="F52" s="4">
        <v>48</v>
      </c>
      <c r="G52" s="8">
        <v>24</v>
      </c>
      <c r="H52" s="8">
        <v>27</v>
      </c>
      <c r="I52" s="8">
        <v>25</v>
      </c>
      <c r="J52" s="8">
        <v>76</v>
      </c>
      <c r="M52" s="4">
        <v>48</v>
      </c>
      <c r="N52" s="8">
        <v>24</v>
      </c>
      <c r="O52" s="8">
        <v>27</v>
      </c>
      <c r="P52" s="8">
        <v>25</v>
      </c>
    </row>
    <row r="53" spans="1:16">
      <c r="A53" t="s">
        <v>22</v>
      </c>
      <c r="B53">
        <v>51</v>
      </c>
      <c r="C53">
        <v>17</v>
      </c>
      <c r="D53" s="42" t="s">
        <v>91</v>
      </c>
      <c r="F53" s="4">
        <v>49</v>
      </c>
      <c r="G53" s="8">
        <v>22</v>
      </c>
      <c r="H53" s="8">
        <v>21</v>
      </c>
      <c r="I53" s="8">
        <v>14</v>
      </c>
      <c r="J53" s="8">
        <v>57</v>
      </c>
      <c r="M53" s="4">
        <v>49</v>
      </c>
      <c r="N53" s="8">
        <v>22</v>
      </c>
      <c r="O53" s="8">
        <v>21</v>
      </c>
      <c r="P53" s="8">
        <v>14</v>
      </c>
    </row>
    <row r="54" spans="1:16">
      <c r="A54" t="s">
        <v>22</v>
      </c>
      <c r="B54">
        <v>52</v>
      </c>
      <c r="C54">
        <v>17</v>
      </c>
      <c r="D54" s="39" t="s">
        <v>92</v>
      </c>
      <c r="F54" s="4">
        <v>50</v>
      </c>
      <c r="G54" s="8">
        <v>25</v>
      </c>
      <c r="H54" s="8">
        <v>15</v>
      </c>
      <c r="I54" s="8">
        <v>22</v>
      </c>
      <c r="J54" s="8">
        <v>62</v>
      </c>
      <c r="M54" s="4">
        <v>50</v>
      </c>
      <c r="N54" s="8">
        <v>25</v>
      </c>
      <c r="O54" s="8">
        <v>15</v>
      </c>
      <c r="P54" s="8">
        <v>22</v>
      </c>
    </row>
    <row r="55" spans="1:16">
      <c r="A55" t="s">
        <v>22</v>
      </c>
      <c r="B55">
        <v>53</v>
      </c>
      <c r="C55">
        <v>20</v>
      </c>
      <c r="D55" s="39" t="s">
        <v>93</v>
      </c>
      <c r="F55" s="4">
        <v>51</v>
      </c>
      <c r="G55" s="8">
        <v>20</v>
      </c>
      <c r="H55" s="8">
        <v>17</v>
      </c>
      <c r="I55" s="8">
        <v>28</v>
      </c>
      <c r="J55" s="8">
        <v>65</v>
      </c>
      <c r="M55" s="4">
        <v>51</v>
      </c>
      <c r="N55" s="8">
        <v>20</v>
      </c>
      <c r="O55" s="8">
        <v>17</v>
      </c>
      <c r="P55" s="8">
        <v>28</v>
      </c>
    </row>
    <row r="56" spans="1:16">
      <c r="A56" t="s">
        <v>22</v>
      </c>
      <c r="B56">
        <v>54</v>
      </c>
      <c r="C56">
        <v>26</v>
      </c>
      <c r="D56" s="43" t="s">
        <v>66</v>
      </c>
      <c r="F56" s="4">
        <v>52</v>
      </c>
      <c r="G56" s="8">
        <v>19</v>
      </c>
      <c r="H56" s="8">
        <v>17</v>
      </c>
      <c r="I56" s="8">
        <v>16</v>
      </c>
      <c r="J56" s="8">
        <v>52</v>
      </c>
      <c r="M56" s="4">
        <v>52</v>
      </c>
      <c r="N56" s="8">
        <v>19</v>
      </c>
      <c r="O56" s="8">
        <v>17</v>
      </c>
      <c r="P56" s="8">
        <v>16</v>
      </c>
    </row>
    <row r="57" spans="1:16">
      <c r="A57" t="s">
        <v>22</v>
      </c>
      <c r="B57">
        <v>55</v>
      </c>
      <c r="C57">
        <v>19</v>
      </c>
      <c r="F57" s="4">
        <v>53</v>
      </c>
      <c r="G57" s="8">
        <v>14</v>
      </c>
      <c r="H57" s="8">
        <v>20</v>
      </c>
      <c r="I57" s="8">
        <v>15</v>
      </c>
      <c r="J57" s="8">
        <v>49</v>
      </c>
      <c r="M57" s="4">
        <v>53</v>
      </c>
      <c r="N57" s="8">
        <v>14</v>
      </c>
      <c r="O57" s="8">
        <v>20</v>
      </c>
      <c r="P57" s="8">
        <v>15</v>
      </c>
    </row>
    <row r="58" spans="1:16">
      <c r="A58" t="s">
        <v>22</v>
      </c>
      <c r="B58">
        <v>56</v>
      </c>
      <c r="C58">
        <v>21</v>
      </c>
      <c r="D58" s="39" t="s">
        <v>51</v>
      </c>
      <c r="F58" s="4">
        <v>54</v>
      </c>
      <c r="G58" s="8">
        <v>20</v>
      </c>
      <c r="H58" s="8">
        <v>26</v>
      </c>
      <c r="I58" s="8">
        <v>23</v>
      </c>
      <c r="J58" s="8">
        <v>69</v>
      </c>
      <c r="M58" s="4">
        <v>54</v>
      </c>
      <c r="N58" s="8">
        <v>20</v>
      </c>
      <c r="O58" s="8">
        <v>26</v>
      </c>
      <c r="P58" s="8">
        <v>23</v>
      </c>
    </row>
    <row r="59" spans="1:16">
      <c r="A59" t="s">
        <v>22</v>
      </c>
      <c r="B59">
        <v>57</v>
      </c>
      <c r="C59">
        <v>17</v>
      </c>
      <c r="D59" s="42" t="s">
        <v>25</v>
      </c>
      <c r="F59" s="4">
        <v>55</v>
      </c>
      <c r="G59" s="8">
        <v>22</v>
      </c>
      <c r="H59" s="8">
        <v>19</v>
      </c>
      <c r="I59" s="8">
        <v>17</v>
      </c>
      <c r="J59" s="8">
        <v>58</v>
      </c>
      <c r="M59" s="4">
        <v>55</v>
      </c>
      <c r="N59" s="8">
        <v>22</v>
      </c>
      <c r="O59" s="8">
        <v>19</v>
      </c>
      <c r="P59" s="8">
        <v>17</v>
      </c>
    </row>
    <row r="60" spans="1:16">
      <c r="A60" t="s">
        <v>22</v>
      </c>
      <c r="B60">
        <v>58</v>
      </c>
      <c r="C60">
        <v>18</v>
      </c>
      <c r="D60" s="40" t="s">
        <v>94</v>
      </c>
      <c r="F60" s="4">
        <v>56</v>
      </c>
      <c r="G60" s="8">
        <v>16</v>
      </c>
      <c r="H60" s="8">
        <v>21</v>
      </c>
      <c r="I60" s="8">
        <v>15</v>
      </c>
      <c r="J60" s="8">
        <v>52</v>
      </c>
      <c r="M60" s="4">
        <v>56</v>
      </c>
      <c r="N60" s="8">
        <v>16</v>
      </c>
      <c r="O60" s="8">
        <v>21</v>
      </c>
      <c r="P60" s="8">
        <v>15</v>
      </c>
    </row>
    <row r="61" spans="1:16">
      <c r="A61" t="s">
        <v>22</v>
      </c>
      <c r="B61">
        <v>59</v>
      </c>
      <c r="C61">
        <v>13</v>
      </c>
      <c r="D61" s="40" t="s">
        <v>95</v>
      </c>
      <c r="F61" s="4">
        <v>57</v>
      </c>
      <c r="G61" s="8">
        <v>16</v>
      </c>
      <c r="H61" s="8">
        <v>17</v>
      </c>
      <c r="I61" s="8">
        <v>9</v>
      </c>
      <c r="J61" s="8">
        <v>42</v>
      </c>
      <c r="M61" s="4">
        <v>57</v>
      </c>
      <c r="N61" s="8">
        <v>16</v>
      </c>
      <c r="O61" s="8">
        <v>17</v>
      </c>
      <c r="P61" s="8">
        <v>9</v>
      </c>
    </row>
    <row r="62" spans="1:16">
      <c r="A62" t="s">
        <v>22</v>
      </c>
      <c r="B62">
        <v>60</v>
      </c>
      <c r="C62">
        <v>9</v>
      </c>
      <c r="F62" s="4">
        <v>58</v>
      </c>
      <c r="G62" s="8">
        <v>17</v>
      </c>
      <c r="H62" s="8">
        <v>18</v>
      </c>
      <c r="I62" s="8">
        <v>15</v>
      </c>
      <c r="J62" s="8">
        <v>50</v>
      </c>
      <c r="M62" s="4">
        <v>58</v>
      </c>
      <c r="N62" s="8">
        <v>17</v>
      </c>
      <c r="O62" s="8">
        <v>18</v>
      </c>
      <c r="P62" s="8">
        <v>15</v>
      </c>
    </row>
    <row r="63" spans="1:16">
      <c r="A63" t="s">
        <v>22</v>
      </c>
      <c r="B63">
        <v>61</v>
      </c>
      <c r="C63">
        <v>8</v>
      </c>
      <c r="D63" s="39" t="s">
        <v>90</v>
      </c>
      <c r="F63" s="4">
        <v>59</v>
      </c>
      <c r="G63" s="8">
        <v>5</v>
      </c>
      <c r="H63" s="8">
        <v>13</v>
      </c>
      <c r="I63" s="8">
        <v>14</v>
      </c>
      <c r="J63" s="8">
        <v>32</v>
      </c>
      <c r="M63" s="4">
        <v>59</v>
      </c>
      <c r="N63" s="8">
        <v>5</v>
      </c>
      <c r="O63" s="8">
        <v>13</v>
      </c>
      <c r="P63" s="8">
        <v>14</v>
      </c>
    </row>
    <row r="64" spans="1:16">
      <c r="A64" t="s">
        <v>22</v>
      </c>
      <c r="B64">
        <v>62</v>
      </c>
      <c r="C64">
        <v>11</v>
      </c>
      <c r="D64" s="43" t="s">
        <v>96</v>
      </c>
      <c r="F64" s="4">
        <v>60</v>
      </c>
      <c r="G64" s="8">
        <v>13</v>
      </c>
      <c r="H64" s="8">
        <v>9</v>
      </c>
      <c r="I64" s="8">
        <v>18</v>
      </c>
      <c r="J64" s="8">
        <v>40</v>
      </c>
      <c r="M64" s="4">
        <v>60</v>
      </c>
      <c r="N64" s="8">
        <v>13</v>
      </c>
      <c r="O64" s="8">
        <v>9</v>
      </c>
      <c r="P64" s="8">
        <v>18</v>
      </c>
    </row>
    <row r="65" spans="1:16">
      <c r="A65" t="s">
        <v>22</v>
      </c>
      <c r="B65">
        <v>63</v>
      </c>
      <c r="C65">
        <v>8</v>
      </c>
      <c r="D65" s="39" t="s">
        <v>51</v>
      </c>
      <c r="F65" s="4">
        <v>61</v>
      </c>
      <c r="G65" s="8">
        <v>16</v>
      </c>
      <c r="H65" s="8">
        <v>8</v>
      </c>
      <c r="I65" s="8">
        <v>11</v>
      </c>
      <c r="J65" s="8">
        <v>35</v>
      </c>
      <c r="M65" s="4">
        <v>61</v>
      </c>
      <c r="N65" s="8">
        <v>16</v>
      </c>
      <c r="O65" s="8">
        <v>8</v>
      </c>
      <c r="P65" s="8">
        <v>11</v>
      </c>
    </row>
    <row r="66" spans="1:16">
      <c r="A66" t="s">
        <v>22</v>
      </c>
      <c r="B66">
        <v>64</v>
      </c>
      <c r="C66">
        <v>13</v>
      </c>
      <c r="D66" s="42" t="s">
        <v>97</v>
      </c>
      <c r="F66" s="4">
        <v>62</v>
      </c>
      <c r="G66" s="8">
        <v>14</v>
      </c>
      <c r="H66" s="8">
        <v>11</v>
      </c>
      <c r="I66" s="8">
        <v>16</v>
      </c>
      <c r="J66" s="8">
        <v>41</v>
      </c>
      <c r="M66" s="4">
        <v>62</v>
      </c>
      <c r="N66" s="8">
        <v>14</v>
      </c>
      <c r="O66" s="8">
        <v>11</v>
      </c>
      <c r="P66" s="8">
        <v>16</v>
      </c>
    </row>
    <row r="67" spans="1:16">
      <c r="A67" t="s">
        <v>22</v>
      </c>
      <c r="B67">
        <v>65</v>
      </c>
      <c r="C67">
        <v>9</v>
      </c>
      <c r="D67" s="40" t="s">
        <v>98</v>
      </c>
      <c r="F67" s="4">
        <v>63</v>
      </c>
      <c r="G67" s="8">
        <v>12</v>
      </c>
      <c r="H67" s="8">
        <v>8</v>
      </c>
      <c r="I67" s="8">
        <v>20</v>
      </c>
      <c r="J67" s="8">
        <v>40</v>
      </c>
      <c r="M67" s="4">
        <v>63</v>
      </c>
      <c r="N67" s="8">
        <v>12</v>
      </c>
      <c r="O67" s="8">
        <v>8</v>
      </c>
      <c r="P67" s="8">
        <v>20</v>
      </c>
    </row>
    <row r="68" spans="1:16">
      <c r="A68" t="s">
        <v>22</v>
      </c>
      <c r="B68">
        <v>66</v>
      </c>
      <c r="C68">
        <v>14</v>
      </c>
      <c r="D68" s="39" t="s">
        <v>99</v>
      </c>
      <c r="F68" s="4">
        <v>64</v>
      </c>
      <c r="G68" s="8">
        <v>8</v>
      </c>
      <c r="H68" s="8">
        <v>13</v>
      </c>
      <c r="I68" s="8">
        <v>18</v>
      </c>
      <c r="J68" s="8">
        <v>39</v>
      </c>
      <c r="M68" s="4">
        <v>64</v>
      </c>
      <c r="N68" s="8">
        <v>8</v>
      </c>
      <c r="O68" s="8">
        <v>13</v>
      </c>
      <c r="P68" s="8">
        <v>18</v>
      </c>
    </row>
    <row r="69" spans="1:16">
      <c r="A69" t="s">
        <v>22</v>
      </c>
      <c r="B69">
        <v>67</v>
      </c>
      <c r="C69">
        <v>5</v>
      </c>
      <c r="D69" s="39" t="s">
        <v>100</v>
      </c>
      <c r="F69" s="4">
        <v>65</v>
      </c>
      <c r="G69" s="8">
        <v>9</v>
      </c>
      <c r="H69" s="8">
        <v>9</v>
      </c>
      <c r="I69" s="8">
        <v>13</v>
      </c>
      <c r="J69" s="8">
        <v>31</v>
      </c>
      <c r="M69" s="4">
        <v>65</v>
      </c>
      <c r="N69" s="8">
        <v>9</v>
      </c>
      <c r="O69" s="8">
        <v>9</v>
      </c>
      <c r="P69" s="8">
        <v>13</v>
      </c>
    </row>
    <row r="70" spans="1:16">
      <c r="A70" t="s">
        <v>22</v>
      </c>
      <c r="B70">
        <v>68</v>
      </c>
      <c r="C70">
        <v>10</v>
      </c>
      <c r="D70" s="43" t="s">
        <v>66</v>
      </c>
      <c r="F70" s="4">
        <v>66</v>
      </c>
      <c r="G70" s="8">
        <v>5</v>
      </c>
      <c r="H70" s="8">
        <v>14</v>
      </c>
      <c r="I70" s="8">
        <v>8</v>
      </c>
      <c r="J70" s="8">
        <v>27</v>
      </c>
      <c r="M70" s="4">
        <v>66</v>
      </c>
      <c r="N70" s="8">
        <v>5</v>
      </c>
      <c r="O70" s="8">
        <v>14</v>
      </c>
      <c r="P70" s="8">
        <v>8</v>
      </c>
    </row>
    <row r="71" spans="1:16">
      <c r="A71" t="s">
        <v>22</v>
      </c>
      <c r="B71">
        <v>69</v>
      </c>
      <c r="C71">
        <v>11</v>
      </c>
      <c r="D71" s="39" t="s">
        <v>100</v>
      </c>
      <c r="F71" s="4">
        <v>67</v>
      </c>
      <c r="G71" s="8">
        <v>7</v>
      </c>
      <c r="H71" s="8">
        <v>5</v>
      </c>
      <c r="I71" s="8">
        <v>5</v>
      </c>
      <c r="J71" s="8">
        <v>17</v>
      </c>
      <c r="M71" s="4">
        <v>67</v>
      </c>
      <c r="N71" s="8">
        <v>7</v>
      </c>
      <c r="O71" s="8">
        <v>5</v>
      </c>
      <c r="P71" s="8">
        <v>5</v>
      </c>
    </row>
    <row r="72" spans="1:16">
      <c r="A72" t="s">
        <v>22</v>
      </c>
      <c r="B72">
        <v>70</v>
      </c>
      <c r="C72">
        <v>8</v>
      </c>
      <c r="D72" s="39" t="s">
        <v>101</v>
      </c>
      <c r="F72" s="4">
        <v>68</v>
      </c>
      <c r="G72" s="8">
        <v>9</v>
      </c>
      <c r="H72" s="8">
        <v>10</v>
      </c>
      <c r="I72" s="8">
        <v>6</v>
      </c>
      <c r="J72" s="8">
        <v>25</v>
      </c>
      <c r="M72" s="4">
        <v>68</v>
      </c>
      <c r="N72" s="8">
        <v>9</v>
      </c>
      <c r="O72" s="8">
        <v>10</v>
      </c>
      <c r="P72" s="8">
        <v>6</v>
      </c>
    </row>
    <row r="73" spans="1:16">
      <c r="A73" t="s">
        <v>22</v>
      </c>
      <c r="B73">
        <v>71</v>
      </c>
      <c r="C73">
        <v>6</v>
      </c>
      <c r="F73" s="4">
        <v>69</v>
      </c>
      <c r="G73" s="8">
        <v>9</v>
      </c>
      <c r="H73" s="8">
        <v>11</v>
      </c>
      <c r="I73" s="8">
        <v>11</v>
      </c>
      <c r="J73" s="8">
        <v>31</v>
      </c>
      <c r="M73" s="4">
        <v>69</v>
      </c>
      <c r="N73" s="8">
        <v>9</v>
      </c>
      <c r="O73" s="8">
        <v>11</v>
      </c>
      <c r="P73" s="8">
        <v>11</v>
      </c>
    </row>
    <row r="74" spans="1:16">
      <c r="A74" t="s">
        <v>22</v>
      </c>
      <c r="B74">
        <v>72</v>
      </c>
      <c r="C74">
        <v>9</v>
      </c>
      <c r="F74" s="4">
        <v>70</v>
      </c>
      <c r="G74" s="8">
        <v>6</v>
      </c>
      <c r="H74" s="8">
        <v>8</v>
      </c>
      <c r="I74" s="8">
        <v>7</v>
      </c>
      <c r="J74" s="8">
        <v>21</v>
      </c>
      <c r="M74" s="4">
        <v>70</v>
      </c>
      <c r="N74" s="8">
        <v>6</v>
      </c>
      <c r="O74" s="8">
        <v>8</v>
      </c>
      <c r="P74" s="8">
        <v>7</v>
      </c>
    </row>
    <row r="75" spans="1:16">
      <c r="A75" t="s">
        <v>22</v>
      </c>
      <c r="B75">
        <v>73</v>
      </c>
      <c r="C75">
        <v>3</v>
      </c>
      <c r="F75" s="4">
        <v>71</v>
      </c>
      <c r="G75" s="8">
        <v>7</v>
      </c>
      <c r="H75" s="8">
        <v>6</v>
      </c>
      <c r="I75" s="8">
        <v>15</v>
      </c>
      <c r="J75" s="8">
        <v>28</v>
      </c>
      <c r="M75" s="4">
        <v>71</v>
      </c>
      <c r="N75" s="8">
        <v>7</v>
      </c>
      <c r="O75" s="8">
        <v>6</v>
      </c>
      <c r="P75" s="8">
        <v>15</v>
      </c>
    </row>
    <row r="76" spans="1:16">
      <c r="A76" t="s">
        <v>22</v>
      </c>
      <c r="B76">
        <v>74</v>
      </c>
      <c r="C76">
        <v>8</v>
      </c>
      <c r="F76" s="4">
        <v>72</v>
      </c>
      <c r="G76" s="8">
        <v>12</v>
      </c>
      <c r="H76" s="8">
        <v>9</v>
      </c>
      <c r="I76" s="8">
        <v>6</v>
      </c>
      <c r="J76" s="8">
        <v>27</v>
      </c>
      <c r="M76" s="4">
        <v>72</v>
      </c>
      <c r="N76" s="8">
        <v>12</v>
      </c>
      <c r="O76" s="8">
        <v>9</v>
      </c>
      <c r="P76" s="8">
        <v>6</v>
      </c>
    </row>
    <row r="77" spans="1:16">
      <c r="A77" t="s">
        <v>22</v>
      </c>
      <c r="B77">
        <v>75</v>
      </c>
      <c r="C77">
        <v>3</v>
      </c>
      <c r="F77" s="4">
        <v>73</v>
      </c>
      <c r="G77" s="8">
        <v>12</v>
      </c>
      <c r="H77" s="8">
        <v>3</v>
      </c>
      <c r="I77" s="8">
        <v>7</v>
      </c>
      <c r="J77" s="8">
        <v>22</v>
      </c>
      <c r="M77" s="4">
        <v>73</v>
      </c>
      <c r="N77" s="8">
        <v>12</v>
      </c>
      <c r="O77" s="8">
        <v>3</v>
      </c>
      <c r="P77" s="8">
        <v>7</v>
      </c>
    </row>
    <row r="78" spans="1:16">
      <c r="A78" t="s">
        <v>22</v>
      </c>
      <c r="B78">
        <v>76</v>
      </c>
      <c r="C78">
        <v>6</v>
      </c>
      <c r="F78" s="4">
        <v>74</v>
      </c>
      <c r="G78" s="8">
        <v>13</v>
      </c>
      <c r="H78" s="8">
        <v>8</v>
      </c>
      <c r="I78" s="8">
        <v>15</v>
      </c>
      <c r="J78" s="8">
        <v>36</v>
      </c>
      <c r="M78" s="4">
        <v>74</v>
      </c>
      <c r="N78" s="8">
        <v>13</v>
      </c>
      <c r="O78" s="8">
        <v>8</v>
      </c>
      <c r="P78" s="8">
        <v>15</v>
      </c>
    </row>
    <row r="79" spans="1:16">
      <c r="A79" t="s">
        <v>22</v>
      </c>
      <c r="B79">
        <v>77</v>
      </c>
      <c r="C79">
        <v>5</v>
      </c>
      <c r="F79" s="4">
        <v>75</v>
      </c>
      <c r="G79" s="8">
        <v>8</v>
      </c>
      <c r="H79" s="8">
        <v>3</v>
      </c>
      <c r="I79" s="8">
        <v>5</v>
      </c>
      <c r="J79" s="8">
        <v>16</v>
      </c>
      <c r="M79" s="4">
        <v>75</v>
      </c>
      <c r="N79" s="8">
        <v>8</v>
      </c>
      <c r="O79" s="8">
        <v>3</v>
      </c>
      <c r="P79" s="8">
        <v>5</v>
      </c>
    </row>
    <row r="80" spans="1:16">
      <c r="A80" t="s">
        <v>22</v>
      </c>
      <c r="B80">
        <v>78</v>
      </c>
      <c r="C80">
        <v>6</v>
      </c>
      <c r="F80" s="4">
        <v>76</v>
      </c>
      <c r="G80" s="8">
        <v>13</v>
      </c>
      <c r="H80" s="8">
        <v>6</v>
      </c>
      <c r="I80" s="8">
        <v>6</v>
      </c>
      <c r="J80" s="8">
        <v>25</v>
      </c>
      <c r="M80" s="4">
        <v>76</v>
      </c>
      <c r="N80" s="8">
        <v>13</v>
      </c>
      <c r="O80" s="8">
        <v>6</v>
      </c>
      <c r="P80" s="8">
        <v>6</v>
      </c>
    </row>
    <row r="81" spans="1:16">
      <c r="A81" t="s">
        <v>22</v>
      </c>
      <c r="B81">
        <v>79</v>
      </c>
      <c r="C81">
        <v>5</v>
      </c>
      <c r="F81" s="4">
        <v>77</v>
      </c>
      <c r="G81" s="8">
        <v>9</v>
      </c>
      <c r="H81" s="8">
        <v>5</v>
      </c>
      <c r="I81" s="8">
        <v>6</v>
      </c>
      <c r="J81" s="8">
        <v>20</v>
      </c>
      <c r="M81" s="4">
        <v>77</v>
      </c>
      <c r="N81" s="8">
        <v>9</v>
      </c>
      <c r="O81" s="8">
        <v>5</v>
      </c>
      <c r="P81" s="8">
        <v>6</v>
      </c>
    </row>
    <row r="82" spans="1:16">
      <c r="A82" t="s">
        <v>22</v>
      </c>
      <c r="B82">
        <v>80</v>
      </c>
      <c r="C82">
        <v>5</v>
      </c>
      <c r="F82" s="4">
        <v>78</v>
      </c>
      <c r="G82" s="8">
        <v>7</v>
      </c>
      <c r="H82" s="8">
        <v>6</v>
      </c>
      <c r="I82" s="8">
        <v>5</v>
      </c>
      <c r="J82" s="8">
        <v>18</v>
      </c>
      <c r="M82" s="4">
        <v>78</v>
      </c>
      <c r="N82" s="8">
        <v>7</v>
      </c>
      <c r="O82" s="8">
        <v>6</v>
      </c>
      <c r="P82" s="8">
        <v>5</v>
      </c>
    </row>
    <row r="83" spans="1:16">
      <c r="A83" t="s">
        <v>22</v>
      </c>
      <c r="B83">
        <v>81</v>
      </c>
      <c r="C83">
        <v>3</v>
      </c>
      <c r="F83" s="4">
        <v>79</v>
      </c>
      <c r="G83" s="8">
        <v>11</v>
      </c>
      <c r="H83" s="8">
        <v>5</v>
      </c>
      <c r="I83" s="8">
        <v>8</v>
      </c>
      <c r="J83" s="8">
        <v>24</v>
      </c>
      <c r="M83" s="4">
        <v>79</v>
      </c>
      <c r="N83" s="8">
        <v>11</v>
      </c>
      <c r="O83" s="8">
        <v>5</v>
      </c>
      <c r="P83" s="8">
        <v>8</v>
      </c>
    </row>
    <row r="84" spans="1:16">
      <c r="A84" t="s">
        <v>22</v>
      </c>
      <c r="B84">
        <v>82</v>
      </c>
      <c r="C84">
        <v>5</v>
      </c>
      <c r="F84" s="4">
        <v>80</v>
      </c>
      <c r="G84" s="8">
        <v>5</v>
      </c>
      <c r="H84" s="8">
        <v>5</v>
      </c>
      <c r="I84" s="8">
        <v>8</v>
      </c>
      <c r="J84" s="8">
        <v>18</v>
      </c>
      <c r="M84" s="4">
        <v>80</v>
      </c>
      <c r="N84" s="8">
        <v>5</v>
      </c>
      <c r="O84" s="8">
        <v>5</v>
      </c>
      <c r="P84" s="8">
        <v>8</v>
      </c>
    </row>
    <row r="85" spans="1:16">
      <c r="A85" t="s">
        <v>22</v>
      </c>
      <c r="B85">
        <v>83</v>
      </c>
      <c r="C85">
        <v>4</v>
      </c>
      <c r="F85" s="4">
        <v>81</v>
      </c>
      <c r="G85" s="8">
        <v>7</v>
      </c>
      <c r="H85" s="8">
        <v>3</v>
      </c>
      <c r="I85" s="8">
        <v>6</v>
      </c>
      <c r="J85" s="8">
        <v>16</v>
      </c>
      <c r="M85" s="4">
        <v>81</v>
      </c>
      <c r="N85" s="8">
        <v>7</v>
      </c>
      <c r="O85" s="8">
        <v>3</v>
      </c>
      <c r="P85" s="8">
        <v>6</v>
      </c>
    </row>
    <row r="86" spans="1:16">
      <c r="A86" t="s">
        <v>22</v>
      </c>
      <c r="B86">
        <v>84</v>
      </c>
      <c r="C86">
        <v>7</v>
      </c>
      <c r="F86" s="4">
        <v>82</v>
      </c>
      <c r="G86" s="8">
        <v>7</v>
      </c>
      <c r="H86" s="8">
        <v>5</v>
      </c>
      <c r="I86" s="8">
        <v>6</v>
      </c>
      <c r="J86" s="8">
        <v>18</v>
      </c>
      <c r="M86" s="4">
        <v>82</v>
      </c>
      <c r="N86" s="8">
        <v>7</v>
      </c>
      <c r="O86" s="8">
        <v>5</v>
      </c>
      <c r="P86" s="8">
        <v>6</v>
      </c>
    </row>
    <row r="87" spans="1:16">
      <c r="A87" t="s">
        <v>22</v>
      </c>
      <c r="B87">
        <v>85</v>
      </c>
      <c r="C87">
        <v>5</v>
      </c>
      <c r="F87" s="4">
        <v>83</v>
      </c>
      <c r="G87" s="8">
        <v>2</v>
      </c>
      <c r="H87" s="8">
        <v>4</v>
      </c>
      <c r="I87" s="8">
        <v>3</v>
      </c>
      <c r="J87" s="8">
        <v>9</v>
      </c>
      <c r="M87" s="4">
        <v>83</v>
      </c>
      <c r="N87" s="8">
        <v>2</v>
      </c>
      <c r="O87" s="8">
        <v>4</v>
      </c>
      <c r="P87" s="8">
        <v>3</v>
      </c>
    </row>
    <row r="88" spans="1:16">
      <c r="A88" t="s">
        <v>22</v>
      </c>
      <c r="B88">
        <v>86</v>
      </c>
      <c r="C88">
        <v>8</v>
      </c>
      <c r="F88" s="4">
        <v>84</v>
      </c>
      <c r="G88" s="8">
        <v>7</v>
      </c>
      <c r="H88" s="8">
        <v>7</v>
      </c>
      <c r="I88" s="8">
        <v>5</v>
      </c>
      <c r="J88" s="8">
        <v>19</v>
      </c>
      <c r="M88" s="4">
        <v>84</v>
      </c>
      <c r="N88" s="8">
        <v>7</v>
      </c>
      <c r="O88" s="8">
        <v>7</v>
      </c>
      <c r="P88" s="8">
        <v>5</v>
      </c>
    </row>
    <row r="89" spans="1:16">
      <c r="A89" t="s">
        <v>22</v>
      </c>
      <c r="B89">
        <v>87</v>
      </c>
      <c r="C89">
        <v>4</v>
      </c>
      <c r="F89" s="4">
        <v>85</v>
      </c>
      <c r="G89" s="8">
        <v>3</v>
      </c>
      <c r="H89" s="8">
        <v>5</v>
      </c>
      <c r="I89" s="8">
        <v>2</v>
      </c>
      <c r="J89" s="8">
        <v>10</v>
      </c>
      <c r="M89" s="4">
        <v>85</v>
      </c>
      <c r="N89" s="8">
        <v>3</v>
      </c>
      <c r="O89" s="8">
        <v>5</v>
      </c>
      <c r="P89" s="8">
        <v>2</v>
      </c>
    </row>
    <row r="90" spans="1:16">
      <c r="A90" t="s">
        <v>22</v>
      </c>
      <c r="B90">
        <v>88</v>
      </c>
      <c r="C90">
        <v>5</v>
      </c>
      <c r="F90" s="4">
        <v>86</v>
      </c>
      <c r="G90" s="8">
        <v>2</v>
      </c>
      <c r="H90" s="8">
        <v>8</v>
      </c>
      <c r="I90" s="8">
        <v>6</v>
      </c>
      <c r="J90" s="8">
        <v>16</v>
      </c>
      <c r="M90" s="4">
        <v>86</v>
      </c>
      <c r="N90" s="8">
        <v>2</v>
      </c>
      <c r="O90" s="8">
        <v>8</v>
      </c>
      <c r="P90" s="8">
        <v>6</v>
      </c>
    </row>
    <row r="91" spans="1:16">
      <c r="A91" t="s">
        <v>22</v>
      </c>
      <c r="B91">
        <v>89</v>
      </c>
      <c r="C91">
        <v>4</v>
      </c>
      <c r="F91" s="4">
        <v>87</v>
      </c>
      <c r="G91" s="8">
        <v>4</v>
      </c>
      <c r="H91" s="8">
        <v>4</v>
      </c>
      <c r="I91" s="8">
        <v>1</v>
      </c>
      <c r="J91" s="8">
        <v>9</v>
      </c>
      <c r="M91" s="4">
        <v>87</v>
      </c>
      <c r="N91" s="8">
        <v>4</v>
      </c>
      <c r="O91" s="8">
        <v>4</v>
      </c>
      <c r="P91" s="8">
        <v>1</v>
      </c>
    </row>
    <row r="92" spans="1:16">
      <c r="A92" t="s">
        <v>22</v>
      </c>
      <c r="B92">
        <v>90</v>
      </c>
      <c r="C92">
        <v>8</v>
      </c>
      <c r="F92" s="4">
        <v>88</v>
      </c>
      <c r="G92" s="8">
        <v>2</v>
      </c>
      <c r="H92" s="8">
        <v>5</v>
      </c>
      <c r="I92" s="8">
        <v>9</v>
      </c>
      <c r="J92" s="8">
        <v>16</v>
      </c>
      <c r="M92" s="4">
        <v>88</v>
      </c>
      <c r="N92" s="8">
        <v>2</v>
      </c>
      <c r="O92" s="8">
        <v>5</v>
      </c>
      <c r="P92" s="8">
        <v>9</v>
      </c>
    </row>
    <row r="93" spans="1:16">
      <c r="A93" t="s">
        <v>22</v>
      </c>
      <c r="B93">
        <v>91</v>
      </c>
      <c r="C93">
        <v>2</v>
      </c>
      <c r="F93" s="4">
        <v>89</v>
      </c>
      <c r="G93" s="8">
        <v>3</v>
      </c>
      <c r="H93" s="8">
        <v>4</v>
      </c>
      <c r="I93" s="8">
        <v>2</v>
      </c>
      <c r="J93" s="8">
        <v>9</v>
      </c>
      <c r="M93" s="4">
        <v>89</v>
      </c>
      <c r="N93" s="8">
        <v>3</v>
      </c>
      <c r="O93" s="8">
        <v>4</v>
      </c>
      <c r="P93" s="8">
        <v>2</v>
      </c>
    </row>
    <row r="94" spans="1:16">
      <c r="A94" t="s">
        <v>22</v>
      </c>
      <c r="B94">
        <v>92</v>
      </c>
      <c r="C94">
        <v>5</v>
      </c>
      <c r="F94" s="4">
        <v>90</v>
      </c>
      <c r="G94" s="8">
        <v>6</v>
      </c>
      <c r="H94" s="8">
        <v>8</v>
      </c>
      <c r="I94" s="8">
        <v>7</v>
      </c>
      <c r="J94" s="8">
        <v>21</v>
      </c>
      <c r="M94" s="4">
        <v>90</v>
      </c>
      <c r="N94" s="8">
        <v>6</v>
      </c>
      <c r="O94" s="8">
        <v>8</v>
      </c>
      <c r="P94" s="8">
        <v>7</v>
      </c>
    </row>
    <row r="95" spans="1:16">
      <c r="A95" t="s">
        <v>22</v>
      </c>
      <c r="B95">
        <v>93</v>
      </c>
      <c r="C95">
        <v>1</v>
      </c>
      <c r="F95" s="4">
        <v>91</v>
      </c>
      <c r="G95" s="8">
        <v>8</v>
      </c>
      <c r="H95" s="8">
        <v>2</v>
      </c>
      <c r="I95" s="8">
        <v>4</v>
      </c>
      <c r="J95" s="8">
        <v>14</v>
      </c>
      <c r="M95" s="4">
        <v>91</v>
      </c>
      <c r="N95" s="8">
        <v>8</v>
      </c>
      <c r="O95" s="8">
        <v>2</v>
      </c>
      <c r="P95" s="8">
        <v>4</v>
      </c>
    </row>
    <row r="96" spans="1:16">
      <c r="A96" t="s">
        <v>22</v>
      </c>
      <c r="B96">
        <v>94</v>
      </c>
      <c r="C96">
        <v>2</v>
      </c>
      <c r="F96" s="4">
        <v>92</v>
      </c>
      <c r="G96" s="8">
        <v>4</v>
      </c>
      <c r="H96" s="8">
        <v>5</v>
      </c>
      <c r="I96" s="8">
        <v>2</v>
      </c>
      <c r="J96" s="8">
        <v>11</v>
      </c>
      <c r="M96" s="4">
        <v>92</v>
      </c>
      <c r="N96" s="8">
        <v>4</v>
      </c>
      <c r="O96" s="8">
        <v>5</v>
      </c>
      <c r="P96" s="8">
        <v>2</v>
      </c>
    </row>
    <row r="97" spans="1:16">
      <c r="A97" t="s">
        <v>22</v>
      </c>
      <c r="B97">
        <v>95</v>
      </c>
      <c r="C97">
        <v>3</v>
      </c>
      <c r="F97" s="4">
        <v>93</v>
      </c>
      <c r="G97" s="8">
        <v>2</v>
      </c>
      <c r="H97" s="8">
        <v>1</v>
      </c>
      <c r="I97" s="8">
        <v>9</v>
      </c>
      <c r="J97" s="8">
        <v>12</v>
      </c>
      <c r="M97" s="4">
        <v>93</v>
      </c>
      <c r="N97" s="8">
        <v>2</v>
      </c>
      <c r="O97" s="8">
        <v>1</v>
      </c>
      <c r="P97" s="8">
        <v>9</v>
      </c>
    </row>
    <row r="98" spans="1:16">
      <c r="A98" t="s">
        <v>22</v>
      </c>
      <c r="B98">
        <v>96</v>
      </c>
      <c r="C98">
        <v>2</v>
      </c>
      <c r="F98" s="4">
        <v>94</v>
      </c>
      <c r="G98" s="8">
        <v>6</v>
      </c>
      <c r="H98" s="8">
        <v>2</v>
      </c>
      <c r="I98" s="8">
        <v>3</v>
      </c>
      <c r="J98" s="8">
        <v>11</v>
      </c>
      <c r="M98" s="4">
        <v>94</v>
      </c>
      <c r="N98" s="8">
        <v>6</v>
      </c>
      <c r="O98" s="8">
        <v>2</v>
      </c>
      <c r="P98" s="8">
        <v>3</v>
      </c>
    </row>
    <row r="99" spans="1:16">
      <c r="A99" t="s">
        <v>22</v>
      </c>
      <c r="B99">
        <v>97</v>
      </c>
      <c r="C99">
        <v>2</v>
      </c>
      <c r="F99" s="4">
        <v>95</v>
      </c>
      <c r="G99" s="8">
        <v>3</v>
      </c>
      <c r="H99" s="8">
        <v>3</v>
      </c>
      <c r="I99" s="8">
        <v>5</v>
      </c>
      <c r="J99" s="8">
        <v>11</v>
      </c>
      <c r="M99" s="4">
        <v>95</v>
      </c>
      <c r="N99" s="8">
        <v>3</v>
      </c>
      <c r="O99" s="8">
        <v>3</v>
      </c>
      <c r="P99" s="8">
        <v>5</v>
      </c>
    </row>
    <row r="100" spans="1:16">
      <c r="A100" t="s">
        <v>22</v>
      </c>
      <c r="B100">
        <v>98</v>
      </c>
      <c r="C100">
        <v>2</v>
      </c>
      <c r="F100" s="4">
        <v>96</v>
      </c>
      <c r="G100" s="8">
        <v>2</v>
      </c>
      <c r="H100" s="8">
        <v>2</v>
      </c>
      <c r="I100" s="8">
        <v>3</v>
      </c>
      <c r="J100" s="8">
        <v>7</v>
      </c>
      <c r="M100" s="4">
        <v>96</v>
      </c>
      <c r="N100" s="8">
        <v>2</v>
      </c>
      <c r="O100" s="8">
        <v>2</v>
      </c>
      <c r="P100" s="8">
        <v>3</v>
      </c>
    </row>
    <row r="101" spans="1:16">
      <c r="A101" t="s">
        <v>22</v>
      </c>
      <c r="B101">
        <v>99</v>
      </c>
      <c r="C101">
        <v>2</v>
      </c>
      <c r="F101" s="4">
        <v>97</v>
      </c>
      <c r="G101" s="8">
        <v>3</v>
      </c>
      <c r="H101" s="8">
        <v>2</v>
      </c>
      <c r="I101" s="8">
        <v>4</v>
      </c>
      <c r="J101" s="8">
        <v>9</v>
      </c>
      <c r="M101" s="4">
        <v>97</v>
      </c>
      <c r="N101" s="8">
        <v>3</v>
      </c>
      <c r="O101" s="8">
        <v>2</v>
      </c>
      <c r="P101" s="8">
        <v>4</v>
      </c>
    </row>
    <row r="102" spans="1:16">
      <c r="A102" t="s">
        <v>22</v>
      </c>
      <c r="B102">
        <v>100</v>
      </c>
      <c r="C102">
        <v>3</v>
      </c>
      <c r="F102" s="4">
        <v>98</v>
      </c>
      <c r="G102" s="8">
        <v>2</v>
      </c>
      <c r="H102" s="8">
        <v>2</v>
      </c>
      <c r="I102" s="8">
        <v>2</v>
      </c>
      <c r="J102" s="8">
        <v>6</v>
      </c>
      <c r="M102" s="4">
        <v>98</v>
      </c>
      <c r="N102" s="8">
        <v>2</v>
      </c>
      <c r="O102" s="8">
        <v>2</v>
      </c>
      <c r="P102" s="8">
        <v>2</v>
      </c>
    </row>
    <row r="103" spans="1:16">
      <c r="A103" t="s">
        <v>22</v>
      </c>
      <c r="B103">
        <v>101</v>
      </c>
      <c r="C103">
        <v>1</v>
      </c>
      <c r="F103" s="4">
        <v>99</v>
      </c>
      <c r="G103" s="8">
        <v>3</v>
      </c>
      <c r="H103" s="8">
        <v>2</v>
      </c>
      <c r="I103" s="8">
        <v>5</v>
      </c>
      <c r="J103" s="8">
        <v>10</v>
      </c>
      <c r="M103" s="4">
        <v>99</v>
      </c>
      <c r="N103" s="8">
        <v>3</v>
      </c>
      <c r="O103" s="8">
        <v>2</v>
      </c>
      <c r="P103" s="8">
        <v>5</v>
      </c>
    </row>
    <row r="104" spans="1:16">
      <c r="A104" t="s">
        <v>22</v>
      </c>
      <c r="B104">
        <v>102</v>
      </c>
      <c r="C104">
        <v>6</v>
      </c>
      <c r="F104" s="4">
        <v>100</v>
      </c>
      <c r="G104" s="8">
        <v>2</v>
      </c>
      <c r="H104" s="8">
        <v>3</v>
      </c>
      <c r="I104" s="8">
        <v>3</v>
      </c>
      <c r="J104" s="8">
        <v>8</v>
      </c>
      <c r="M104" s="4">
        <v>100</v>
      </c>
      <c r="N104" s="8">
        <v>2</v>
      </c>
      <c r="O104" s="8">
        <v>3</v>
      </c>
      <c r="P104" s="8">
        <v>3</v>
      </c>
    </row>
    <row r="105" spans="1:16">
      <c r="A105" t="s">
        <v>22</v>
      </c>
      <c r="B105">
        <v>103</v>
      </c>
      <c r="C105">
        <v>2</v>
      </c>
      <c r="F105" s="4">
        <v>101</v>
      </c>
      <c r="G105" s="8">
        <v>5</v>
      </c>
      <c r="H105" s="8">
        <v>1</v>
      </c>
      <c r="I105" s="8">
        <v>2</v>
      </c>
      <c r="J105" s="8">
        <v>8</v>
      </c>
      <c r="M105" s="4">
        <v>101</v>
      </c>
      <c r="N105" s="8">
        <v>5</v>
      </c>
      <c r="O105" s="8">
        <v>1</v>
      </c>
      <c r="P105" s="8">
        <v>2</v>
      </c>
    </row>
    <row r="106" spans="1:16">
      <c r="A106" t="s">
        <v>22</v>
      </c>
      <c r="B106">
        <v>104</v>
      </c>
      <c r="C106">
        <v>2</v>
      </c>
      <c r="F106" s="4">
        <v>102</v>
      </c>
      <c r="G106" s="8">
        <v>5</v>
      </c>
      <c r="H106" s="8">
        <v>6</v>
      </c>
      <c r="I106" s="8">
        <v>2</v>
      </c>
      <c r="J106" s="8">
        <v>13</v>
      </c>
      <c r="M106" s="4">
        <v>102</v>
      </c>
      <c r="N106" s="8">
        <v>5</v>
      </c>
      <c r="O106" s="8">
        <v>6</v>
      </c>
      <c r="P106" s="8">
        <v>2</v>
      </c>
    </row>
    <row r="107" spans="1:16">
      <c r="A107" t="s">
        <v>22</v>
      </c>
      <c r="B107">
        <v>105</v>
      </c>
      <c r="C107">
        <v>2</v>
      </c>
      <c r="F107" s="4">
        <v>103</v>
      </c>
      <c r="G107" s="8">
        <v>3</v>
      </c>
      <c r="H107" s="8">
        <v>2</v>
      </c>
      <c r="I107" s="8">
        <v>2</v>
      </c>
      <c r="J107" s="8">
        <v>7</v>
      </c>
      <c r="M107" s="4">
        <v>103</v>
      </c>
      <c r="N107" s="8">
        <v>3</v>
      </c>
      <c r="O107" s="8">
        <v>2</v>
      </c>
      <c r="P107" s="8">
        <v>2</v>
      </c>
    </row>
    <row r="108" spans="1:16">
      <c r="A108" t="s">
        <v>22</v>
      </c>
      <c r="B108">
        <v>106</v>
      </c>
      <c r="C108">
        <v>4</v>
      </c>
      <c r="F108" s="4">
        <v>104</v>
      </c>
      <c r="G108" s="8">
        <v>3</v>
      </c>
      <c r="H108" s="8">
        <v>2</v>
      </c>
      <c r="I108" s="8">
        <v>1</v>
      </c>
      <c r="J108" s="8">
        <v>6</v>
      </c>
      <c r="M108" s="4">
        <v>104</v>
      </c>
      <c r="N108" s="8">
        <v>3</v>
      </c>
      <c r="O108" s="8">
        <v>2</v>
      </c>
      <c r="P108" s="8">
        <v>1</v>
      </c>
    </row>
    <row r="109" spans="1:16">
      <c r="A109" t="s">
        <v>22</v>
      </c>
      <c r="B109">
        <v>107</v>
      </c>
      <c r="C109">
        <v>1</v>
      </c>
      <c r="F109" s="4">
        <v>105</v>
      </c>
      <c r="G109" s="8">
        <v>2</v>
      </c>
      <c r="H109" s="8">
        <v>2</v>
      </c>
      <c r="I109" s="8">
        <v>2</v>
      </c>
      <c r="J109" s="8">
        <v>6</v>
      </c>
      <c r="M109" s="4">
        <v>105</v>
      </c>
      <c r="N109" s="8">
        <v>2</v>
      </c>
      <c r="O109" s="8">
        <v>2</v>
      </c>
      <c r="P109" s="8">
        <v>2</v>
      </c>
    </row>
    <row r="110" spans="1:16">
      <c r="A110" t="s">
        <v>22</v>
      </c>
      <c r="B110">
        <v>108</v>
      </c>
      <c r="C110">
        <v>2</v>
      </c>
      <c r="F110" s="4">
        <v>106</v>
      </c>
      <c r="G110" s="8">
        <v>2</v>
      </c>
      <c r="H110" s="8">
        <v>4</v>
      </c>
      <c r="I110" s="8">
        <v>6</v>
      </c>
      <c r="J110" s="8">
        <v>12</v>
      </c>
      <c r="M110" s="4">
        <v>106</v>
      </c>
      <c r="N110" s="8">
        <v>2</v>
      </c>
      <c r="O110" s="8">
        <v>4</v>
      </c>
      <c r="P110" s="8">
        <v>6</v>
      </c>
    </row>
    <row r="111" spans="1:16">
      <c r="A111" t="s">
        <v>22</v>
      </c>
      <c r="B111">
        <v>109</v>
      </c>
      <c r="C111">
        <v>2</v>
      </c>
      <c r="F111" s="4">
        <v>107</v>
      </c>
      <c r="G111" s="8">
        <v>5</v>
      </c>
      <c r="H111" s="8">
        <v>1</v>
      </c>
      <c r="I111" s="8">
        <v>2</v>
      </c>
      <c r="J111" s="8">
        <v>8</v>
      </c>
      <c r="M111" s="4">
        <v>107</v>
      </c>
      <c r="N111" s="8">
        <v>5</v>
      </c>
      <c r="O111" s="8">
        <v>1</v>
      </c>
      <c r="P111" s="8">
        <v>2</v>
      </c>
    </row>
    <row r="112" spans="1:16">
      <c r="A112" t="s">
        <v>22</v>
      </c>
      <c r="B112">
        <v>110</v>
      </c>
      <c r="C112">
        <v>2</v>
      </c>
      <c r="F112" s="4">
        <v>108</v>
      </c>
      <c r="G112" s="8">
        <v>3</v>
      </c>
      <c r="H112" s="8">
        <v>2</v>
      </c>
      <c r="I112" s="8">
        <v>4</v>
      </c>
      <c r="J112" s="8">
        <v>9</v>
      </c>
      <c r="M112" s="4">
        <v>108</v>
      </c>
      <c r="N112" s="8">
        <v>3</v>
      </c>
      <c r="O112" s="8">
        <v>2</v>
      </c>
      <c r="P112" s="8">
        <v>4</v>
      </c>
    </row>
    <row r="113" spans="1:16">
      <c r="A113" t="s">
        <v>22</v>
      </c>
      <c r="B113">
        <v>111</v>
      </c>
      <c r="C113">
        <v>1</v>
      </c>
      <c r="F113" s="4">
        <v>109</v>
      </c>
      <c r="G113" s="8">
        <v>2</v>
      </c>
      <c r="H113" s="8">
        <v>2</v>
      </c>
      <c r="I113" s="8">
        <v>1</v>
      </c>
      <c r="J113" s="8">
        <v>5</v>
      </c>
      <c r="M113" s="4">
        <v>109</v>
      </c>
      <c r="N113" s="8">
        <v>2</v>
      </c>
      <c r="O113" s="8">
        <v>2</v>
      </c>
      <c r="P113" s="8">
        <v>1</v>
      </c>
    </row>
    <row r="114" spans="1:16">
      <c r="A114" t="s">
        <v>22</v>
      </c>
      <c r="B114">
        <v>112</v>
      </c>
      <c r="C114">
        <v>3</v>
      </c>
      <c r="F114" s="4">
        <v>110</v>
      </c>
      <c r="G114" s="8">
        <v>2</v>
      </c>
      <c r="H114" s="8">
        <v>2</v>
      </c>
      <c r="I114" s="8">
        <v>2</v>
      </c>
      <c r="J114" s="8">
        <v>6</v>
      </c>
      <c r="M114" s="4">
        <v>110</v>
      </c>
      <c r="N114" s="8">
        <v>2</v>
      </c>
      <c r="O114" s="8">
        <v>2</v>
      </c>
      <c r="P114" s="8">
        <v>2</v>
      </c>
    </row>
    <row r="115" spans="1:16">
      <c r="A115" t="s">
        <v>22</v>
      </c>
      <c r="B115">
        <v>113</v>
      </c>
      <c r="C115">
        <v>1</v>
      </c>
      <c r="F115" s="4">
        <v>111</v>
      </c>
      <c r="G115" s="8">
        <v>2</v>
      </c>
      <c r="H115" s="8">
        <v>1</v>
      </c>
      <c r="I115" s="8">
        <v>2</v>
      </c>
      <c r="J115" s="8">
        <v>5</v>
      </c>
      <c r="M115" s="4">
        <v>111</v>
      </c>
      <c r="N115" s="8">
        <v>2</v>
      </c>
      <c r="O115" s="8">
        <v>1</v>
      </c>
      <c r="P115" s="8">
        <v>2</v>
      </c>
    </row>
    <row r="116" spans="1:16">
      <c r="A116" t="s">
        <v>22</v>
      </c>
      <c r="B116">
        <v>114</v>
      </c>
      <c r="C116">
        <v>3</v>
      </c>
      <c r="F116" s="4">
        <v>112</v>
      </c>
      <c r="G116" s="8">
        <v>4</v>
      </c>
      <c r="H116" s="8">
        <v>3</v>
      </c>
      <c r="I116" s="8"/>
      <c r="J116" s="8">
        <v>7</v>
      </c>
      <c r="M116" s="4">
        <v>112</v>
      </c>
      <c r="N116" s="8">
        <v>4</v>
      </c>
      <c r="O116" s="8">
        <v>3</v>
      </c>
      <c r="P116" s="8"/>
    </row>
    <row r="117" spans="1:16">
      <c r="A117" t="s">
        <v>22</v>
      </c>
      <c r="B117">
        <v>115</v>
      </c>
      <c r="C117">
        <v>1</v>
      </c>
      <c r="F117" s="4">
        <v>113</v>
      </c>
      <c r="G117" s="8">
        <v>1</v>
      </c>
      <c r="H117" s="8">
        <v>1</v>
      </c>
      <c r="I117" s="8">
        <v>1</v>
      </c>
      <c r="J117" s="8">
        <v>3</v>
      </c>
      <c r="M117" s="4">
        <v>113</v>
      </c>
      <c r="N117" s="8">
        <v>1</v>
      </c>
      <c r="O117" s="8">
        <v>1</v>
      </c>
      <c r="P117" s="8">
        <v>1</v>
      </c>
    </row>
    <row r="118" spans="1:16">
      <c r="A118" t="s">
        <v>22</v>
      </c>
      <c r="B118">
        <v>116</v>
      </c>
      <c r="C118">
        <v>4</v>
      </c>
      <c r="F118" s="4">
        <v>114</v>
      </c>
      <c r="G118" s="8">
        <v>3</v>
      </c>
      <c r="H118" s="8">
        <v>3</v>
      </c>
      <c r="I118" s="8">
        <v>2</v>
      </c>
      <c r="J118" s="8">
        <v>8</v>
      </c>
      <c r="M118" s="4">
        <v>114</v>
      </c>
      <c r="N118" s="8">
        <v>3</v>
      </c>
      <c r="O118" s="8">
        <v>3</v>
      </c>
      <c r="P118" s="8">
        <v>2</v>
      </c>
    </row>
    <row r="119" spans="1:16">
      <c r="A119" t="s">
        <v>22</v>
      </c>
      <c r="B119">
        <v>117</v>
      </c>
      <c r="C119">
        <v>2</v>
      </c>
      <c r="F119" s="4">
        <v>115</v>
      </c>
      <c r="G119" s="8">
        <v>4</v>
      </c>
      <c r="H119" s="8">
        <v>1</v>
      </c>
      <c r="I119" s="8">
        <v>1</v>
      </c>
      <c r="J119" s="8">
        <v>6</v>
      </c>
      <c r="M119" s="4">
        <v>115</v>
      </c>
      <c r="N119" s="8">
        <v>4</v>
      </c>
      <c r="O119" s="8">
        <v>1</v>
      </c>
      <c r="P119" s="8">
        <v>1</v>
      </c>
    </row>
    <row r="120" spans="1:16">
      <c r="A120" t="s">
        <v>22</v>
      </c>
      <c r="B120">
        <v>118</v>
      </c>
      <c r="C120">
        <v>3</v>
      </c>
      <c r="F120" s="4">
        <v>116</v>
      </c>
      <c r="G120" s="8"/>
      <c r="H120" s="8">
        <v>4</v>
      </c>
      <c r="I120" s="8">
        <v>3</v>
      </c>
      <c r="J120" s="8">
        <v>7</v>
      </c>
      <c r="M120" s="4">
        <v>116</v>
      </c>
      <c r="N120" s="8"/>
      <c r="O120" s="8">
        <v>4</v>
      </c>
      <c r="P120" s="8">
        <v>3</v>
      </c>
    </row>
    <row r="121" spans="1:16">
      <c r="A121" t="s">
        <v>22</v>
      </c>
      <c r="B121">
        <v>119</v>
      </c>
      <c r="C121">
        <v>1</v>
      </c>
      <c r="F121" s="4">
        <v>117</v>
      </c>
      <c r="G121" s="8">
        <v>2</v>
      </c>
      <c r="H121" s="8">
        <v>2</v>
      </c>
      <c r="I121" s="8">
        <v>1</v>
      </c>
      <c r="J121" s="8">
        <v>5</v>
      </c>
      <c r="M121" s="4">
        <v>117</v>
      </c>
      <c r="N121" s="8">
        <v>2</v>
      </c>
      <c r="O121" s="8">
        <v>2</v>
      </c>
      <c r="P121" s="8">
        <v>1</v>
      </c>
    </row>
    <row r="122" spans="1:16">
      <c r="A122" t="s">
        <v>22</v>
      </c>
      <c r="B122">
        <v>120</v>
      </c>
      <c r="C122">
        <v>1</v>
      </c>
      <c r="F122" s="4">
        <v>118</v>
      </c>
      <c r="G122" s="8">
        <v>1</v>
      </c>
      <c r="H122" s="8">
        <v>3</v>
      </c>
      <c r="I122" s="8">
        <v>1</v>
      </c>
      <c r="J122" s="8">
        <v>5</v>
      </c>
      <c r="M122" s="4">
        <v>118</v>
      </c>
      <c r="N122" s="8">
        <v>1</v>
      </c>
      <c r="O122" s="8">
        <v>3</v>
      </c>
      <c r="P122" s="8">
        <v>1</v>
      </c>
    </row>
    <row r="123" spans="1:16">
      <c r="A123" t="s">
        <v>22</v>
      </c>
      <c r="B123">
        <v>123</v>
      </c>
      <c r="C123">
        <v>5</v>
      </c>
      <c r="F123" s="4">
        <v>119</v>
      </c>
      <c r="G123" s="8">
        <v>1</v>
      </c>
      <c r="H123" s="8">
        <v>1</v>
      </c>
      <c r="I123" s="8">
        <v>1</v>
      </c>
      <c r="J123" s="8">
        <v>3</v>
      </c>
      <c r="M123" s="4">
        <v>119</v>
      </c>
      <c r="N123" s="8">
        <v>1</v>
      </c>
      <c r="O123" s="8">
        <v>1</v>
      </c>
      <c r="P123" s="8">
        <v>1</v>
      </c>
    </row>
    <row r="124" spans="1:16">
      <c r="A124" t="s">
        <v>22</v>
      </c>
      <c r="B124">
        <v>124</v>
      </c>
      <c r="C124">
        <v>2</v>
      </c>
      <c r="F124" s="4">
        <v>120</v>
      </c>
      <c r="G124" s="8">
        <v>8</v>
      </c>
      <c r="H124" s="8">
        <v>1</v>
      </c>
      <c r="I124" s="8">
        <v>4</v>
      </c>
      <c r="J124" s="8">
        <v>13</v>
      </c>
      <c r="M124" s="4">
        <v>120</v>
      </c>
      <c r="N124" s="8">
        <v>8</v>
      </c>
      <c r="O124" s="8">
        <v>1</v>
      </c>
      <c r="P124" s="8">
        <v>4</v>
      </c>
    </row>
    <row r="125" spans="1:16">
      <c r="A125" t="s">
        <v>22</v>
      </c>
      <c r="B125">
        <v>126</v>
      </c>
      <c r="C125">
        <v>2</v>
      </c>
      <c r="F125" s="4">
        <v>121</v>
      </c>
      <c r="G125" s="8">
        <v>2</v>
      </c>
      <c r="H125" s="8"/>
      <c r="I125" s="8">
        <v>5</v>
      </c>
      <c r="J125" s="8">
        <v>7</v>
      </c>
      <c r="M125" s="4">
        <v>121</v>
      </c>
      <c r="N125" s="8">
        <v>2</v>
      </c>
      <c r="O125" s="8"/>
      <c r="P125" s="8">
        <v>5</v>
      </c>
    </row>
    <row r="126" spans="1:16">
      <c r="A126" t="s">
        <v>22</v>
      </c>
      <c r="B126">
        <v>127</v>
      </c>
      <c r="C126">
        <v>3</v>
      </c>
      <c r="F126" s="4">
        <v>122</v>
      </c>
      <c r="G126" s="8">
        <v>2</v>
      </c>
      <c r="H126" s="8"/>
      <c r="I126" s="8">
        <v>1</v>
      </c>
      <c r="J126" s="8">
        <v>3</v>
      </c>
      <c r="M126" s="4">
        <v>122</v>
      </c>
      <c r="N126" s="8">
        <v>2</v>
      </c>
      <c r="O126" s="8"/>
      <c r="P126" s="8">
        <v>1</v>
      </c>
    </row>
    <row r="127" spans="1:16">
      <c r="A127" t="s">
        <v>22</v>
      </c>
      <c r="B127">
        <v>128</v>
      </c>
      <c r="C127">
        <v>1</v>
      </c>
      <c r="F127" s="4">
        <v>123</v>
      </c>
      <c r="G127" s="8">
        <v>1</v>
      </c>
      <c r="H127" s="8">
        <v>5</v>
      </c>
      <c r="I127" s="8">
        <v>3</v>
      </c>
      <c r="J127" s="8">
        <v>9</v>
      </c>
      <c r="M127" s="4">
        <v>123</v>
      </c>
      <c r="N127" s="8">
        <v>1</v>
      </c>
      <c r="O127" s="8">
        <v>5</v>
      </c>
      <c r="P127" s="8">
        <v>3</v>
      </c>
    </row>
    <row r="128" spans="1:16">
      <c r="A128" t="s">
        <v>22</v>
      </c>
      <c r="B128">
        <v>130</v>
      </c>
      <c r="C128">
        <v>3</v>
      </c>
      <c r="F128" s="4">
        <v>124</v>
      </c>
      <c r="G128" s="8"/>
      <c r="H128" s="8">
        <v>2</v>
      </c>
      <c r="I128" s="8"/>
      <c r="J128" s="8">
        <v>2</v>
      </c>
      <c r="M128" s="4">
        <v>124</v>
      </c>
      <c r="N128" s="8"/>
      <c r="O128" s="8">
        <v>2</v>
      </c>
      <c r="P128" s="8"/>
    </row>
    <row r="129" spans="1:16">
      <c r="A129" t="s">
        <v>22</v>
      </c>
      <c r="B129">
        <v>131</v>
      </c>
      <c r="C129">
        <v>2</v>
      </c>
      <c r="F129" s="4">
        <v>125</v>
      </c>
      <c r="G129" s="8">
        <v>4</v>
      </c>
      <c r="H129" s="8"/>
      <c r="I129" s="8">
        <v>1</v>
      </c>
      <c r="J129" s="8">
        <v>5</v>
      </c>
      <c r="M129" s="4">
        <v>125</v>
      </c>
      <c r="N129" s="8">
        <v>4</v>
      </c>
      <c r="O129" s="8"/>
      <c r="P129" s="8">
        <v>1</v>
      </c>
    </row>
    <row r="130" spans="1:16">
      <c r="A130" t="s">
        <v>22</v>
      </c>
      <c r="B130">
        <v>132</v>
      </c>
      <c r="C130">
        <v>4</v>
      </c>
      <c r="F130" s="4">
        <v>126</v>
      </c>
      <c r="G130" s="8">
        <v>2</v>
      </c>
      <c r="H130" s="8">
        <v>2</v>
      </c>
      <c r="I130" s="8">
        <v>1</v>
      </c>
      <c r="J130" s="8">
        <v>5</v>
      </c>
      <c r="M130" s="4">
        <v>126</v>
      </c>
      <c r="N130" s="8">
        <v>2</v>
      </c>
      <c r="O130" s="8">
        <v>2</v>
      </c>
      <c r="P130" s="8">
        <v>1</v>
      </c>
    </row>
    <row r="131" spans="1:16">
      <c r="A131" t="s">
        <v>22</v>
      </c>
      <c r="B131">
        <v>135</v>
      </c>
      <c r="C131">
        <v>1</v>
      </c>
      <c r="F131" s="4">
        <v>127</v>
      </c>
      <c r="G131" s="8">
        <v>2</v>
      </c>
      <c r="H131" s="8">
        <v>3</v>
      </c>
      <c r="I131" s="8"/>
      <c r="J131" s="8">
        <v>5</v>
      </c>
      <c r="M131" s="4">
        <v>127</v>
      </c>
      <c r="N131" s="8">
        <v>2</v>
      </c>
      <c r="O131" s="8">
        <v>3</v>
      </c>
      <c r="P131" s="8"/>
    </row>
    <row r="132" spans="1:16">
      <c r="A132" t="s">
        <v>22</v>
      </c>
      <c r="B132">
        <v>136</v>
      </c>
      <c r="C132">
        <v>1</v>
      </c>
      <c r="F132" s="4">
        <v>128</v>
      </c>
      <c r="G132" s="8"/>
      <c r="H132" s="8">
        <v>1</v>
      </c>
      <c r="I132" s="8">
        <v>2</v>
      </c>
      <c r="J132" s="8">
        <v>3</v>
      </c>
      <c r="M132" s="4">
        <v>128</v>
      </c>
      <c r="N132" s="8"/>
      <c r="O132" s="8">
        <v>1</v>
      </c>
      <c r="P132" s="8">
        <v>2</v>
      </c>
    </row>
    <row r="133" spans="1:16">
      <c r="A133" t="s">
        <v>22</v>
      </c>
      <c r="B133">
        <v>137</v>
      </c>
      <c r="C133">
        <v>1</v>
      </c>
      <c r="F133" s="4">
        <v>129</v>
      </c>
      <c r="G133" s="8">
        <v>1</v>
      </c>
      <c r="H133" s="8"/>
      <c r="I133" s="8">
        <v>4</v>
      </c>
      <c r="J133" s="8">
        <v>5</v>
      </c>
      <c r="M133" s="4">
        <v>129</v>
      </c>
      <c r="N133" s="8">
        <v>1</v>
      </c>
      <c r="O133" s="8"/>
      <c r="P133" s="8">
        <v>4</v>
      </c>
    </row>
    <row r="134" spans="1:16">
      <c r="A134" t="s">
        <v>22</v>
      </c>
      <c r="B134">
        <v>138</v>
      </c>
      <c r="C134">
        <v>3</v>
      </c>
      <c r="F134" s="4">
        <v>130</v>
      </c>
      <c r="G134" s="8"/>
      <c r="H134" s="8">
        <v>3</v>
      </c>
      <c r="I134" s="8">
        <v>2</v>
      </c>
      <c r="J134" s="8">
        <v>5</v>
      </c>
      <c r="M134" s="4">
        <v>130</v>
      </c>
      <c r="N134" s="8"/>
      <c r="O134" s="8">
        <v>3</v>
      </c>
      <c r="P134" s="8">
        <v>2</v>
      </c>
    </row>
    <row r="135" spans="1:16">
      <c r="A135" t="s">
        <v>22</v>
      </c>
      <c r="B135">
        <v>139</v>
      </c>
      <c r="C135">
        <v>2</v>
      </c>
      <c r="F135" s="4">
        <v>131</v>
      </c>
      <c r="G135" s="8">
        <v>2</v>
      </c>
      <c r="H135" s="8">
        <v>2</v>
      </c>
      <c r="I135" s="8">
        <v>1</v>
      </c>
      <c r="J135" s="8">
        <v>5</v>
      </c>
      <c r="M135" s="4">
        <v>131</v>
      </c>
      <c r="N135" s="8">
        <v>2</v>
      </c>
      <c r="O135" s="8">
        <v>2</v>
      </c>
      <c r="P135" s="8">
        <v>1</v>
      </c>
    </row>
    <row r="136" spans="1:16">
      <c r="A136" t="s">
        <v>22</v>
      </c>
      <c r="B136">
        <v>140</v>
      </c>
      <c r="C136">
        <v>1</v>
      </c>
      <c r="F136" s="4">
        <v>132</v>
      </c>
      <c r="G136" s="8"/>
      <c r="H136" s="8">
        <v>4</v>
      </c>
      <c r="I136" s="8">
        <v>1</v>
      </c>
      <c r="J136" s="8">
        <v>5</v>
      </c>
      <c r="M136" s="4">
        <v>132</v>
      </c>
      <c r="N136" s="8"/>
      <c r="O136" s="8">
        <v>4</v>
      </c>
      <c r="P136" s="8">
        <v>1</v>
      </c>
    </row>
    <row r="137" spans="1:16">
      <c r="A137" t="s">
        <v>22</v>
      </c>
      <c r="B137">
        <v>142</v>
      </c>
      <c r="C137">
        <v>3</v>
      </c>
      <c r="F137" s="4">
        <v>133</v>
      </c>
      <c r="G137" s="8">
        <v>1</v>
      </c>
      <c r="H137" s="8"/>
      <c r="I137" s="8"/>
      <c r="J137" s="8">
        <v>1</v>
      </c>
      <c r="M137" s="4">
        <v>133</v>
      </c>
      <c r="N137" s="8">
        <v>1</v>
      </c>
      <c r="O137" s="8"/>
      <c r="P137" s="8"/>
    </row>
    <row r="138" spans="1:16">
      <c r="A138" t="s">
        <v>22</v>
      </c>
      <c r="B138">
        <v>143</v>
      </c>
      <c r="C138">
        <v>1</v>
      </c>
      <c r="F138" s="4">
        <v>134</v>
      </c>
      <c r="G138" s="8">
        <v>1</v>
      </c>
      <c r="H138" s="8"/>
      <c r="I138" s="8">
        <v>2</v>
      </c>
      <c r="J138" s="8">
        <v>3</v>
      </c>
      <c r="M138" s="4">
        <v>134</v>
      </c>
      <c r="N138" s="8">
        <v>1</v>
      </c>
      <c r="O138" s="8"/>
      <c r="P138" s="8">
        <v>2</v>
      </c>
    </row>
    <row r="139" spans="1:16">
      <c r="A139" t="s">
        <v>22</v>
      </c>
      <c r="B139">
        <v>144</v>
      </c>
      <c r="C139">
        <v>1</v>
      </c>
      <c r="F139" s="4">
        <v>135</v>
      </c>
      <c r="G139" s="8">
        <v>3</v>
      </c>
      <c r="H139" s="8">
        <v>1</v>
      </c>
      <c r="I139" s="8">
        <v>3</v>
      </c>
      <c r="J139" s="8">
        <v>7</v>
      </c>
      <c r="M139" s="4">
        <v>135</v>
      </c>
      <c r="N139" s="8">
        <v>3</v>
      </c>
      <c r="O139" s="8">
        <v>1</v>
      </c>
      <c r="P139" s="8">
        <v>3</v>
      </c>
    </row>
    <row r="140" spans="1:16">
      <c r="A140" t="s">
        <v>22</v>
      </c>
      <c r="B140">
        <v>146</v>
      </c>
      <c r="C140">
        <v>1</v>
      </c>
      <c r="F140" s="4">
        <v>136</v>
      </c>
      <c r="G140" s="8"/>
      <c r="H140" s="8">
        <v>1</v>
      </c>
      <c r="I140" s="8">
        <v>3</v>
      </c>
      <c r="J140" s="8">
        <v>4</v>
      </c>
      <c r="M140" s="4">
        <v>136</v>
      </c>
      <c r="N140" s="8"/>
      <c r="O140" s="8">
        <v>1</v>
      </c>
      <c r="P140" s="8">
        <v>3</v>
      </c>
    </row>
    <row r="141" spans="1:16">
      <c r="A141" t="s">
        <v>22</v>
      </c>
      <c r="B141">
        <v>147</v>
      </c>
      <c r="C141">
        <v>1</v>
      </c>
      <c r="F141" s="4">
        <v>137</v>
      </c>
      <c r="G141" s="8"/>
      <c r="H141" s="8">
        <v>1</v>
      </c>
      <c r="I141" s="8">
        <v>2</v>
      </c>
      <c r="J141" s="8">
        <v>3</v>
      </c>
      <c r="M141" s="4">
        <v>137</v>
      </c>
      <c r="N141" s="8"/>
      <c r="O141" s="8">
        <v>1</v>
      </c>
      <c r="P141" s="8">
        <v>2</v>
      </c>
    </row>
    <row r="142" spans="1:16">
      <c r="A142" t="s">
        <v>22</v>
      </c>
      <c r="B142">
        <v>152</v>
      </c>
      <c r="C142">
        <v>1</v>
      </c>
      <c r="F142" s="4">
        <v>138</v>
      </c>
      <c r="G142" s="8">
        <v>1</v>
      </c>
      <c r="H142" s="8">
        <v>3</v>
      </c>
      <c r="I142" s="8"/>
      <c r="J142" s="8">
        <v>4</v>
      </c>
      <c r="M142" s="4">
        <v>138</v>
      </c>
      <c r="N142" s="8">
        <v>1</v>
      </c>
      <c r="O142" s="8">
        <v>3</v>
      </c>
      <c r="P142" s="8"/>
    </row>
    <row r="143" spans="1:16">
      <c r="A143" t="s">
        <v>22</v>
      </c>
      <c r="B143">
        <v>153</v>
      </c>
      <c r="C143">
        <v>1</v>
      </c>
      <c r="F143" s="4">
        <v>139</v>
      </c>
      <c r="G143" s="8"/>
      <c r="H143" s="8">
        <v>2</v>
      </c>
      <c r="I143" s="8"/>
      <c r="J143" s="8">
        <v>2</v>
      </c>
      <c r="M143" s="4">
        <v>139</v>
      </c>
      <c r="N143" s="8"/>
      <c r="O143" s="8">
        <v>2</v>
      </c>
      <c r="P143" s="8"/>
    </row>
    <row r="144" spans="1:16">
      <c r="A144" t="s">
        <v>22</v>
      </c>
      <c r="B144">
        <v>156</v>
      </c>
      <c r="C144">
        <v>2</v>
      </c>
      <c r="F144" s="4">
        <v>140</v>
      </c>
      <c r="G144" s="8">
        <v>2</v>
      </c>
      <c r="H144" s="8">
        <v>1</v>
      </c>
      <c r="I144" s="8">
        <v>1</v>
      </c>
      <c r="J144" s="8">
        <v>4</v>
      </c>
      <c r="M144" s="4">
        <v>140</v>
      </c>
      <c r="N144" s="8">
        <v>2</v>
      </c>
      <c r="O144" s="8">
        <v>1</v>
      </c>
      <c r="P144" s="8">
        <v>1</v>
      </c>
    </row>
    <row r="145" spans="1:16">
      <c r="A145" t="s">
        <v>22</v>
      </c>
      <c r="B145">
        <v>157</v>
      </c>
      <c r="C145">
        <v>1</v>
      </c>
      <c r="F145" s="4">
        <v>141</v>
      </c>
      <c r="G145" s="8">
        <v>3</v>
      </c>
      <c r="H145" s="8"/>
      <c r="I145" s="8">
        <v>1</v>
      </c>
      <c r="J145" s="8">
        <v>4</v>
      </c>
      <c r="M145" s="4">
        <v>141</v>
      </c>
      <c r="N145" s="8">
        <v>3</v>
      </c>
      <c r="O145" s="8"/>
      <c r="P145" s="8">
        <v>1</v>
      </c>
    </row>
    <row r="146" spans="1:16">
      <c r="A146" t="s">
        <v>22</v>
      </c>
      <c r="B146">
        <v>158</v>
      </c>
      <c r="C146">
        <v>1</v>
      </c>
      <c r="F146" s="4">
        <v>142</v>
      </c>
      <c r="G146" s="8">
        <v>1</v>
      </c>
      <c r="H146" s="8">
        <v>3</v>
      </c>
      <c r="I146" s="8">
        <v>1</v>
      </c>
      <c r="J146" s="8">
        <v>5</v>
      </c>
      <c r="M146" s="4">
        <v>142</v>
      </c>
      <c r="N146" s="8">
        <v>1</v>
      </c>
      <c r="O146" s="8">
        <v>3</v>
      </c>
      <c r="P146" s="8">
        <v>1</v>
      </c>
    </row>
    <row r="147" spans="1:16">
      <c r="A147" t="s">
        <v>22</v>
      </c>
      <c r="B147">
        <v>160</v>
      </c>
      <c r="C147">
        <v>1</v>
      </c>
      <c r="F147" s="4">
        <v>143</v>
      </c>
      <c r="G147" s="8">
        <v>1</v>
      </c>
      <c r="H147" s="8">
        <v>1</v>
      </c>
      <c r="I147" s="8">
        <v>2</v>
      </c>
      <c r="J147" s="8">
        <v>4</v>
      </c>
      <c r="M147" s="4">
        <v>143</v>
      </c>
      <c r="N147" s="8">
        <v>1</v>
      </c>
      <c r="O147" s="8">
        <v>1</v>
      </c>
      <c r="P147" s="8">
        <v>2</v>
      </c>
    </row>
    <row r="148" spans="1:16">
      <c r="A148" t="s">
        <v>22</v>
      </c>
      <c r="B148">
        <v>161</v>
      </c>
      <c r="C148">
        <v>1</v>
      </c>
      <c r="F148" s="4">
        <v>144</v>
      </c>
      <c r="G148" s="8">
        <v>1</v>
      </c>
      <c r="H148" s="8">
        <v>1</v>
      </c>
      <c r="I148" s="8">
        <v>1</v>
      </c>
      <c r="J148" s="8">
        <v>3</v>
      </c>
      <c r="M148" s="4">
        <v>144</v>
      </c>
      <c r="N148" s="8">
        <v>1</v>
      </c>
      <c r="O148" s="8">
        <v>1</v>
      </c>
      <c r="P148" s="8">
        <v>1</v>
      </c>
    </row>
    <row r="149" spans="1:16">
      <c r="A149" t="s">
        <v>22</v>
      </c>
      <c r="B149">
        <v>162</v>
      </c>
      <c r="C149">
        <v>1</v>
      </c>
      <c r="F149" s="4">
        <v>145</v>
      </c>
      <c r="G149" s="8">
        <v>1</v>
      </c>
      <c r="H149" s="8"/>
      <c r="I149" s="8">
        <v>2</v>
      </c>
      <c r="J149" s="8">
        <v>3</v>
      </c>
      <c r="M149" s="4">
        <v>145</v>
      </c>
      <c r="N149" s="8">
        <v>1</v>
      </c>
      <c r="O149" s="8"/>
      <c r="P149" s="8">
        <v>2</v>
      </c>
    </row>
    <row r="150" spans="1:16">
      <c r="A150" t="s">
        <v>22</v>
      </c>
      <c r="B150">
        <v>163</v>
      </c>
      <c r="C150">
        <v>1</v>
      </c>
      <c r="F150" s="4">
        <v>146</v>
      </c>
      <c r="G150" s="8"/>
      <c r="H150" s="8">
        <v>1</v>
      </c>
      <c r="I150" s="8"/>
      <c r="J150" s="8">
        <v>1</v>
      </c>
      <c r="M150" s="4">
        <v>146</v>
      </c>
      <c r="N150" s="8"/>
      <c r="O150" s="8">
        <v>1</v>
      </c>
      <c r="P150" s="8"/>
    </row>
    <row r="151" spans="1:16">
      <c r="A151" t="s">
        <v>22</v>
      </c>
      <c r="B151">
        <v>165</v>
      </c>
      <c r="C151">
        <v>2</v>
      </c>
      <c r="F151" s="4">
        <v>147</v>
      </c>
      <c r="G151" s="8">
        <v>2</v>
      </c>
      <c r="H151" s="8">
        <v>1</v>
      </c>
      <c r="I151" s="8">
        <v>1</v>
      </c>
      <c r="J151" s="8">
        <v>4</v>
      </c>
      <c r="M151" s="4">
        <v>147</v>
      </c>
      <c r="N151" s="8">
        <v>2</v>
      </c>
      <c r="O151" s="8">
        <v>1</v>
      </c>
      <c r="P151" s="8">
        <v>1</v>
      </c>
    </row>
    <row r="152" spans="1:16">
      <c r="A152" t="s">
        <v>22</v>
      </c>
      <c r="B152">
        <v>166</v>
      </c>
      <c r="C152">
        <v>1</v>
      </c>
      <c r="F152" s="4">
        <v>148</v>
      </c>
      <c r="G152" s="8"/>
      <c r="H152" s="8"/>
      <c r="I152" s="8">
        <v>1</v>
      </c>
      <c r="J152" s="8">
        <v>1</v>
      </c>
      <c r="M152" s="4">
        <v>148</v>
      </c>
      <c r="N152" s="8"/>
      <c r="O152" s="8"/>
      <c r="P152" s="8">
        <v>1</v>
      </c>
    </row>
    <row r="153" spans="1:16">
      <c r="A153" t="s">
        <v>22</v>
      </c>
      <c r="B153">
        <v>167</v>
      </c>
      <c r="C153">
        <v>1</v>
      </c>
      <c r="F153" s="4">
        <v>149</v>
      </c>
      <c r="G153" s="8"/>
      <c r="H153" s="8"/>
      <c r="I153" s="8">
        <v>2</v>
      </c>
      <c r="J153" s="8">
        <v>2</v>
      </c>
      <c r="M153" s="4">
        <v>149</v>
      </c>
      <c r="N153" s="8"/>
      <c r="O153" s="8"/>
      <c r="P153" s="8">
        <v>2</v>
      </c>
    </row>
    <row r="154" spans="1:16">
      <c r="A154" t="s">
        <v>22</v>
      </c>
      <c r="B154">
        <v>172</v>
      </c>
      <c r="C154">
        <v>1</v>
      </c>
      <c r="F154" s="4">
        <v>150</v>
      </c>
      <c r="G154" s="8">
        <v>1</v>
      </c>
      <c r="H154" s="8"/>
      <c r="I154" s="8">
        <v>1</v>
      </c>
      <c r="J154" s="8">
        <v>2</v>
      </c>
      <c r="M154" s="4">
        <v>150</v>
      </c>
      <c r="N154" s="8">
        <v>1</v>
      </c>
      <c r="O154" s="8"/>
      <c r="P154" s="8">
        <v>1</v>
      </c>
    </row>
    <row r="155" spans="1:16">
      <c r="A155" t="s">
        <v>22</v>
      </c>
      <c r="B155">
        <v>175</v>
      </c>
      <c r="C155">
        <v>1</v>
      </c>
      <c r="F155" s="4">
        <v>152</v>
      </c>
      <c r="G155" s="8"/>
      <c r="H155" s="8">
        <v>1</v>
      </c>
      <c r="I155" s="8">
        <v>2</v>
      </c>
      <c r="J155" s="8">
        <v>3</v>
      </c>
      <c r="M155" s="4">
        <v>152</v>
      </c>
      <c r="N155" s="8"/>
      <c r="O155" s="8">
        <v>1</v>
      </c>
      <c r="P155" s="8">
        <v>2</v>
      </c>
    </row>
    <row r="156" spans="1:16">
      <c r="A156" t="s">
        <v>22</v>
      </c>
      <c r="B156">
        <v>178</v>
      </c>
      <c r="C156">
        <v>1</v>
      </c>
      <c r="F156" s="4">
        <v>153</v>
      </c>
      <c r="G156" s="8">
        <v>1</v>
      </c>
      <c r="H156" s="8">
        <v>1</v>
      </c>
      <c r="I156" s="8">
        <v>1</v>
      </c>
      <c r="J156" s="8">
        <v>3</v>
      </c>
      <c r="M156" s="4">
        <v>153</v>
      </c>
      <c r="N156" s="8">
        <v>1</v>
      </c>
      <c r="O156" s="8">
        <v>1</v>
      </c>
      <c r="P156" s="8">
        <v>1</v>
      </c>
    </row>
    <row r="157" spans="1:16">
      <c r="A157" t="s">
        <v>22</v>
      </c>
      <c r="B157">
        <v>181</v>
      </c>
      <c r="C157">
        <v>1</v>
      </c>
      <c r="F157" s="4">
        <v>154</v>
      </c>
      <c r="G157" s="8">
        <v>1</v>
      </c>
      <c r="H157" s="8"/>
      <c r="I157" s="8">
        <v>1</v>
      </c>
      <c r="J157" s="8">
        <v>2</v>
      </c>
      <c r="M157" s="4">
        <v>154</v>
      </c>
      <c r="N157" s="8">
        <v>1</v>
      </c>
      <c r="O157" s="8"/>
      <c r="P157" s="8">
        <v>1</v>
      </c>
    </row>
    <row r="158" spans="1:16">
      <c r="A158" t="s">
        <v>22</v>
      </c>
      <c r="B158">
        <v>182</v>
      </c>
      <c r="C158">
        <v>1</v>
      </c>
      <c r="F158" s="4">
        <v>155</v>
      </c>
      <c r="G158" s="8">
        <v>2</v>
      </c>
      <c r="H158" s="8"/>
      <c r="I158" s="8"/>
      <c r="J158" s="8">
        <v>2</v>
      </c>
      <c r="M158" s="4">
        <v>155</v>
      </c>
      <c r="N158" s="8">
        <v>2</v>
      </c>
      <c r="O158" s="8"/>
      <c r="P158" s="8"/>
    </row>
    <row r="159" spans="1:16">
      <c r="A159" t="s">
        <v>22</v>
      </c>
      <c r="B159">
        <v>185</v>
      </c>
      <c r="C159">
        <v>1</v>
      </c>
      <c r="F159" s="4">
        <v>156</v>
      </c>
      <c r="G159" s="8">
        <v>1</v>
      </c>
      <c r="H159" s="8">
        <v>2</v>
      </c>
      <c r="I159" s="8">
        <v>1</v>
      </c>
      <c r="J159" s="8">
        <v>4</v>
      </c>
      <c r="M159" s="4">
        <v>156</v>
      </c>
      <c r="N159" s="8">
        <v>1</v>
      </c>
      <c r="O159" s="8">
        <v>2</v>
      </c>
      <c r="P159" s="8">
        <v>1</v>
      </c>
    </row>
    <row r="160" spans="1:16">
      <c r="A160" t="s">
        <v>22</v>
      </c>
      <c r="B160">
        <v>190</v>
      </c>
      <c r="C160">
        <v>2</v>
      </c>
      <c r="F160" s="4">
        <v>157</v>
      </c>
      <c r="G160" s="8"/>
      <c r="H160" s="8">
        <v>1</v>
      </c>
      <c r="I160" s="8"/>
      <c r="J160" s="8">
        <v>1</v>
      </c>
      <c r="M160" s="4">
        <v>157</v>
      </c>
      <c r="N160" s="8"/>
      <c r="O160" s="8">
        <v>1</v>
      </c>
      <c r="P160" s="8"/>
    </row>
    <row r="161" spans="1:16">
      <c r="A161" t="s">
        <v>22</v>
      </c>
      <c r="B161">
        <v>192</v>
      </c>
      <c r="C161">
        <v>1</v>
      </c>
      <c r="F161" s="4">
        <v>158</v>
      </c>
      <c r="G161" s="8"/>
      <c r="H161" s="8">
        <v>1</v>
      </c>
      <c r="I161" s="8"/>
      <c r="J161" s="8">
        <v>1</v>
      </c>
      <c r="M161" s="4">
        <v>158</v>
      </c>
      <c r="N161" s="8"/>
      <c r="O161" s="8">
        <v>1</v>
      </c>
      <c r="P161" s="8"/>
    </row>
    <row r="162" spans="1:16">
      <c r="A162" t="s">
        <v>22</v>
      </c>
      <c r="B162">
        <v>194</v>
      </c>
      <c r="C162">
        <v>2</v>
      </c>
      <c r="F162" s="4">
        <v>159</v>
      </c>
      <c r="G162" s="8"/>
      <c r="H162" s="8"/>
      <c r="I162" s="8">
        <v>1</v>
      </c>
      <c r="J162" s="8">
        <v>1</v>
      </c>
      <c r="M162" s="4">
        <v>159</v>
      </c>
      <c r="N162" s="8"/>
      <c r="O162" s="8"/>
      <c r="P162" s="8">
        <v>1</v>
      </c>
    </row>
    <row r="163" spans="1:16">
      <c r="A163" t="s">
        <v>22</v>
      </c>
      <c r="B163">
        <v>197</v>
      </c>
      <c r="C163">
        <v>1</v>
      </c>
      <c r="F163" s="4">
        <v>160</v>
      </c>
      <c r="G163" s="8">
        <v>1</v>
      </c>
      <c r="H163" s="8">
        <v>1</v>
      </c>
      <c r="I163" s="8">
        <v>1</v>
      </c>
      <c r="J163" s="8">
        <v>3</v>
      </c>
      <c r="M163" s="4">
        <v>160</v>
      </c>
      <c r="N163" s="8">
        <v>1</v>
      </c>
      <c r="O163" s="8">
        <v>1</v>
      </c>
      <c r="P163" s="8">
        <v>1</v>
      </c>
    </row>
    <row r="164" spans="1:16">
      <c r="A164" t="s">
        <v>22</v>
      </c>
      <c r="B164">
        <v>202</v>
      </c>
      <c r="C164">
        <v>1</v>
      </c>
      <c r="F164" s="4">
        <v>161</v>
      </c>
      <c r="G164" s="8"/>
      <c r="H164" s="8">
        <v>1</v>
      </c>
      <c r="I164" s="8">
        <v>1</v>
      </c>
      <c r="J164" s="8">
        <v>2</v>
      </c>
      <c r="M164" s="4">
        <v>161</v>
      </c>
      <c r="N164" s="8"/>
      <c r="O164" s="8">
        <v>1</v>
      </c>
      <c r="P164" s="8">
        <v>1</v>
      </c>
    </row>
    <row r="165" spans="1:16">
      <c r="A165" t="s">
        <v>22</v>
      </c>
      <c r="B165">
        <v>204</v>
      </c>
      <c r="C165">
        <v>1</v>
      </c>
      <c r="F165" s="4">
        <v>162</v>
      </c>
      <c r="G165" s="8"/>
      <c r="H165" s="8">
        <v>1</v>
      </c>
      <c r="I165" s="8"/>
      <c r="J165" s="8">
        <v>1</v>
      </c>
      <c r="M165" s="4">
        <v>162</v>
      </c>
      <c r="N165" s="8"/>
      <c r="O165" s="8">
        <v>1</v>
      </c>
      <c r="P165" s="8"/>
    </row>
    <row r="166" spans="1:16">
      <c r="A166" t="s">
        <v>22</v>
      </c>
      <c r="B166">
        <v>206</v>
      </c>
      <c r="C166">
        <v>1</v>
      </c>
      <c r="F166" s="4">
        <v>163</v>
      </c>
      <c r="G166" s="8"/>
      <c r="H166" s="8">
        <v>1</v>
      </c>
      <c r="I166" s="8"/>
      <c r="J166" s="8">
        <v>1</v>
      </c>
      <c r="M166" s="4">
        <v>163</v>
      </c>
      <c r="N166" s="8"/>
      <c r="O166" s="8">
        <v>1</v>
      </c>
      <c r="P166" s="8"/>
    </row>
    <row r="167" spans="1:16">
      <c r="A167" t="s">
        <v>22</v>
      </c>
      <c r="B167">
        <v>210</v>
      </c>
      <c r="C167">
        <v>1</v>
      </c>
      <c r="F167" s="4">
        <v>164</v>
      </c>
      <c r="G167" s="8">
        <v>1</v>
      </c>
      <c r="H167" s="8"/>
      <c r="I167" s="8">
        <v>1</v>
      </c>
      <c r="J167" s="8">
        <v>2</v>
      </c>
      <c r="M167" s="4">
        <v>164</v>
      </c>
      <c r="N167" s="8">
        <v>1</v>
      </c>
      <c r="O167" s="8"/>
      <c r="P167" s="8">
        <v>1</v>
      </c>
    </row>
    <row r="168" spans="1:16">
      <c r="A168" t="s">
        <v>22</v>
      </c>
      <c r="B168">
        <v>213</v>
      </c>
      <c r="C168">
        <v>1</v>
      </c>
      <c r="F168" s="4">
        <v>165</v>
      </c>
      <c r="G168" s="8">
        <v>1</v>
      </c>
      <c r="H168" s="8">
        <v>2</v>
      </c>
      <c r="I168" s="8">
        <v>1</v>
      </c>
      <c r="J168" s="8">
        <v>4</v>
      </c>
      <c r="M168" s="4">
        <v>165</v>
      </c>
      <c r="N168" s="8">
        <v>1</v>
      </c>
      <c r="O168" s="8">
        <v>2</v>
      </c>
      <c r="P168" s="8">
        <v>1</v>
      </c>
    </row>
    <row r="169" spans="1:16">
      <c r="A169" t="s">
        <v>22</v>
      </c>
      <c r="B169">
        <v>215</v>
      </c>
      <c r="C169">
        <v>1</v>
      </c>
      <c r="F169" s="4">
        <v>166</v>
      </c>
      <c r="G169" s="8">
        <v>1</v>
      </c>
      <c r="H169" s="8">
        <v>1</v>
      </c>
      <c r="I169" s="8"/>
      <c r="J169" s="8">
        <v>2</v>
      </c>
      <c r="M169" s="4">
        <v>166</v>
      </c>
      <c r="N169" s="8">
        <v>1</v>
      </c>
      <c r="O169" s="8">
        <v>1</v>
      </c>
      <c r="P169" s="8"/>
    </row>
    <row r="170" spans="1:16">
      <c r="A170" t="s">
        <v>22</v>
      </c>
      <c r="B170">
        <v>218</v>
      </c>
      <c r="C170">
        <v>1</v>
      </c>
      <c r="F170" s="4">
        <v>167</v>
      </c>
      <c r="G170" s="8">
        <v>1</v>
      </c>
      <c r="H170" s="8">
        <v>1</v>
      </c>
      <c r="I170" s="8">
        <v>2</v>
      </c>
      <c r="J170" s="8">
        <v>4</v>
      </c>
      <c r="M170" s="4">
        <v>167</v>
      </c>
      <c r="N170" s="8">
        <v>1</v>
      </c>
      <c r="O170" s="8">
        <v>1</v>
      </c>
      <c r="P170" s="8">
        <v>2</v>
      </c>
    </row>
    <row r="171" spans="1:16">
      <c r="A171" t="s">
        <v>22</v>
      </c>
      <c r="B171">
        <v>220</v>
      </c>
      <c r="C171">
        <v>1</v>
      </c>
      <c r="F171" s="4">
        <v>169</v>
      </c>
      <c r="G171" s="8">
        <v>2</v>
      </c>
      <c r="H171" s="8"/>
      <c r="I171" s="8"/>
      <c r="J171" s="8">
        <v>2</v>
      </c>
      <c r="M171" s="4">
        <v>169</v>
      </c>
      <c r="N171" s="8">
        <v>2</v>
      </c>
      <c r="O171" s="8"/>
      <c r="P171" s="8"/>
    </row>
    <row r="172" spans="1:16">
      <c r="A172" t="s">
        <v>22</v>
      </c>
      <c r="B172">
        <v>222</v>
      </c>
      <c r="C172">
        <v>1</v>
      </c>
      <c r="F172" s="4">
        <v>171</v>
      </c>
      <c r="G172" s="8"/>
      <c r="H172" s="8"/>
      <c r="I172" s="8">
        <v>1</v>
      </c>
      <c r="J172" s="8">
        <v>1</v>
      </c>
      <c r="M172" s="4">
        <v>171</v>
      </c>
      <c r="N172" s="8"/>
      <c r="O172" s="8"/>
      <c r="P172" s="8">
        <v>1</v>
      </c>
    </row>
    <row r="173" spans="1:16">
      <c r="A173" t="s">
        <v>22</v>
      </c>
      <c r="B173">
        <v>224</v>
      </c>
      <c r="C173">
        <v>1</v>
      </c>
      <c r="F173" s="4">
        <v>172</v>
      </c>
      <c r="G173" s="8"/>
      <c r="H173" s="8">
        <v>1</v>
      </c>
      <c r="I173" s="8">
        <v>1</v>
      </c>
      <c r="J173" s="8">
        <v>2</v>
      </c>
      <c r="M173" s="4">
        <v>172</v>
      </c>
      <c r="N173" s="8"/>
      <c r="O173" s="8">
        <v>1</v>
      </c>
      <c r="P173" s="8">
        <v>1</v>
      </c>
    </row>
    <row r="174" spans="1:16">
      <c r="A174" t="s">
        <v>22</v>
      </c>
      <c r="B174">
        <v>227</v>
      </c>
      <c r="C174">
        <v>1</v>
      </c>
      <c r="F174" s="4">
        <v>174</v>
      </c>
      <c r="G174" s="8">
        <v>1</v>
      </c>
      <c r="H174" s="8"/>
      <c r="I174" s="8">
        <v>1</v>
      </c>
      <c r="J174" s="8">
        <v>2</v>
      </c>
      <c r="M174" s="4">
        <v>174</v>
      </c>
      <c r="N174" s="8">
        <v>1</v>
      </c>
      <c r="O174" s="8"/>
      <c r="P174" s="8">
        <v>1</v>
      </c>
    </row>
    <row r="175" spans="1:16">
      <c r="A175" t="s">
        <v>22</v>
      </c>
      <c r="B175">
        <v>228</v>
      </c>
      <c r="C175">
        <v>1</v>
      </c>
      <c r="F175" s="4">
        <v>175</v>
      </c>
      <c r="G175" s="8">
        <v>1</v>
      </c>
      <c r="H175" s="8">
        <v>1</v>
      </c>
      <c r="I175" s="8"/>
      <c r="J175" s="8">
        <v>2</v>
      </c>
      <c r="M175" s="4">
        <v>175</v>
      </c>
      <c r="N175" s="8">
        <v>1</v>
      </c>
      <c r="O175" s="8">
        <v>1</v>
      </c>
      <c r="P175" s="8"/>
    </row>
    <row r="176" spans="1:16">
      <c r="A176" t="s">
        <v>22</v>
      </c>
      <c r="B176">
        <v>230</v>
      </c>
      <c r="C176">
        <v>1</v>
      </c>
      <c r="F176" s="4">
        <v>176</v>
      </c>
      <c r="G176" s="8"/>
      <c r="H176" s="8"/>
      <c r="I176" s="8">
        <v>2</v>
      </c>
      <c r="J176" s="8">
        <v>2</v>
      </c>
      <c r="M176" s="4">
        <v>176</v>
      </c>
      <c r="N176" s="8"/>
      <c r="O176" s="8"/>
      <c r="P176" s="8">
        <v>2</v>
      </c>
    </row>
    <row r="177" spans="1:16">
      <c r="A177" t="s">
        <v>22</v>
      </c>
      <c r="B177">
        <v>233</v>
      </c>
      <c r="C177">
        <v>1</v>
      </c>
      <c r="F177" s="4">
        <v>178</v>
      </c>
      <c r="G177" s="8">
        <v>3</v>
      </c>
      <c r="H177" s="8">
        <v>1</v>
      </c>
      <c r="I177" s="8">
        <v>1</v>
      </c>
      <c r="J177" s="8">
        <v>5</v>
      </c>
      <c r="M177" s="4">
        <v>178</v>
      </c>
      <c r="N177" s="8">
        <v>3</v>
      </c>
      <c r="O177" s="8">
        <v>1</v>
      </c>
      <c r="P177" s="8">
        <v>1</v>
      </c>
    </row>
    <row r="178" spans="1:16">
      <c r="A178" t="s">
        <v>22</v>
      </c>
      <c r="B178">
        <v>236</v>
      </c>
      <c r="C178">
        <v>1</v>
      </c>
      <c r="F178" s="4">
        <v>179</v>
      </c>
      <c r="G178" s="8">
        <v>1</v>
      </c>
      <c r="H178" s="8"/>
      <c r="I178" s="8"/>
      <c r="J178" s="8">
        <v>1</v>
      </c>
      <c r="M178" s="4">
        <v>179</v>
      </c>
      <c r="N178" s="8">
        <v>1</v>
      </c>
      <c r="O178" s="8"/>
      <c r="P178" s="8"/>
    </row>
    <row r="179" spans="1:16">
      <c r="A179" t="s">
        <v>22</v>
      </c>
      <c r="B179">
        <v>238</v>
      </c>
      <c r="C179">
        <v>1</v>
      </c>
      <c r="F179" s="4">
        <v>180</v>
      </c>
      <c r="G179" s="8"/>
      <c r="H179" s="8"/>
      <c r="I179" s="8">
        <v>1</v>
      </c>
      <c r="J179" s="8">
        <v>1</v>
      </c>
      <c r="M179" s="4">
        <v>180</v>
      </c>
      <c r="N179" s="8"/>
      <c r="O179" s="8"/>
      <c r="P179" s="8">
        <v>1</v>
      </c>
    </row>
    <row r="180" spans="1:16">
      <c r="A180" t="s">
        <v>22</v>
      </c>
      <c r="B180">
        <v>244</v>
      </c>
      <c r="C180">
        <v>2</v>
      </c>
      <c r="F180" s="4">
        <v>181</v>
      </c>
      <c r="G180" s="8"/>
      <c r="H180" s="8">
        <v>1</v>
      </c>
      <c r="I180" s="8">
        <v>2</v>
      </c>
      <c r="J180" s="8">
        <v>3</v>
      </c>
      <c r="M180" s="4">
        <v>181</v>
      </c>
      <c r="N180" s="8"/>
      <c r="O180" s="8">
        <v>1</v>
      </c>
      <c r="P180" s="8">
        <v>2</v>
      </c>
    </row>
    <row r="181" spans="1:16">
      <c r="A181" t="s">
        <v>22</v>
      </c>
      <c r="B181">
        <v>247</v>
      </c>
      <c r="C181">
        <v>2</v>
      </c>
      <c r="F181" s="4">
        <v>182</v>
      </c>
      <c r="G181" s="8"/>
      <c r="H181" s="8">
        <v>1</v>
      </c>
      <c r="I181" s="8"/>
      <c r="J181" s="8">
        <v>1</v>
      </c>
      <c r="M181" s="4">
        <v>182</v>
      </c>
      <c r="N181" s="8"/>
      <c r="O181" s="8">
        <v>1</v>
      </c>
      <c r="P181" s="8"/>
    </row>
    <row r="182" spans="1:16">
      <c r="A182" t="s">
        <v>22</v>
      </c>
      <c r="B182">
        <v>262</v>
      </c>
      <c r="C182">
        <v>1</v>
      </c>
      <c r="F182" s="4">
        <v>183</v>
      </c>
      <c r="G182" s="8">
        <v>2</v>
      </c>
      <c r="H182" s="8"/>
      <c r="I182" s="8"/>
      <c r="J182" s="8">
        <v>2</v>
      </c>
      <c r="M182" s="4">
        <v>183</v>
      </c>
      <c r="N182" s="8">
        <v>2</v>
      </c>
      <c r="O182" s="8"/>
      <c r="P182" s="8"/>
    </row>
    <row r="183" spans="1:16">
      <c r="A183" t="s">
        <v>22</v>
      </c>
      <c r="B183">
        <v>263</v>
      </c>
      <c r="C183">
        <v>1</v>
      </c>
      <c r="F183" s="4">
        <v>184</v>
      </c>
      <c r="G183" s="8">
        <v>2</v>
      </c>
      <c r="H183" s="8"/>
      <c r="I183" s="8"/>
      <c r="J183" s="8">
        <v>2</v>
      </c>
      <c r="M183" s="4">
        <v>184</v>
      </c>
      <c r="N183" s="8">
        <v>2</v>
      </c>
      <c r="O183" s="8"/>
      <c r="P183" s="8"/>
    </row>
    <row r="184" spans="1:16">
      <c r="A184" t="s">
        <v>22</v>
      </c>
      <c r="B184">
        <v>288</v>
      </c>
      <c r="C184">
        <v>1</v>
      </c>
      <c r="F184" s="4">
        <v>185</v>
      </c>
      <c r="G184" s="8">
        <v>1</v>
      </c>
      <c r="H184" s="8">
        <v>1</v>
      </c>
      <c r="I184" s="8"/>
      <c r="J184" s="8">
        <v>2</v>
      </c>
      <c r="M184" s="4">
        <v>185</v>
      </c>
      <c r="N184" s="8">
        <v>1</v>
      </c>
      <c r="O184" s="8">
        <v>1</v>
      </c>
      <c r="P184" s="8"/>
    </row>
    <row r="185" spans="1:16">
      <c r="A185" t="s">
        <v>22</v>
      </c>
      <c r="B185">
        <v>303</v>
      </c>
      <c r="C185">
        <v>1</v>
      </c>
      <c r="F185" s="4">
        <v>186</v>
      </c>
      <c r="G185" s="8">
        <v>1</v>
      </c>
      <c r="H185" s="8"/>
      <c r="I185" s="8"/>
      <c r="J185" s="8">
        <v>1</v>
      </c>
      <c r="M185" s="4">
        <v>186</v>
      </c>
      <c r="N185" s="8">
        <v>1</v>
      </c>
      <c r="O185" s="8"/>
      <c r="P185" s="8"/>
    </row>
    <row r="186" spans="1:16">
      <c r="A186" t="s">
        <v>22</v>
      </c>
      <c r="B186">
        <v>330</v>
      </c>
      <c r="C186">
        <v>1</v>
      </c>
      <c r="F186" s="4">
        <v>187</v>
      </c>
      <c r="G186" s="8"/>
      <c r="H186" s="8"/>
      <c r="I186" s="8">
        <v>1</v>
      </c>
      <c r="J186" s="8">
        <v>1</v>
      </c>
      <c r="M186" s="4">
        <v>187</v>
      </c>
      <c r="N186" s="8"/>
      <c r="O186" s="8"/>
      <c r="P186" s="8">
        <v>1</v>
      </c>
    </row>
    <row r="187" spans="1:16">
      <c r="A187" t="s">
        <v>22</v>
      </c>
      <c r="B187">
        <v>331</v>
      </c>
      <c r="C187">
        <v>1</v>
      </c>
      <c r="F187" s="4">
        <v>189</v>
      </c>
      <c r="G187" s="8"/>
      <c r="H187" s="8"/>
      <c r="I187" s="8">
        <v>1</v>
      </c>
      <c r="J187" s="8">
        <v>1</v>
      </c>
      <c r="M187" s="4">
        <v>189</v>
      </c>
      <c r="N187" s="8"/>
      <c r="O187" s="8"/>
      <c r="P187" s="8">
        <v>1</v>
      </c>
    </row>
    <row r="188" spans="1:16">
      <c r="A188" t="s">
        <v>22</v>
      </c>
      <c r="B188">
        <v>333</v>
      </c>
      <c r="C188">
        <v>1</v>
      </c>
      <c r="F188" s="4">
        <v>190</v>
      </c>
      <c r="G188" s="8">
        <v>1</v>
      </c>
      <c r="H188" s="8">
        <v>2</v>
      </c>
      <c r="I188" s="8"/>
      <c r="J188" s="8">
        <v>3</v>
      </c>
      <c r="M188" s="4">
        <v>190</v>
      </c>
      <c r="N188" s="8">
        <v>1</v>
      </c>
      <c r="O188" s="8">
        <v>2</v>
      </c>
      <c r="P188" s="8"/>
    </row>
    <row r="189" spans="1:16">
      <c r="A189" t="s">
        <v>22</v>
      </c>
      <c r="B189">
        <v>356</v>
      </c>
      <c r="C189">
        <v>1</v>
      </c>
      <c r="F189" s="4">
        <v>192</v>
      </c>
      <c r="G189" s="8"/>
      <c r="H189" s="8">
        <v>1</v>
      </c>
      <c r="I189" s="8"/>
      <c r="J189" s="8">
        <v>1</v>
      </c>
      <c r="M189" s="4">
        <v>192</v>
      </c>
      <c r="N189" s="8"/>
      <c r="O189" s="8">
        <v>1</v>
      </c>
      <c r="P189" s="8"/>
    </row>
    <row r="190" spans="1:16">
      <c r="A190" t="s">
        <v>22</v>
      </c>
      <c r="B190">
        <v>361</v>
      </c>
      <c r="C190">
        <v>1</v>
      </c>
      <c r="F190" s="4">
        <v>193</v>
      </c>
      <c r="G190" s="8">
        <v>2</v>
      </c>
      <c r="H190" s="8"/>
      <c r="I190" s="8"/>
      <c r="J190" s="8">
        <v>2</v>
      </c>
      <c r="M190" s="4">
        <v>193</v>
      </c>
      <c r="N190" s="8">
        <v>2</v>
      </c>
      <c r="O190" s="8"/>
      <c r="P190" s="8"/>
    </row>
    <row r="191" spans="1:16">
      <c r="A191" t="s">
        <v>22</v>
      </c>
      <c r="B191">
        <v>362</v>
      </c>
      <c r="C191">
        <v>1</v>
      </c>
      <c r="F191" s="4">
        <v>194</v>
      </c>
      <c r="G191" s="8"/>
      <c r="H191" s="8">
        <v>2</v>
      </c>
      <c r="I191" s="8"/>
      <c r="J191" s="8">
        <v>2</v>
      </c>
      <c r="M191" s="4">
        <v>194</v>
      </c>
      <c r="N191" s="8"/>
      <c r="O191" s="8">
        <v>2</v>
      </c>
      <c r="P191" s="8"/>
    </row>
    <row r="192" spans="1:16">
      <c r="A192" t="s">
        <v>22</v>
      </c>
      <c r="B192">
        <v>366</v>
      </c>
      <c r="C192">
        <v>1</v>
      </c>
      <c r="F192" s="4">
        <v>195</v>
      </c>
      <c r="G192" s="8"/>
      <c r="H192" s="8"/>
      <c r="I192" s="8">
        <v>3</v>
      </c>
      <c r="J192" s="8">
        <v>3</v>
      </c>
      <c r="M192" s="4">
        <v>195</v>
      </c>
      <c r="N192" s="8"/>
      <c r="O192" s="8"/>
      <c r="P192" s="8">
        <v>3</v>
      </c>
    </row>
    <row r="193" spans="1:16">
      <c r="A193" t="s">
        <v>22</v>
      </c>
      <c r="B193">
        <v>394</v>
      </c>
      <c r="C193">
        <v>1</v>
      </c>
      <c r="F193" s="4">
        <v>196</v>
      </c>
      <c r="G193" s="8"/>
      <c r="H193" s="8"/>
      <c r="I193" s="8">
        <v>2</v>
      </c>
      <c r="J193" s="8">
        <v>2</v>
      </c>
      <c r="M193" s="4">
        <v>196</v>
      </c>
      <c r="N193" s="8"/>
      <c r="O193" s="8"/>
      <c r="P193" s="8">
        <v>2</v>
      </c>
    </row>
    <row r="194" spans="1:16">
      <c r="A194" t="s">
        <v>22</v>
      </c>
      <c r="B194">
        <v>395</v>
      </c>
      <c r="C194">
        <v>1</v>
      </c>
      <c r="F194" s="4">
        <v>197</v>
      </c>
      <c r="G194" s="8">
        <v>1</v>
      </c>
      <c r="H194" s="8">
        <v>1</v>
      </c>
      <c r="I194" s="8">
        <v>1</v>
      </c>
      <c r="J194" s="8">
        <v>3</v>
      </c>
      <c r="M194" s="4">
        <v>197</v>
      </c>
      <c r="N194" s="8">
        <v>1</v>
      </c>
      <c r="O194" s="8">
        <v>1</v>
      </c>
      <c r="P194" s="8">
        <v>1</v>
      </c>
    </row>
    <row r="195" spans="1:16">
      <c r="A195" t="s">
        <v>22</v>
      </c>
      <c r="B195">
        <v>414</v>
      </c>
      <c r="C195">
        <v>1</v>
      </c>
      <c r="F195" s="4">
        <v>200</v>
      </c>
      <c r="G195" s="8">
        <v>1</v>
      </c>
      <c r="H195" s="8"/>
      <c r="I195" s="8"/>
      <c r="J195" s="8">
        <v>1</v>
      </c>
      <c r="M195" s="4">
        <v>200</v>
      </c>
      <c r="N195" s="8">
        <v>1</v>
      </c>
      <c r="O195" s="8"/>
      <c r="P195" s="8"/>
    </row>
    <row r="196" spans="1:16">
      <c r="A196" t="s">
        <v>22</v>
      </c>
      <c r="B196">
        <v>428</v>
      </c>
      <c r="C196">
        <v>1</v>
      </c>
      <c r="F196" s="4">
        <v>201</v>
      </c>
      <c r="G196" s="8">
        <v>1</v>
      </c>
      <c r="H196" s="8"/>
      <c r="I196" s="8"/>
      <c r="J196" s="8">
        <v>1</v>
      </c>
      <c r="M196" s="4">
        <v>201</v>
      </c>
      <c r="N196" s="8">
        <v>1</v>
      </c>
      <c r="O196" s="8"/>
      <c r="P196" s="8"/>
    </row>
    <row r="197" spans="1:16">
      <c r="A197" t="s">
        <v>22</v>
      </c>
      <c r="B197">
        <v>476</v>
      </c>
      <c r="C197">
        <v>1</v>
      </c>
      <c r="F197" s="4">
        <v>202</v>
      </c>
      <c r="G197" s="8"/>
      <c r="H197" s="8">
        <v>1</v>
      </c>
      <c r="I197" s="8">
        <v>1</v>
      </c>
      <c r="J197" s="8">
        <v>2</v>
      </c>
      <c r="M197" s="4">
        <v>202</v>
      </c>
      <c r="N197" s="8"/>
      <c r="O197" s="8">
        <v>1</v>
      </c>
      <c r="P197" s="8">
        <v>1</v>
      </c>
    </row>
    <row r="198" spans="1:16">
      <c r="A198" t="s">
        <v>22</v>
      </c>
      <c r="B198">
        <v>480</v>
      </c>
      <c r="C198">
        <v>1</v>
      </c>
      <c r="F198" s="4">
        <v>204</v>
      </c>
      <c r="G198" s="8"/>
      <c r="H198" s="8">
        <v>1</v>
      </c>
      <c r="I198" s="8"/>
      <c r="J198" s="8">
        <v>1</v>
      </c>
      <c r="M198" s="4">
        <v>204</v>
      </c>
      <c r="N198" s="8"/>
      <c r="O198" s="8">
        <v>1</v>
      </c>
      <c r="P198" s="8"/>
    </row>
    <row r="199" spans="1:16">
      <c r="A199" t="s">
        <v>22</v>
      </c>
      <c r="B199">
        <v>566</v>
      </c>
      <c r="C199">
        <v>1</v>
      </c>
      <c r="F199" s="4">
        <v>206</v>
      </c>
      <c r="G199" s="8"/>
      <c r="H199" s="8">
        <v>1</v>
      </c>
      <c r="I199" s="8"/>
      <c r="J199" s="8">
        <v>1</v>
      </c>
      <c r="M199" s="4">
        <v>206</v>
      </c>
      <c r="N199" s="8"/>
      <c r="O199" s="8">
        <v>1</v>
      </c>
      <c r="P199" s="8"/>
    </row>
    <row r="200" spans="1:16">
      <c r="A200" t="s">
        <v>22</v>
      </c>
      <c r="B200">
        <v>743</v>
      </c>
      <c r="C200">
        <v>1</v>
      </c>
      <c r="F200" s="4">
        <v>207</v>
      </c>
      <c r="G200" s="8">
        <v>1</v>
      </c>
      <c r="H200" s="8"/>
      <c r="I200" s="8"/>
      <c r="J200" s="8">
        <v>1</v>
      </c>
      <c r="M200" s="4">
        <v>207</v>
      </c>
      <c r="N200" s="8">
        <v>1</v>
      </c>
      <c r="O200" s="8"/>
      <c r="P200" s="8"/>
    </row>
    <row r="201" spans="1:16">
      <c r="A201" t="s">
        <v>22</v>
      </c>
      <c r="B201">
        <v>750</v>
      </c>
      <c r="C201">
        <v>1</v>
      </c>
      <c r="F201" s="4">
        <v>209</v>
      </c>
      <c r="G201" s="8"/>
      <c r="H201" s="8"/>
      <c r="I201" s="8">
        <v>1</v>
      </c>
      <c r="J201" s="8">
        <v>1</v>
      </c>
      <c r="M201" s="4">
        <v>209</v>
      </c>
      <c r="N201" s="8"/>
      <c r="O201" s="8"/>
      <c r="P201" s="8">
        <v>1</v>
      </c>
    </row>
    <row r="202" spans="1:16">
      <c r="A202" t="s">
        <v>22</v>
      </c>
      <c r="B202">
        <v>909</v>
      </c>
      <c r="C202">
        <v>1</v>
      </c>
      <c r="F202" s="4">
        <v>210</v>
      </c>
      <c r="G202" s="8">
        <v>1</v>
      </c>
      <c r="H202" s="8">
        <v>1</v>
      </c>
      <c r="I202" s="8"/>
      <c r="J202" s="8">
        <v>2</v>
      </c>
      <c r="M202" s="4">
        <v>210</v>
      </c>
      <c r="N202" s="8">
        <v>1</v>
      </c>
      <c r="O202" s="8">
        <v>1</v>
      </c>
      <c r="P202" s="8"/>
    </row>
    <row r="203" spans="1:16">
      <c r="A203" t="s">
        <v>22</v>
      </c>
      <c r="B203">
        <v>1585</v>
      </c>
      <c r="C203">
        <v>1</v>
      </c>
      <c r="F203" s="4">
        <v>211</v>
      </c>
      <c r="G203" s="8"/>
      <c r="H203" s="8"/>
      <c r="I203" s="8">
        <v>1</v>
      </c>
      <c r="J203" s="8">
        <v>1</v>
      </c>
      <c r="M203" s="4">
        <v>211</v>
      </c>
      <c r="N203" s="8"/>
      <c r="O203" s="8"/>
      <c r="P203" s="8">
        <v>1</v>
      </c>
    </row>
    <row r="204" spans="1:16">
      <c r="A204" t="s">
        <v>22</v>
      </c>
      <c r="B204">
        <v>1632</v>
      </c>
      <c r="C204">
        <v>1</v>
      </c>
      <c r="F204" s="4">
        <v>212</v>
      </c>
      <c r="G204" s="8"/>
      <c r="H204" s="8"/>
      <c r="I204" s="8">
        <v>1</v>
      </c>
      <c r="J204" s="8">
        <v>1</v>
      </c>
      <c r="M204" s="4">
        <v>212</v>
      </c>
      <c r="N204" s="8"/>
      <c r="O204" s="8"/>
      <c r="P204" s="8">
        <v>1</v>
      </c>
    </row>
    <row r="205" spans="1:16">
      <c r="A205" t="s">
        <v>23</v>
      </c>
      <c r="B205">
        <v>0</v>
      </c>
      <c r="C205">
        <v>55736</v>
      </c>
      <c r="F205" s="4">
        <v>213</v>
      </c>
      <c r="G205" s="8"/>
      <c r="H205" s="8">
        <v>1</v>
      </c>
      <c r="I205" s="8"/>
      <c r="J205" s="8">
        <v>1</v>
      </c>
      <c r="M205" s="4">
        <v>213</v>
      </c>
      <c r="N205" s="8"/>
      <c r="O205" s="8">
        <v>1</v>
      </c>
      <c r="P205" s="8"/>
    </row>
    <row r="206" spans="1:16">
      <c r="A206" t="s">
        <v>23</v>
      </c>
      <c r="B206">
        <v>1</v>
      </c>
      <c r="C206">
        <v>40519</v>
      </c>
      <c r="F206" s="4">
        <v>214</v>
      </c>
      <c r="G206" s="8"/>
      <c r="H206" s="8"/>
      <c r="I206" s="8">
        <v>1</v>
      </c>
      <c r="J206" s="8">
        <v>1</v>
      </c>
      <c r="M206" s="4">
        <v>214</v>
      </c>
      <c r="N206" s="8"/>
      <c r="O206" s="8"/>
      <c r="P206" s="8">
        <v>1</v>
      </c>
    </row>
    <row r="207" spans="1:16">
      <c r="A207" t="s">
        <v>23</v>
      </c>
      <c r="B207">
        <v>2</v>
      </c>
      <c r="C207">
        <v>24277</v>
      </c>
      <c r="F207" s="4">
        <v>215</v>
      </c>
      <c r="G207" s="8"/>
      <c r="H207" s="8">
        <v>1</v>
      </c>
      <c r="I207" s="8"/>
      <c r="J207" s="8">
        <v>1</v>
      </c>
      <c r="M207" s="4">
        <v>215</v>
      </c>
      <c r="N207" s="8"/>
      <c r="O207" s="8">
        <v>1</v>
      </c>
      <c r="P207" s="8"/>
    </row>
    <row r="208" spans="1:16">
      <c r="A208" t="s">
        <v>23</v>
      </c>
      <c r="B208">
        <v>3</v>
      </c>
      <c r="C208">
        <v>10344</v>
      </c>
      <c r="F208" s="4">
        <v>216</v>
      </c>
      <c r="G208" s="8"/>
      <c r="H208" s="8"/>
      <c r="I208" s="8">
        <v>1</v>
      </c>
      <c r="J208" s="8">
        <v>1</v>
      </c>
      <c r="M208" s="4">
        <v>216</v>
      </c>
      <c r="N208" s="8"/>
      <c r="O208" s="8"/>
      <c r="P208" s="8">
        <v>1</v>
      </c>
    </row>
    <row r="209" spans="1:16">
      <c r="A209" t="s">
        <v>23</v>
      </c>
      <c r="B209">
        <v>4</v>
      </c>
      <c r="C209">
        <v>6475</v>
      </c>
      <c r="F209" s="4">
        <v>217</v>
      </c>
      <c r="G209" s="8">
        <v>2</v>
      </c>
      <c r="H209" s="8"/>
      <c r="I209" s="8">
        <v>1</v>
      </c>
      <c r="J209" s="8">
        <v>3</v>
      </c>
      <c r="M209" s="4">
        <v>217</v>
      </c>
      <c r="N209" s="8">
        <v>2</v>
      </c>
      <c r="O209" s="8"/>
      <c r="P209" s="8">
        <v>1</v>
      </c>
    </row>
    <row r="210" spans="1:16">
      <c r="A210" t="s">
        <v>23</v>
      </c>
      <c r="B210">
        <v>5</v>
      </c>
      <c r="C210">
        <v>4176</v>
      </c>
      <c r="F210" s="4">
        <v>218</v>
      </c>
      <c r="G210" s="8">
        <v>3</v>
      </c>
      <c r="H210" s="8">
        <v>1</v>
      </c>
      <c r="I210" s="8"/>
      <c r="J210" s="8">
        <v>4</v>
      </c>
      <c r="M210" s="4">
        <v>218</v>
      </c>
      <c r="N210" s="8">
        <v>3</v>
      </c>
      <c r="O210" s="8">
        <v>1</v>
      </c>
      <c r="P210" s="8"/>
    </row>
    <row r="211" spans="1:16">
      <c r="A211" t="s">
        <v>23</v>
      </c>
      <c r="B211">
        <v>6</v>
      </c>
      <c r="C211">
        <v>3084</v>
      </c>
      <c r="F211" s="4">
        <v>220</v>
      </c>
      <c r="G211" s="8">
        <v>1</v>
      </c>
      <c r="H211" s="8">
        <v>1</v>
      </c>
      <c r="I211" s="8"/>
      <c r="J211" s="8">
        <v>2</v>
      </c>
      <c r="M211" s="4">
        <v>220</v>
      </c>
      <c r="N211" s="8">
        <v>1</v>
      </c>
      <c r="O211" s="8">
        <v>1</v>
      </c>
      <c r="P211" s="8"/>
    </row>
    <row r="212" spans="1:16">
      <c r="A212" t="s">
        <v>23</v>
      </c>
      <c r="B212">
        <v>7</v>
      </c>
      <c r="C212">
        <v>2181</v>
      </c>
      <c r="F212" s="4">
        <v>222</v>
      </c>
      <c r="G212" s="8">
        <v>1</v>
      </c>
      <c r="H212" s="8">
        <v>1</v>
      </c>
      <c r="I212" s="8"/>
      <c r="J212" s="8">
        <v>2</v>
      </c>
      <c r="M212" s="4">
        <v>222</v>
      </c>
      <c r="N212" s="8">
        <v>1</v>
      </c>
      <c r="O212" s="8">
        <v>1</v>
      </c>
      <c r="P212" s="8"/>
    </row>
    <row r="213" spans="1:16">
      <c r="A213" t="s">
        <v>23</v>
      </c>
      <c r="B213">
        <v>8</v>
      </c>
      <c r="C213">
        <v>1849</v>
      </c>
      <c r="F213" s="4">
        <v>224</v>
      </c>
      <c r="G213" s="8"/>
      <c r="H213" s="8">
        <v>1</v>
      </c>
      <c r="I213" s="8"/>
      <c r="J213" s="8">
        <v>1</v>
      </c>
      <c r="M213" s="4">
        <v>224</v>
      </c>
      <c r="N213" s="8"/>
      <c r="O213" s="8">
        <v>1</v>
      </c>
      <c r="P213" s="8"/>
    </row>
    <row r="214" spans="1:16">
      <c r="A214" t="s">
        <v>23</v>
      </c>
      <c r="B214">
        <v>9</v>
      </c>
      <c r="C214">
        <v>1390</v>
      </c>
      <c r="F214" s="4">
        <v>225</v>
      </c>
      <c r="G214" s="8">
        <v>1</v>
      </c>
      <c r="H214" s="8"/>
      <c r="I214" s="8"/>
      <c r="J214" s="8">
        <v>1</v>
      </c>
      <c r="M214" s="4">
        <v>225</v>
      </c>
      <c r="N214" s="8">
        <v>1</v>
      </c>
      <c r="O214" s="8"/>
      <c r="P214" s="8"/>
    </row>
    <row r="215" spans="1:16">
      <c r="A215" t="s">
        <v>23</v>
      </c>
      <c r="B215">
        <v>10</v>
      </c>
      <c r="C215">
        <v>1153</v>
      </c>
      <c r="F215" s="4">
        <v>226</v>
      </c>
      <c r="G215" s="8"/>
      <c r="H215" s="8"/>
      <c r="I215" s="8">
        <v>1</v>
      </c>
      <c r="J215" s="8">
        <v>1</v>
      </c>
      <c r="M215" s="4">
        <v>226</v>
      </c>
      <c r="N215" s="8"/>
      <c r="O215" s="8"/>
      <c r="P215" s="8">
        <v>1</v>
      </c>
    </row>
    <row r="216" spans="1:16">
      <c r="A216" t="s">
        <v>23</v>
      </c>
      <c r="B216">
        <v>11</v>
      </c>
      <c r="C216">
        <v>869</v>
      </c>
      <c r="F216" s="4">
        <v>227</v>
      </c>
      <c r="G216" s="8"/>
      <c r="H216" s="8">
        <v>1</v>
      </c>
      <c r="I216" s="8"/>
      <c r="J216" s="8">
        <v>1</v>
      </c>
      <c r="M216" s="4">
        <v>227</v>
      </c>
      <c r="N216" s="8"/>
      <c r="O216" s="8">
        <v>1</v>
      </c>
      <c r="P216" s="8"/>
    </row>
    <row r="217" spans="1:16">
      <c r="A217" t="s">
        <v>23</v>
      </c>
      <c r="B217">
        <v>12</v>
      </c>
      <c r="C217">
        <v>760</v>
      </c>
      <c r="F217" s="4">
        <v>228</v>
      </c>
      <c r="G217" s="8"/>
      <c r="H217" s="8">
        <v>1</v>
      </c>
      <c r="I217" s="8"/>
      <c r="J217" s="8">
        <v>1</v>
      </c>
      <c r="M217" s="4">
        <v>228</v>
      </c>
      <c r="N217" s="8"/>
      <c r="O217" s="8">
        <v>1</v>
      </c>
      <c r="P217" s="8"/>
    </row>
    <row r="218" spans="1:16">
      <c r="A218" t="s">
        <v>23</v>
      </c>
      <c r="B218">
        <v>13</v>
      </c>
      <c r="C218">
        <v>623</v>
      </c>
      <c r="F218" s="4">
        <v>230</v>
      </c>
      <c r="G218" s="8"/>
      <c r="H218" s="8">
        <v>1</v>
      </c>
      <c r="I218" s="8"/>
      <c r="J218" s="8">
        <v>1</v>
      </c>
      <c r="M218" s="4">
        <v>230</v>
      </c>
      <c r="N218" s="8"/>
      <c r="O218" s="8">
        <v>1</v>
      </c>
      <c r="P218" s="8"/>
    </row>
    <row r="219" spans="1:16">
      <c r="A219" t="s">
        <v>23</v>
      </c>
      <c r="B219">
        <v>14</v>
      </c>
      <c r="C219">
        <v>590</v>
      </c>
      <c r="F219" s="4">
        <v>231</v>
      </c>
      <c r="G219" s="8">
        <v>2</v>
      </c>
      <c r="H219" s="8"/>
      <c r="I219" s="8"/>
      <c r="J219" s="8">
        <v>2</v>
      </c>
      <c r="M219" s="4">
        <v>231</v>
      </c>
      <c r="N219" s="8">
        <v>2</v>
      </c>
      <c r="O219" s="8"/>
      <c r="P219" s="8"/>
    </row>
    <row r="220" spans="1:16">
      <c r="A220" t="s">
        <v>23</v>
      </c>
      <c r="B220">
        <v>15</v>
      </c>
      <c r="C220">
        <v>488</v>
      </c>
      <c r="F220" s="4">
        <v>232</v>
      </c>
      <c r="G220" s="8"/>
      <c r="H220" s="8"/>
      <c r="I220" s="8">
        <v>3</v>
      </c>
      <c r="J220" s="8">
        <v>3</v>
      </c>
      <c r="M220" s="4">
        <v>232</v>
      </c>
      <c r="N220" s="8"/>
      <c r="O220" s="8"/>
      <c r="P220" s="8">
        <v>3</v>
      </c>
    </row>
    <row r="221" spans="1:16">
      <c r="A221" t="s">
        <v>23</v>
      </c>
      <c r="B221">
        <v>16</v>
      </c>
      <c r="C221">
        <v>421</v>
      </c>
      <c r="F221" s="4">
        <v>233</v>
      </c>
      <c r="G221" s="8"/>
      <c r="H221" s="8">
        <v>1</v>
      </c>
      <c r="I221" s="8">
        <v>1</v>
      </c>
      <c r="J221" s="8">
        <v>2</v>
      </c>
      <c r="M221" s="4">
        <v>233</v>
      </c>
      <c r="N221" s="8"/>
      <c r="O221" s="8">
        <v>1</v>
      </c>
      <c r="P221" s="8">
        <v>1</v>
      </c>
    </row>
    <row r="222" spans="1:16">
      <c r="A222" t="s">
        <v>23</v>
      </c>
      <c r="B222">
        <v>17</v>
      </c>
      <c r="C222">
        <v>367</v>
      </c>
      <c r="F222" s="4">
        <v>236</v>
      </c>
      <c r="G222" s="8"/>
      <c r="H222" s="8">
        <v>1</v>
      </c>
      <c r="I222" s="8"/>
      <c r="J222" s="8">
        <v>1</v>
      </c>
      <c r="M222" s="4">
        <v>236</v>
      </c>
      <c r="N222" s="8"/>
      <c r="O222" s="8">
        <v>1</v>
      </c>
      <c r="P222" s="8"/>
    </row>
    <row r="223" spans="1:16">
      <c r="A223" t="s">
        <v>23</v>
      </c>
      <c r="B223">
        <v>18</v>
      </c>
      <c r="C223">
        <v>301</v>
      </c>
      <c r="F223" s="4">
        <v>237</v>
      </c>
      <c r="G223" s="8"/>
      <c r="H223" s="8"/>
      <c r="I223" s="8">
        <v>1</v>
      </c>
      <c r="J223" s="8">
        <v>1</v>
      </c>
      <c r="M223" s="4">
        <v>237</v>
      </c>
      <c r="N223" s="8"/>
      <c r="O223" s="8"/>
      <c r="P223" s="8">
        <v>1</v>
      </c>
    </row>
    <row r="224" spans="1:16">
      <c r="A224" t="s">
        <v>23</v>
      </c>
      <c r="B224">
        <v>19</v>
      </c>
      <c r="C224">
        <v>274</v>
      </c>
      <c r="F224" s="4">
        <v>238</v>
      </c>
      <c r="G224" s="8">
        <v>1</v>
      </c>
      <c r="H224" s="8">
        <v>1</v>
      </c>
      <c r="I224" s="8"/>
      <c r="J224" s="8">
        <v>2</v>
      </c>
      <c r="M224" s="4">
        <v>238</v>
      </c>
      <c r="N224" s="8">
        <v>1</v>
      </c>
      <c r="O224" s="8">
        <v>1</v>
      </c>
      <c r="P224" s="8"/>
    </row>
    <row r="225" spans="1:16">
      <c r="A225" t="s">
        <v>23</v>
      </c>
      <c r="B225">
        <v>20</v>
      </c>
      <c r="C225">
        <v>270</v>
      </c>
      <c r="F225" s="4">
        <v>239</v>
      </c>
      <c r="G225" s="8"/>
      <c r="H225" s="8"/>
      <c r="I225" s="8">
        <v>1</v>
      </c>
      <c r="J225" s="8">
        <v>1</v>
      </c>
      <c r="M225" s="4">
        <v>239</v>
      </c>
      <c r="N225" s="8"/>
      <c r="O225" s="8"/>
      <c r="P225" s="8">
        <v>1</v>
      </c>
    </row>
    <row r="226" spans="1:16">
      <c r="A226" t="s">
        <v>23</v>
      </c>
      <c r="B226">
        <v>21</v>
      </c>
      <c r="C226">
        <v>206</v>
      </c>
      <c r="F226" s="4">
        <v>243</v>
      </c>
      <c r="G226" s="8">
        <v>1</v>
      </c>
      <c r="H226" s="8"/>
      <c r="I226" s="8"/>
      <c r="J226" s="8">
        <v>1</v>
      </c>
      <c r="M226" s="4">
        <v>243</v>
      </c>
      <c r="N226" s="8">
        <v>1</v>
      </c>
      <c r="O226" s="8"/>
      <c r="P226" s="8"/>
    </row>
    <row r="227" spans="1:16">
      <c r="A227" t="s">
        <v>23</v>
      </c>
      <c r="B227">
        <v>22</v>
      </c>
      <c r="C227">
        <v>198</v>
      </c>
      <c r="F227" s="4">
        <v>244</v>
      </c>
      <c r="G227" s="8"/>
      <c r="H227" s="8">
        <v>2</v>
      </c>
      <c r="I227" s="8"/>
      <c r="J227" s="8">
        <v>2</v>
      </c>
      <c r="M227" s="4">
        <v>244</v>
      </c>
      <c r="N227" s="8"/>
      <c r="O227" s="8">
        <v>2</v>
      </c>
      <c r="P227" s="8"/>
    </row>
    <row r="228" spans="1:16">
      <c r="A228" t="s">
        <v>23</v>
      </c>
      <c r="B228">
        <v>23</v>
      </c>
      <c r="C228">
        <v>163</v>
      </c>
      <c r="F228" s="4">
        <v>246</v>
      </c>
      <c r="G228" s="8">
        <v>1</v>
      </c>
      <c r="H228" s="8"/>
      <c r="I228" s="8">
        <v>1</v>
      </c>
      <c r="J228" s="8">
        <v>2</v>
      </c>
      <c r="M228" s="4">
        <v>246</v>
      </c>
      <c r="N228" s="8">
        <v>1</v>
      </c>
      <c r="O228" s="8"/>
      <c r="P228" s="8">
        <v>1</v>
      </c>
    </row>
    <row r="229" spans="1:16">
      <c r="A229" t="s">
        <v>23</v>
      </c>
      <c r="B229">
        <v>24</v>
      </c>
      <c r="C229">
        <v>162</v>
      </c>
      <c r="F229" s="4">
        <v>247</v>
      </c>
      <c r="G229" s="8">
        <v>1</v>
      </c>
      <c r="H229" s="8">
        <v>2</v>
      </c>
      <c r="I229" s="8"/>
      <c r="J229" s="8">
        <v>3</v>
      </c>
      <c r="M229" s="4">
        <v>247</v>
      </c>
      <c r="N229" s="8">
        <v>1</v>
      </c>
      <c r="O229" s="8">
        <v>2</v>
      </c>
      <c r="P229" s="8"/>
    </row>
    <row r="230" spans="1:16">
      <c r="A230" t="s">
        <v>23</v>
      </c>
      <c r="B230">
        <v>25</v>
      </c>
      <c r="C230">
        <v>124</v>
      </c>
      <c r="F230" s="4">
        <v>251</v>
      </c>
      <c r="G230" s="8"/>
      <c r="H230" s="8"/>
      <c r="I230" s="8">
        <v>1</v>
      </c>
      <c r="J230" s="8">
        <v>1</v>
      </c>
      <c r="M230" s="4">
        <v>251</v>
      </c>
      <c r="N230" s="8"/>
      <c r="O230" s="8"/>
      <c r="P230" s="8">
        <v>1</v>
      </c>
    </row>
    <row r="231" spans="1:16">
      <c r="A231" t="s">
        <v>23</v>
      </c>
      <c r="B231">
        <v>26</v>
      </c>
      <c r="C231">
        <v>159</v>
      </c>
      <c r="F231" s="4">
        <v>254</v>
      </c>
      <c r="G231" s="8">
        <v>1</v>
      </c>
      <c r="H231" s="8"/>
      <c r="I231" s="8"/>
      <c r="J231" s="8">
        <v>1</v>
      </c>
      <c r="M231" s="4">
        <v>254</v>
      </c>
      <c r="N231" s="8">
        <v>1</v>
      </c>
      <c r="O231" s="8"/>
      <c r="P231" s="8"/>
    </row>
    <row r="232" spans="1:16">
      <c r="A232" t="s">
        <v>23</v>
      </c>
      <c r="B232">
        <v>27</v>
      </c>
      <c r="C232">
        <v>119</v>
      </c>
      <c r="F232" s="4">
        <v>256</v>
      </c>
      <c r="G232" s="8"/>
      <c r="H232" s="8"/>
      <c r="I232" s="8">
        <v>1</v>
      </c>
      <c r="J232" s="8">
        <v>1</v>
      </c>
      <c r="M232" s="4">
        <v>256</v>
      </c>
      <c r="N232" s="8"/>
      <c r="O232" s="8"/>
      <c r="P232" s="8">
        <v>1</v>
      </c>
    </row>
    <row r="233" spans="1:16">
      <c r="A233" t="s">
        <v>23</v>
      </c>
      <c r="B233">
        <v>28</v>
      </c>
      <c r="C233">
        <v>97</v>
      </c>
      <c r="F233" s="4">
        <v>257</v>
      </c>
      <c r="G233" s="8">
        <v>1</v>
      </c>
      <c r="H233" s="8"/>
      <c r="I233" s="8"/>
      <c r="J233" s="8">
        <v>1</v>
      </c>
      <c r="M233" s="4">
        <v>257</v>
      </c>
      <c r="N233" s="8">
        <v>1</v>
      </c>
      <c r="O233" s="8"/>
      <c r="P233" s="8"/>
    </row>
    <row r="234" spans="1:16">
      <c r="A234" t="s">
        <v>23</v>
      </c>
      <c r="B234">
        <v>29</v>
      </c>
      <c r="C234">
        <v>86</v>
      </c>
      <c r="F234" s="4">
        <v>259</v>
      </c>
      <c r="G234" s="8"/>
      <c r="H234" s="8"/>
      <c r="I234" s="8">
        <v>1</v>
      </c>
      <c r="J234" s="8">
        <v>1</v>
      </c>
      <c r="M234" s="4">
        <v>259</v>
      </c>
      <c r="N234" s="8"/>
      <c r="O234" s="8"/>
      <c r="P234" s="8">
        <v>1</v>
      </c>
    </row>
    <row r="235" spans="1:16">
      <c r="A235" t="s">
        <v>23</v>
      </c>
      <c r="B235">
        <v>30</v>
      </c>
      <c r="C235">
        <v>91</v>
      </c>
      <c r="F235" s="4">
        <v>261</v>
      </c>
      <c r="G235" s="8">
        <v>1</v>
      </c>
      <c r="H235" s="8"/>
      <c r="I235" s="8"/>
      <c r="J235" s="8">
        <v>1</v>
      </c>
      <c r="M235" s="4">
        <v>261</v>
      </c>
      <c r="N235" s="8">
        <v>1</v>
      </c>
      <c r="O235" s="8"/>
      <c r="P235" s="8"/>
    </row>
    <row r="236" spans="1:16">
      <c r="A236" t="s">
        <v>23</v>
      </c>
      <c r="B236">
        <v>31</v>
      </c>
      <c r="C236">
        <v>90</v>
      </c>
      <c r="F236" s="4">
        <v>262</v>
      </c>
      <c r="G236" s="8"/>
      <c r="H236" s="8">
        <v>1</v>
      </c>
      <c r="I236" s="8"/>
      <c r="J236" s="8">
        <v>1</v>
      </c>
      <c r="M236" s="4">
        <v>262</v>
      </c>
      <c r="N236" s="8"/>
      <c r="O236" s="8">
        <v>1</v>
      </c>
      <c r="P236" s="8"/>
    </row>
    <row r="237" spans="1:16">
      <c r="A237" t="s">
        <v>23</v>
      </c>
      <c r="B237">
        <v>32</v>
      </c>
      <c r="C237">
        <v>65</v>
      </c>
      <c r="F237" s="4">
        <v>263</v>
      </c>
      <c r="G237" s="8"/>
      <c r="H237" s="8">
        <v>1</v>
      </c>
      <c r="I237" s="8"/>
      <c r="J237" s="8">
        <v>1</v>
      </c>
      <c r="M237" s="4">
        <v>263</v>
      </c>
      <c r="N237" s="8"/>
      <c r="O237" s="8">
        <v>1</v>
      </c>
      <c r="P237" s="8"/>
    </row>
    <row r="238" spans="1:16">
      <c r="A238" t="s">
        <v>23</v>
      </c>
      <c r="B238">
        <v>33</v>
      </c>
      <c r="C238">
        <v>69</v>
      </c>
      <c r="F238" s="4">
        <v>269</v>
      </c>
      <c r="G238" s="8">
        <v>1</v>
      </c>
      <c r="H238" s="8"/>
      <c r="I238" s="8"/>
      <c r="J238" s="8">
        <v>1</v>
      </c>
      <c r="M238" s="4">
        <v>269</v>
      </c>
      <c r="N238" s="8">
        <v>1</v>
      </c>
      <c r="O238" s="8"/>
      <c r="P238" s="8"/>
    </row>
    <row r="239" spans="1:16">
      <c r="A239" t="s">
        <v>23</v>
      </c>
      <c r="B239">
        <v>34</v>
      </c>
      <c r="C239">
        <v>67</v>
      </c>
      <c r="F239" s="4">
        <v>270</v>
      </c>
      <c r="G239" s="8"/>
      <c r="H239" s="8"/>
      <c r="I239" s="8">
        <v>1</v>
      </c>
      <c r="J239" s="8">
        <v>1</v>
      </c>
      <c r="M239" s="4">
        <v>270</v>
      </c>
      <c r="N239" s="8"/>
      <c r="O239" s="8"/>
      <c r="P239" s="8">
        <v>1</v>
      </c>
    </row>
    <row r="240" spans="1:16">
      <c r="A240" t="s">
        <v>23</v>
      </c>
      <c r="B240">
        <v>35</v>
      </c>
      <c r="C240">
        <v>61</v>
      </c>
      <c r="F240" s="4">
        <v>273</v>
      </c>
      <c r="G240" s="8">
        <v>1</v>
      </c>
      <c r="H240" s="8"/>
      <c r="I240" s="8"/>
      <c r="J240" s="8">
        <v>1</v>
      </c>
      <c r="M240" s="4">
        <v>273</v>
      </c>
      <c r="N240" s="8">
        <v>1</v>
      </c>
      <c r="O240" s="8"/>
      <c r="P240" s="8"/>
    </row>
    <row r="241" spans="1:16">
      <c r="A241" t="s">
        <v>23</v>
      </c>
      <c r="B241">
        <v>36</v>
      </c>
      <c r="C241">
        <v>60</v>
      </c>
      <c r="F241" s="4">
        <v>280</v>
      </c>
      <c r="G241" s="8">
        <v>1</v>
      </c>
      <c r="H241" s="8"/>
      <c r="I241" s="8"/>
      <c r="J241" s="8">
        <v>1</v>
      </c>
      <c r="M241" s="4">
        <v>280</v>
      </c>
      <c r="N241" s="8">
        <v>1</v>
      </c>
      <c r="O241" s="8"/>
      <c r="P241" s="8"/>
    </row>
    <row r="242" spans="1:16">
      <c r="A242" t="s">
        <v>23</v>
      </c>
      <c r="B242">
        <v>37</v>
      </c>
      <c r="C242">
        <v>37</v>
      </c>
      <c r="F242" s="4">
        <v>281</v>
      </c>
      <c r="G242" s="8">
        <v>1</v>
      </c>
      <c r="H242" s="8"/>
      <c r="I242" s="8"/>
      <c r="J242" s="8">
        <v>1</v>
      </c>
      <c r="M242" s="4">
        <v>281</v>
      </c>
      <c r="N242" s="8">
        <v>1</v>
      </c>
      <c r="O242" s="8"/>
      <c r="P242" s="8"/>
    </row>
    <row r="243" spans="1:16">
      <c r="A243" t="s">
        <v>23</v>
      </c>
      <c r="B243">
        <v>38</v>
      </c>
      <c r="C243">
        <v>40</v>
      </c>
      <c r="F243" s="4">
        <v>282</v>
      </c>
      <c r="G243" s="8">
        <v>1</v>
      </c>
      <c r="H243" s="8"/>
      <c r="I243" s="8"/>
      <c r="J243" s="8">
        <v>1</v>
      </c>
      <c r="M243" s="4">
        <v>282</v>
      </c>
      <c r="N243" s="8">
        <v>1</v>
      </c>
      <c r="O243" s="8"/>
      <c r="P243" s="8"/>
    </row>
    <row r="244" spans="1:16">
      <c r="A244" t="s">
        <v>23</v>
      </c>
      <c r="B244">
        <v>39</v>
      </c>
      <c r="C244">
        <v>48</v>
      </c>
      <c r="F244" s="4">
        <v>286</v>
      </c>
      <c r="G244" s="8"/>
      <c r="H244" s="8"/>
      <c r="I244" s="8">
        <v>1</v>
      </c>
      <c r="J244" s="8">
        <v>1</v>
      </c>
      <c r="M244" s="4">
        <v>286</v>
      </c>
      <c r="N244" s="8"/>
      <c r="O244" s="8"/>
      <c r="P244" s="8">
        <v>1</v>
      </c>
    </row>
    <row r="245" spans="1:16">
      <c r="A245" t="s">
        <v>23</v>
      </c>
      <c r="B245">
        <v>40</v>
      </c>
      <c r="C245">
        <v>39</v>
      </c>
      <c r="F245" s="4">
        <v>288</v>
      </c>
      <c r="G245" s="8"/>
      <c r="H245" s="8">
        <v>1</v>
      </c>
      <c r="I245" s="8"/>
      <c r="J245" s="8">
        <v>1</v>
      </c>
      <c r="M245" s="4">
        <v>288</v>
      </c>
      <c r="N245" s="8"/>
      <c r="O245" s="8">
        <v>1</v>
      </c>
      <c r="P245" s="8"/>
    </row>
    <row r="246" spans="1:16">
      <c r="A246" t="s">
        <v>23</v>
      </c>
      <c r="B246">
        <v>41</v>
      </c>
      <c r="C246">
        <v>33</v>
      </c>
      <c r="F246" s="4">
        <v>293</v>
      </c>
      <c r="G246" s="8">
        <v>1</v>
      </c>
      <c r="H246" s="8"/>
      <c r="I246" s="8"/>
      <c r="J246" s="8">
        <v>1</v>
      </c>
      <c r="M246" s="4">
        <v>293</v>
      </c>
      <c r="N246" s="8">
        <v>1</v>
      </c>
      <c r="O246" s="8"/>
      <c r="P246" s="8"/>
    </row>
    <row r="247" spans="1:16">
      <c r="A247" t="s">
        <v>23</v>
      </c>
      <c r="B247">
        <v>42</v>
      </c>
      <c r="C247">
        <v>35</v>
      </c>
      <c r="F247" s="4">
        <v>296</v>
      </c>
      <c r="G247" s="8">
        <v>1</v>
      </c>
      <c r="H247" s="8"/>
      <c r="I247" s="8"/>
      <c r="J247" s="8">
        <v>1</v>
      </c>
      <c r="M247" s="4">
        <v>296</v>
      </c>
      <c r="N247" s="8">
        <v>1</v>
      </c>
      <c r="O247" s="8"/>
      <c r="P247" s="8"/>
    </row>
    <row r="248" spans="1:16">
      <c r="A248" t="s">
        <v>23</v>
      </c>
      <c r="B248">
        <v>43</v>
      </c>
      <c r="C248">
        <v>30</v>
      </c>
      <c r="F248" s="4">
        <v>299</v>
      </c>
      <c r="G248" s="8">
        <v>2</v>
      </c>
      <c r="H248" s="8"/>
      <c r="I248" s="8">
        <v>1</v>
      </c>
      <c r="J248" s="8">
        <v>3</v>
      </c>
      <c r="M248" s="4">
        <v>299</v>
      </c>
      <c r="N248" s="8">
        <v>2</v>
      </c>
      <c r="O248" s="8"/>
      <c r="P248" s="8">
        <v>1</v>
      </c>
    </row>
    <row r="249" spans="1:16">
      <c r="A249" t="s">
        <v>23</v>
      </c>
      <c r="B249">
        <v>44</v>
      </c>
      <c r="C249">
        <v>31</v>
      </c>
      <c r="F249" s="4">
        <v>303</v>
      </c>
      <c r="G249" s="8">
        <v>1</v>
      </c>
      <c r="H249" s="8">
        <v>1</v>
      </c>
      <c r="I249" s="8"/>
      <c r="J249" s="8">
        <v>2</v>
      </c>
      <c r="M249" s="4">
        <v>303</v>
      </c>
      <c r="N249" s="8">
        <v>1</v>
      </c>
      <c r="O249" s="8">
        <v>1</v>
      </c>
      <c r="P249" s="8"/>
    </row>
    <row r="250" spans="1:16">
      <c r="A250" t="s">
        <v>23</v>
      </c>
      <c r="B250">
        <v>45</v>
      </c>
      <c r="C250">
        <v>28</v>
      </c>
      <c r="F250" s="4">
        <v>306</v>
      </c>
      <c r="G250" s="8">
        <v>1</v>
      </c>
      <c r="H250" s="8"/>
      <c r="I250" s="8"/>
      <c r="J250" s="8">
        <v>1</v>
      </c>
      <c r="M250" s="4">
        <v>306</v>
      </c>
      <c r="N250" s="8">
        <v>1</v>
      </c>
      <c r="O250" s="8"/>
      <c r="P250" s="8"/>
    </row>
    <row r="251" spans="1:16">
      <c r="A251" t="s">
        <v>23</v>
      </c>
      <c r="B251">
        <v>46</v>
      </c>
      <c r="C251">
        <v>30</v>
      </c>
      <c r="F251" s="4">
        <v>307</v>
      </c>
      <c r="G251" s="8">
        <v>1</v>
      </c>
      <c r="H251" s="8"/>
      <c r="I251" s="8"/>
      <c r="J251" s="8">
        <v>1</v>
      </c>
      <c r="M251" s="4">
        <v>307</v>
      </c>
      <c r="N251" s="8">
        <v>1</v>
      </c>
      <c r="O251" s="8"/>
      <c r="P251" s="8"/>
    </row>
    <row r="252" spans="1:16">
      <c r="A252" t="s">
        <v>23</v>
      </c>
      <c r="B252">
        <v>47</v>
      </c>
      <c r="C252">
        <v>18</v>
      </c>
      <c r="F252" s="4">
        <v>309</v>
      </c>
      <c r="G252" s="8"/>
      <c r="H252" s="8"/>
      <c r="I252" s="8">
        <v>1</v>
      </c>
      <c r="J252" s="8">
        <v>1</v>
      </c>
      <c r="M252" s="4">
        <v>309</v>
      </c>
      <c r="N252" s="8"/>
      <c r="O252" s="8"/>
      <c r="P252" s="8">
        <v>1</v>
      </c>
    </row>
    <row r="253" spans="1:16">
      <c r="A253" t="s">
        <v>23</v>
      </c>
      <c r="B253">
        <v>48</v>
      </c>
      <c r="C253">
        <v>25</v>
      </c>
      <c r="F253" s="4">
        <v>314</v>
      </c>
      <c r="G253" s="8">
        <v>1</v>
      </c>
      <c r="H253" s="8"/>
      <c r="I253" s="8"/>
      <c r="J253" s="8">
        <v>1</v>
      </c>
      <c r="M253" s="4">
        <v>314</v>
      </c>
      <c r="N253" s="8">
        <v>1</v>
      </c>
      <c r="O253" s="8"/>
      <c r="P253" s="8"/>
    </row>
    <row r="254" spans="1:16">
      <c r="A254" t="s">
        <v>23</v>
      </c>
      <c r="B254">
        <v>49</v>
      </c>
      <c r="C254">
        <v>14</v>
      </c>
      <c r="F254" s="4">
        <v>316</v>
      </c>
      <c r="G254" s="8"/>
      <c r="H254" s="8"/>
      <c r="I254" s="8">
        <v>1</v>
      </c>
      <c r="J254" s="8">
        <v>1</v>
      </c>
      <c r="M254" s="4">
        <v>316</v>
      </c>
      <c r="N254" s="8"/>
      <c r="O254" s="8"/>
      <c r="P254" s="8">
        <v>1</v>
      </c>
    </row>
    <row r="255" spans="1:16">
      <c r="A255" t="s">
        <v>23</v>
      </c>
      <c r="B255">
        <v>50</v>
      </c>
      <c r="C255">
        <v>22</v>
      </c>
      <c r="F255" s="4">
        <v>322</v>
      </c>
      <c r="G255" s="8">
        <v>1</v>
      </c>
      <c r="H255" s="8"/>
      <c r="I255" s="8"/>
      <c r="J255" s="8">
        <v>1</v>
      </c>
      <c r="M255" s="4">
        <v>322</v>
      </c>
      <c r="N255" s="8">
        <v>1</v>
      </c>
      <c r="O255" s="8"/>
      <c r="P255" s="8"/>
    </row>
    <row r="256" spans="1:16">
      <c r="A256" t="s">
        <v>23</v>
      </c>
      <c r="B256">
        <v>51</v>
      </c>
      <c r="C256">
        <v>28</v>
      </c>
      <c r="F256" s="4">
        <v>325</v>
      </c>
      <c r="G256" s="8">
        <v>1</v>
      </c>
      <c r="H256" s="8"/>
      <c r="I256" s="8"/>
      <c r="J256" s="8">
        <v>1</v>
      </c>
      <c r="M256" s="4">
        <v>325</v>
      </c>
      <c r="N256" s="8">
        <v>1</v>
      </c>
      <c r="O256" s="8"/>
      <c r="P256" s="8"/>
    </row>
    <row r="257" spans="1:16">
      <c r="A257" t="s">
        <v>23</v>
      </c>
      <c r="B257">
        <v>52</v>
      </c>
      <c r="C257">
        <v>16</v>
      </c>
      <c r="F257" s="4">
        <v>327</v>
      </c>
      <c r="G257" s="8"/>
      <c r="H257" s="8"/>
      <c r="I257" s="8">
        <v>1</v>
      </c>
      <c r="J257" s="8">
        <v>1</v>
      </c>
      <c r="M257" s="4">
        <v>327</v>
      </c>
      <c r="N257" s="8"/>
      <c r="O257" s="8"/>
      <c r="P257" s="8">
        <v>1</v>
      </c>
    </row>
    <row r="258" spans="1:16">
      <c r="A258" t="s">
        <v>23</v>
      </c>
      <c r="B258">
        <v>53</v>
      </c>
      <c r="C258">
        <v>15</v>
      </c>
      <c r="F258" s="4">
        <v>330</v>
      </c>
      <c r="G258" s="8"/>
      <c r="H258" s="8">
        <v>1</v>
      </c>
      <c r="I258" s="8"/>
      <c r="J258" s="8">
        <v>1</v>
      </c>
      <c r="M258" s="4">
        <v>330</v>
      </c>
      <c r="N258" s="8"/>
      <c r="O258" s="8">
        <v>1</v>
      </c>
      <c r="P258" s="8"/>
    </row>
    <row r="259" spans="1:16">
      <c r="A259" t="s">
        <v>23</v>
      </c>
      <c r="B259">
        <v>54</v>
      </c>
      <c r="C259">
        <v>23</v>
      </c>
      <c r="F259" s="4">
        <v>331</v>
      </c>
      <c r="G259" s="8"/>
      <c r="H259" s="8">
        <v>1</v>
      </c>
      <c r="I259" s="8"/>
      <c r="J259" s="8">
        <v>1</v>
      </c>
      <c r="M259" s="4">
        <v>331</v>
      </c>
      <c r="N259" s="8"/>
      <c r="O259" s="8">
        <v>1</v>
      </c>
      <c r="P259" s="8"/>
    </row>
    <row r="260" spans="1:16">
      <c r="A260" t="s">
        <v>23</v>
      </c>
      <c r="B260">
        <v>55</v>
      </c>
      <c r="C260">
        <v>17</v>
      </c>
      <c r="F260" s="4">
        <v>333</v>
      </c>
      <c r="G260" s="8"/>
      <c r="H260" s="8">
        <v>1</v>
      </c>
      <c r="I260" s="8"/>
      <c r="J260" s="8">
        <v>1</v>
      </c>
      <c r="M260" s="4">
        <v>333</v>
      </c>
      <c r="N260" s="8"/>
      <c r="O260" s="8">
        <v>1</v>
      </c>
      <c r="P260" s="8"/>
    </row>
    <row r="261" spans="1:16">
      <c r="A261" t="s">
        <v>23</v>
      </c>
      <c r="B261">
        <v>56</v>
      </c>
      <c r="C261">
        <v>15</v>
      </c>
      <c r="F261" s="4">
        <v>335</v>
      </c>
      <c r="G261" s="8">
        <v>1</v>
      </c>
      <c r="H261" s="8"/>
      <c r="I261" s="8"/>
      <c r="J261" s="8">
        <v>1</v>
      </c>
      <c r="M261" s="4">
        <v>335</v>
      </c>
      <c r="N261" s="8">
        <v>1</v>
      </c>
      <c r="O261" s="8"/>
      <c r="P261" s="8"/>
    </row>
    <row r="262" spans="1:16">
      <c r="A262" t="s">
        <v>23</v>
      </c>
      <c r="B262">
        <v>57</v>
      </c>
      <c r="C262">
        <v>9</v>
      </c>
      <c r="F262" s="4">
        <v>336</v>
      </c>
      <c r="G262" s="8"/>
      <c r="H262" s="8"/>
      <c r="I262" s="8">
        <v>1</v>
      </c>
      <c r="J262" s="8">
        <v>1</v>
      </c>
      <c r="M262" s="4">
        <v>336</v>
      </c>
      <c r="N262" s="8"/>
      <c r="O262" s="8"/>
      <c r="P262" s="8">
        <v>1</v>
      </c>
    </row>
    <row r="263" spans="1:16">
      <c r="A263" t="s">
        <v>23</v>
      </c>
      <c r="B263">
        <v>58</v>
      </c>
      <c r="C263">
        <v>15</v>
      </c>
      <c r="F263" s="4">
        <v>338</v>
      </c>
      <c r="G263" s="8"/>
      <c r="H263" s="8"/>
      <c r="I263" s="8">
        <v>1</v>
      </c>
      <c r="J263" s="8">
        <v>1</v>
      </c>
      <c r="M263" s="4">
        <v>338</v>
      </c>
      <c r="N263" s="8"/>
      <c r="O263" s="8"/>
      <c r="P263" s="8">
        <v>1</v>
      </c>
    </row>
    <row r="264" spans="1:16">
      <c r="A264" t="s">
        <v>23</v>
      </c>
      <c r="B264">
        <v>59</v>
      </c>
      <c r="C264">
        <v>14</v>
      </c>
      <c r="F264" s="4">
        <v>347</v>
      </c>
      <c r="G264" s="8"/>
      <c r="H264" s="8"/>
      <c r="I264" s="8">
        <v>1</v>
      </c>
      <c r="J264" s="8">
        <v>1</v>
      </c>
      <c r="M264" s="4">
        <v>347</v>
      </c>
      <c r="N264" s="8"/>
      <c r="O264" s="8"/>
      <c r="P264" s="8">
        <v>1</v>
      </c>
    </row>
    <row r="265" spans="1:16">
      <c r="A265" t="s">
        <v>23</v>
      </c>
      <c r="B265">
        <v>60</v>
      </c>
      <c r="C265">
        <v>18</v>
      </c>
      <c r="F265" s="4">
        <v>352</v>
      </c>
      <c r="G265" s="8"/>
      <c r="H265" s="8"/>
      <c r="I265" s="8">
        <v>1</v>
      </c>
      <c r="J265" s="8">
        <v>1</v>
      </c>
      <c r="M265" s="4">
        <v>352</v>
      </c>
      <c r="N265" s="8"/>
      <c r="O265" s="8"/>
      <c r="P265" s="8">
        <v>1</v>
      </c>
    </row>
    <row r="266" spans="1:16">
      <c r="A266" t="s">
        <v>23</v>
      </c>
      <c r="B266">
        <v>61</v>
      </c>
      <c r="C266">
        <v>11</v>
      </c>
      <c r="F266" s="4">
        <v>354</v>
      </c>
      <c r="G266" s="8"/>
      <c r="H266" s="8"/>
      <c r="I266" s="8">
        <v>1</v>
      </c>
      <c r="J266" s="8">
        <v>1</v>
      </c>
      <c r="M266" s="4">
        <v>354</v>
      </c>
      <c r="N266" s="8"/>
      <c r="O266" s="8"/>
      <c r="P266" s="8">
        <v>1</v>
      </c>
    </row>
    <row r="267" spans="1:16">
      <c r="A267" t="s">
        <v>23</v>
      </c>
      <c r="B267">
        <v>62</v>
      </c>
      <c r="C267">
        <v>16</v>
      </c>
      <c r="F267" s="4">
        <v>356</v>
      </c>
      <c r="G267" s="8"/>
      <c r="H267" s="8">
        <v>1</v>
      </c>
      <c r="I267" s="8">
        <v>1</v>
      </c>
      <c r="J267" s="8">
        <v>2</v>
      </c>
      <c r="M267" s="4">
        <v>356</v>
      </c>
      <c r="N267" s="8"/>
      <c r="O267" s="8">
        <v>1</v>
      </c>
      <c r="P267" s="8">
        <v>1</v>
      </c>
    </row>
    <row r="268" spans="1:16">
      <c r="A268" t="s">
        <v>23</v>
      </c>
      <c r="B268">
        <v>63</v>
      </c>
      <c r="C268">
        <v>20</v>
      </c>
      <c r="F268" s="4">
        <v>361</v>
      </c>
      <c r="G268" s="8"/>
      <c r="H268" s="8">
        <v>1</v>
      </c>
      <c r="I268" s="8"/>
      <c r="J268" s="8">
        <v>1</v>
      </c>
      <c r="M268" s="4">
        <v>361</v>
      </c>
      <c r="N268" s="8"/>
      <c r="O268" s="8">
        <v>1</v>
      </c>
      <c r="P268" s="8"/>
    </row>
    <row r="269" spans="1:16">
      <c r="A269" t="s">
        <v>23</v>
      </c>
      <c r="B269">
        <v>64</v>
      </c>
      <c r="C269">
        <v>18</v>
      </c>
      <c r="F269" s="4">
        <v>362</v>
      </c>
      <c r="G269" s="8"/>
      <c r="H269" s="8">
        <v>1</v>
      </c>
      <c r="I269" s="8"/>
      <c r="J269" s="8">
        <v>1</v>
      </c>
      <c r="M269" s="4">
        <v>362</v>
      </c>
      <c r="N269" s="8"/>
      <c r="O269" s="8">
        <v>1</v>
      </c>
      <c r="P269" s="8"/>
    </row>
    <row r="270" spans="1:16">
      <c r="A270" t="s">
        <v>23</v>
      </c>
      <c r="B270">
        <v>65</v>
      </c>
      <c r="C270">
        <v>13</v>
      </c>
      <c r="F270" s="4">
        <v>364</v>
      </c>
      <c r="G270" s="8">
        <v>1</v>
      </c>
      <c r="H270" s="8"/>
      <c r="I270" s="8"/>
      <c r="J270" s="8">
        <v>1</v>
      </c>
      <c r="M270" s="4">
        <v>364</v>
      </c>
      <c r="N270" s="8">
        <v>1</v>
      </c>
      <c r="O270" s="8"/>
      <c r="P270" s="8"/>
    </row>
    <row r="271" spans="1:16">
      <c r="A271" t="s">
        <v>23</v>
      </c>
      <c r="B271">
        <v>66</v>
      </c>
      <c r="C271">
        <v>8</v>
      </c>
      <c r="F271" s="4">
        <v>365</v>
      </c>
      <c r="G271" s="8">
        <v>1</v>
      </c>
      <c r="H271" s="8"/>
      <c r="I271" s="8"/>
      <c r="J271" s="8">
        <v>1</v>
      </c>
      <c r="M271" s="4">
        <v>365</v>
      </c>
      <c r="N271" s="8">
        <v>1</v>
      </c>
      <c r="O271" s="8"/>
      <c r="P271" s="8"/>
    </row>
    <row r="272" spans="1:16">
      <c r="A272" t="s">
        <v>23</v>
      </c>
      <c r="B272">
        <v>67</v>
      </c>
      <c r="C272">
        <v>5</v>
      </c>
      <c r="F272" s="4">
        <v>366</v>
      </c>
      <c r="G272" s="8"/>
      <c r="H272" s="8">
        <v>1</v>
      </c>
      <c r="I272" s="8"/>
      <c r="J272" s="8">
        <v>1</v>
      </c>
      <c r="M272" s="4">
        <v>366</v>
      </c>
      <c r="N272" s="8"/>
      <c r="O272" s="8">
        <v>1</v>
      </c>
      <c r="P272" s="8"/>
    </row>
    <row r="273" spans="1:16">
      <c r="A273" t="s">
        <v>23</v>
      </c>
      <c r="B273">
        <v>68</v>
      </c>
      <c r="C273">
        <v>6</v>
      </c>
      <c r="F273" s="4">
        <v>372</v>
      </c>
      <c r="G273" s="8">
        <v>1</v>
      </c>
      <c r="H273" s="8"/>
      <c r="I273" s="8"/>
      <c r="J273" s="8">
        <v>1</v>
      </c>
      <c r="M273" s="4">
        <v>372</v>
      </c>
      <c r="N273" s="8">
        <v>1</v>
      </c>
      <c r="O273" s="8"/>
      <c r="P273" s="8"/>
    </row>
    <row r="274" spans="1:16">
      <c r="A274" t="s">
        <v>23</v>
      </c>
      <c r="B274">
        <v>69</v>
      </c>
      <c r="C274">
        <v>11</v>
      </c>
      <c r="F274" s="4">
        <v>386</v>
      </c>
      <c r="G274" s="8">
        <v>1</v>
      </c>
      <c r="H274" s="8"/>
      <c r="I274" s="8"/>
      <c r="J274" s="8">
        <v>1</v>
      </c>
      <c r="M274" s="4">
        <v>386</v>
      </c>
      <c r="N274" s="8">
        <v>1</v>
      </c>
      <c r="O274" s="8"/>
      <c r="P274" s="8"/>
    </row>
    <row r="275" spans="1:16">
      <c r="A275" t="s">
        <v>23</v>
      </c>
      <c r="B275">
        <v>70</v>
      </c>
      <c r="C275">
        <v>7</v>
      </c>
      <c r="F275" s="4">
        <v>394</v>
      </c>
      <c r="G275" s="8">
        <v>1</v>
      </c>
      <c r="H275" s="8">
        <v>1</v>
      </c>
      <c r="I275" s="8"/>
      <c r="J275" s="8">
        <v>2</v>
      </c>
      <c r="M275" s="4">
        <v>394</v>
      </c>
      <c r="N275" s="8">
        <v>1</v>
      </c>
      <c r="O275" s="8">
        <v>1</v>
      </c>
      <c r="P275" s="8"/>
    </row>
    <row r="276" spans="1:16">
      <c r="A276" t="s">
        <v>23</v>
      </c>
      <c r="B276">
        <v>71</v>
      </c>
      <c r="C276">
        <v>15</v>
      </c>
      <c r="F276" s="4">
        <v>395</v>
      </c>
      <c r="G276" s="8"/>
      <c r="H276" s="8">
        <v>1</v>
      </c>
      <c r="I276" s="8"/>
      <c r="J276" s="8">
        <v>1</v>
      </c>
      <c r="M276" s="4">
        <v>395</v>
      </c>
      <c r="N276" s="8"/>
      <c r="O276" s="8">
        <v>1</v>
      </c>
      <c r="P276" s="8"/>
    </row>
    <row r="277" spans="1:16">
      <c r="A277" t="s">
        <v>23</v>
      </c>
      <c r="B277">
        <v>72</v>
      </c>
      <c r="C277">
        <v>6</v>
      </c>
      <c r="F277" s="4">
        <v>413</v>
      </c>
      <c r="G277" s="8">
        <v>1</v>
      </c>
      <c r="H277" s="8"/>
      <c r="I277" s="8"/>
      <c r="J277" s="8">
        <v>1</v>
      </c>
      <c r="M277" s="4">
        <v>413</v>
      </c>
      <c r="N277" s="8">
        <v>1</v>
      </c>
      <c r="O277" s="8"/>
      <c r="P277" s="8"/>
    </row>
    <row r="278" spans="1:16">
      <c r="A278" t="s">
        <v>23</v>
      </c>
      <c r="B278">
        <v>73</v>
      </c>
      <c r="C278">
        <v>7</v>
      </c>
      <c r="F278" s="4">
        <v>414</v>
      </c>
      <c r="G278" s="8"/>
      <c r="H278" s="8">
        <v>1</v>
      </c>
      <c r="I278" s="8"/>
      <c r="J278" s="8">
        <v>1</v>
      </c>
      <c r="M278" s="4">
        <v>414</v>
      </c>
      <c r="N278" s="8"/>
      <c r="O278" s="8">
        <v>1</v>
      </c>
      <c r="P278" s="8"/>
    </row>
    <row r="279" spans="1:16">
      <c r="A279" t="s">
        <v>23</v>
      </c>
      <c r="B279">
        <v>74</v>
      </c>
      <c r="C279">
        <v>15</v>
      </c>
      <c r="F279" s="4">
        <v>428</v>
      </c>
      <c r="G279" s="8"/>
      <c r="H279" s="8">
        <v>1</v>
      </c>
      <c r="I279" s="8"/>
      <c r="J279" s="8">
        <v>1</v>
      </c>
      <c r="M279" s="4">
        <v>428</v>
      </c>
      <c r="N279" s="8"/>
      <c r="O279" s="8">
        <v>1</v>
      </c>
      <c r="P279" s="8"/>
    </row>
    <row r="280" spans="1:16">
      <c r="A280" t="s">
        <v>23</v>
      </c>
      <c r="B280">
        <v>75</v>
      </c>
      <c r="C280">
        <v>5</v>
      </c>
      <c r="F280" s="4">
        <v>446</v>
      </c>
      <c r="G280" s="8">
        <v>1</v>
      </c>
      <c r="H280" s="8"/>
      <c r="I280" s="8"/>
      <c r="J280" s="8">
        <v>1</v>
      </c>
      <c r="M280" s="4">
        <v>446</v>
      </c>
      <c r="N280" s="8">
        <v>1</v>
      </c>
      <c r="O280" s="8"/>
      <c r="P280" s="8"/>
    </row>
    <row r="281" spans="1:16">
      <c r="A281" t="s">
        <v>23</v>
      </c>
      <c r="B281">
        <v>76</v>
      </c>
      <c r="C281">
        <v>6</v>
      </c>
      <c r="F281" s="4">
        <v>453</v>
      </c>
      <c r="G281" s="8">
        <v>1</v>
      </c>
      <c r="H281" s="8"/>
      <c r="I281" s="8"/>
      <c r="J281" s="8">
        <v>1</v>
      </c>
      <c r="M281" s="4">
        <v>453</v>
      </c>
      <c r="N281" s="8">
        <v>1</v>
      </c>
      <c r="O281" s="8"/>
      <c r="P281" s="8"/>
    </row>
    <row r="282" spans="1:16">
      <c r="A282" t="s">
        <v>23</v>
      </c>
      <c r="B282">
        <v>77</v>
      </c>
      <c r="C282">
        <v>6</v>
      </c>
      <c r="F282" s="4">
        <v>462</v>
      </c>
      <c r="G282" s="8">
        <v>1</v>
      </c>
      <c r="H282" s="8"/>
      <c r="I282" s="8"/>
      <c r="J282" s="8">
        <v>1</v>
      </c>
      <c r="M282" s="4">
        <v>462</v>
      </c>
      <c r="N282" s="8">
        <v>1</v>
      </c>
      <c r="O282" s="8"/>
      <c r="P282" s="8"/>
    </row>
    <row r="283" spans="1:16">
      <c r="A283" t="s">
        <v>23</v>
      </c>
      <c r="B283">
        <v>78</v>
      </c>
      <c r="C283">
        <v>5</v>
      </c>
      <c r="F283" s="4">
        <v>476</v>
      </c>
      <c r="G283" s="8"/>
      <c r="H283" s="8">
        <v>1</v>
      </c>
      <c r="I283" s="8"/>
      <c r="J283" s="8">
        <v>1</v>
      </c>
      <c r="M283" s="4">
        <v>476</v>
      </c>
      <c r="N283" s="8"/>
      <c r="O283" s="8">
        <v>1</v>
      </c>
      <c r="P283" s="8"/>
    </row>
    <row r="284" spans="1:16">
      <c r="A284" t="s">
        <v>23</v>
      </c>
      <c r="B284">
        <v>79</v>
      </c>
      <c r="C284">
        <v>8</v>
      </c>
      <c r="F284" s="4">
        <v>479</v>
      </c>
      <c r="G284" s="8"/>
      <c r="H284" s="8"/>
      <c r="I284" s="8">
        <v>1</v>
      </c>
      <c r="J284" s="8">
        <v>1</v>
      </c>
      <c r="M284" s="4">
        <v>479</v>
      </c>
      <c r="N284" s="8"/>
      <c r="O284" s="8"/>
      <c r="P284" s="8">
        <v>1</v>
      </c>
    </row>
    <row r="285" spans="1:16">
      <c r="A285" t="s">
        <v>23</v>
      </c>
      <c r="B285">
        <v>80</v>
      </c>
      <c r="C285">
        <v>8</v>
      </c>
      <c r="F285" s="4">
        <v>480</v>
      </c>
      <c r="G285" s="8"/>
      <c r="H285" s="8">
        <v>1</v>
      </c>
      <c r="I285" s="8"/>
      <c r="J285" s="8">
        <v>1</v>
      </c>
      <c r="M285" s="4">
        <v>480</v>
      </c>
      <c r="N285" s="8"/>
      <c r="O285" s="8">
        <v>1</v>
      </c>
      <c r="P285" s="8"/>
    </row>
    <row r="286" spans="1:16">
      <c r="A286" t="s">
        <v>23</v>
      </c>
      <c r="B286">
        <v>81</v>
      </c>
      <c r="C286">
        <v>6</v>
      </c>
      <c r="F286" s="4">
        <v>491</v>
      </c>
      <c r="G286" s="8"/>
      <c r="H286" s="8"/>
      <c r="I286" s="8">
        <v>1</v>
      </c>
      <c r="J286" s="8">
        <v>1</v>
      </c>
      <c r="M286" s="4">
        <v>491</v>
      </c>
      <c r="N286" s="8"/>
      <c r="O286" s="8"/>
      <c r="P286" s="8">
        <v>1</v>
      </c>
    </row>
    <row r="287" spans="1:16">
      <c r="A287" t="s">
        <v>23</v>
      </c>
      <c r="B287">
        <v>82</v>
      </c>
      <c r="C287">
        <v>6</v>
      </c>
      <c r="F287" s="4">
        <v>497</v>
      </c>
      <c r="G287" s="8"/>
      <c r="H287" s="8"/>
      <c r="I287" s="8">
        <v>1</v>
      </c>
      <c r="J287" s="8">
        <v>1</v>
      </c>
      <c r="M287" s="4">
        <v>497</v>
      </c>
      <c r="N287" s="8"/>
      <c r="O287" s="8"/>
      <c r="P287" s="8">
        <v>1</v>
      </c>
    </row>
    <row r="288" spans="1:16">
      <c r="A288" t="s">
        <v>23</v>
      </c>
      <c r="B288">
        <v>83</v>
      </c>
      <c r="C288">
        <v>3</v>
      </c>
      <c r="F288" s="4">
        <v>511</v>
      </c>
      <c r="G288" s="8"/>
      <c r="H288" s="8"/>
      <c r="I288" s="8">
        <v>1</v>
      </c>
      <c r="J288" s="8">
        <v>1</v>
      </c>
      <c r="M288" s="4">
        <v>511</v>
      </c>
      <c r="N288" s="8"/>
      <c r="O288" s="8"/>
      <c r="P288" s="8">
        <v>1</v>
      </c>
    </row>
    <row r="289" spans="1:16">
      <c r="A289" t="s">
        <v>23</v>
      </c>
      <c r="B289">
        <v>84</v>
      </c>
      <c r="C289">
        <v>5</v>
      </c>
      <c r="F289" s="4">
        <v>519</v>
      </c>
      <c r="G289" s="8">
        <v>1</v>
      </c>
      <c r="H289" s="8"/>
      <c r="I289" s="8"/>
      <c r="J289" s="8">
        <v>1</v>
      </c>
      <c r="M289" s="4">
        <v>519</v>
      </c>
      <c r="N289" s="8">
        <v>1</v>
      </c>
      <c r="O289" s="8"/>
      <c r="P289" s="8"/>
    </row>
    <row r="290" spans="1:16">
      <c r="A290" t="s">
        <v>23</v>
      </c>
      <c r="B290">
        <v>85</v>
      </c>
      <c r="C290">
        <v>2</v>
      </c>
      <c r="F290" s="4">
        <v>525</v>
      </c>
      <c r="G290" s="8"/>
      <c r="H290" s="8"/>
      <c r="I290" s="8">
        <v>1</v>
      </c>
      <c r="J290" s="8">
        <v>1</v>
      </c>
      <c r="M290" s="4">
        <v>525</v>
      </c>
      <c r="N290" s="8"/>
      <c r="O290" s="8"/>
      <c r="P290" s="8">
        <v>1</v>
      </c>
    </row>
    <row r="291" spans="1:16">
      <c r="A291" t="s">
        <v>23</v>
      </c>
      <c r="B291">
        <v>86</v>
      </c>
      <c r="C291">
        <v>6</v>
      </c>
      <c r="F291" s="4">
        <v>546</v>
      </c>
      <c r="G291" s="8"/>
      <c r="H291" s="8"/>
      <c r="I291" s="8">
        <v>1</v>
      </c>
      <c r="J291" s="8">
        <v>1</v>
      </c>
      <c r="M291" s="4">
        <v>546</v>
      </c>
      <c r="N291" s="8"/>
      <c r="O291" s="8"/>
      <c r="P291" s="8">
        <v>1</v>
      </c>
    </row>
    <row r="292" spans="1:16">
      <c r="A292" t="s">
        <v>23</v>
      </c>
      <c r="B292">
        <v>87</v>
      </c>
      <c r="C292">
        <v>1</v>
      </c>
      <c r="F292" s="4">
        <v>566</v>
      </c>
      <c r="G292" s="8"/>
      <c r="H292" s="8">
        <v>1</v>
      </c>
      <c r="I292" s="8"/>
      <c r="J292" s="8">
        <v>1</v>
      </c>
      <c r="M292" s="4">
        <v>566</v>
      </c>
      <c r="N292" s="8"/>
      <c r="O292" s="8">
        <v>1</v>
      </c>
      <c r="P292" s="8"/>
    </row>
    <row r="293" spans="1:16">
      <c r="A293" t="s">
        <v>23</v>
      </c>
      <c r="B293">
        <v>88</v>
      </c>
      <c r="C293">
        <v>9</v>
      </c>
      <c r="F293" s="4">
        <v>573</v>
      </c>
      <c r="G293" s="8">
        <v>1</v>
      </c>
      <c r="H293" s="8"/>
      <c r="I293" s="8"/>
      <c r="J293" s="8">
        <v>1</v>
      </c>
      <c r="M293" s="4">
        <v>573</v>
      </c>
      <c r="N293" s="8">
        <v>1</v>
      </c>
      <c r="O293" s="8"/>
      <c r="P293" s="8"/>
    </row>
    <row r="294" spans="1:16">
      <c r="A294" t="s">
        <v>23</v>
      </c>
      <c r="B294">
        <v>89</v>
      </c>
      <c r="C294">
        <v>2</v>
      </c>
      <c r="F294" s="4">
        <v>592</v>
      </c>
      <c r="G294" s="8"/>
      <c r="H294" s="8"/>
      <c r="I294" s="8">
        <v>1</v>
      </c>
      <c r="J294" s="8">
        <v>1</v>
      </c>
      <c r="M294" s="4">
        <v>592</v>
      </c>
      <c r="N294" s="8"/>
      <c r="O294" s="8"/>
      <c r="P294" s="8">
        <v>1</v>
      </c>
    </row>
    <row r="295" spans="1:16">
      <c r="A295" t="s">
        <v>23</v>
      </c>
      <c r="B295">
        <v>90</v>
      </c>
      <c r="C295">
        <v>7</v>
      </c>
      <c r="F295" s="4">
        <v>714</v>
      </c>
      <c r="G295" s="8"/>
      <c r="H295" s="8"/>
      <c r="I295" s="8">
        <v>1</v>
      </c>
      <c r="J295" s="8">
        <v>1</v>
      </c>
      <c r="M295" s="4">
        <v>714</v>
      </c>
      <c r="N295" s="8"/>
      <c r="O295" s="8"/>
      <c r="P295" s="8">
        <v>1</v>
      </c>
    </row>
    <row r="296" spans="1:16">
      <c r="A296" t="s">
        <v>23</v>
      </c>
      <c r="B296">
        <v>91</v>
      </c>
      <c r="C296">
        <v>4</v>
      </c>
      <c r="F296" s="4">
        <v>736</v>
      </c>
      <c r="G296" s="8"/>
      <c r="H296" s="8"/>
      <c r="I296" s="8">
        <v>1</v>
      </c>
      <c r="J296" s="8">
        <v>1</v>
      </c>
      <c r="M296" s="4">
        <v>736</v>
      </c>
      <c r="N296" s="8"/>
      <c r="O296" s="8"/>
      <c r="P296" s="8">
        <v>1</v>
      </c>
    </row>
    <row r="297" spans="1:16">
      <c r="A297" t="s">
        <v>23</v>
      </c>
      <c r="B297">
        <v>92</v>
      </c>
      <c r="C297">
        <v>2</v>
      </c>
      <c r="F297" s="4">
        <v>743</v>
      </c>
      <c r="G297" s="8"/>
      <c r="H297" s="8">
        <v>1</v>
      </c>
      <c r="I297" s="8"/>
      <c r="J297" s="8">
        <v>1</v>
      </c>
      <c r="M297" s="4">
        <v>743</v>
      </c>
      <c r="N297" s="8"/>
      <c r="O297" s="8">
        <v>1</v>
      </c>
      <c r="P297" s="8"/>
    </row>
    <row r="298" spans="1:16">
      <c r="A298" t="s">
        <v>23</v>
      </c>
      <c r="B298">
        <v>93</v>
      </c>
      <c r="C298">
        <v>9</v>
      </c>
      <c r="F298" s="4">
        <v>750</v>
      </c>
      <c r="G298" s="8">
        <v>1</v>
      </c>
      <c r="H298" s="8">
        <v>1</v>
      </c>
      <c r="I298" s="8"/>
      <c r="J298" s="8">
        <v>2</v>
      </c>
      <c r="M298" s="4">
        <v>750</v>
      </c>
      <c r="N298" s="8">
        <v>1</v>
      </c>
      <c r="O298" s="8">
        <v>1</v>
      </c>
      <c r="P298" s="8"/>
    </row>
    <row r="299" spans="1:16">
      <c r="A299" t="s">
        <v>23</v>
      </c>
      <c r="B299">
        <v>94</v>
      </c>
      <c r="C299">
        <v>3</v>
      </c>
      <c r="F299" s="4">
        <v>776</v>
      </c>
      <c r="G299" s="8"/>
      <c r="H299" s="8"/>
      <c r="I299" s="8">
        <v>1</v>
      </c>
      <c r="J299" s="8">
        <v>1</v>
      </c>
      <c r="M299" s="4">
        <v>776</v>
      </c>
      <c r="N299" s="8"/>
      <c r="O299" s="8"/>
      <c r="P299" s="8">
        <v>1</v>
      </c>
    </row>
    <row r="300" spans="1:16">
      <c r="A300" t="s">
        <v>23</v>
      </c>
      <c r="B300">
        <v>95</v>
      </c>
      <c r="C300">
        <v>5</v>
      </c>
      <c r="F300" s="4">
        <v>864</v>
      </c>
      <c r="G300" s="8"/>
      <c r="H300" s="8"/>
      <c r="I300" s="8">
        <v>1</v>
      </c>
      <c r="J300" s="8">
        <v>1</v>
      </c>
      <c r="M300" s="4">
        <v>864</v>
      </c>
      <c r="N300" s="8"/>
      <c r="O300" s="8"/>
      <c r="P300" s="8">
        <v>1</v>
      </c>
    </row>
    <row r="301" spans="1:16">
      <c r="A301" t="s">
        <v>23</v>
      </c>
      <c r="B301">
        <v>96</v>
      </c>
      <c r="C301">
        <v>3</v>
      </c>
      <c r="F301" s="4">
        <v>865</v>
      </c>
      <c r="G301" s="8">
        <v>1</v>
      </c>
      <c r="H301" s="8"/>
      <c r="I301" s="8"/>
      <c r="J301" s="8">
        <v>1</v>
      </c>
      <c r="M301" s="4">
        <v>865</v>
      </c>
      <c r="N301" s="8">
        <v>1</v>
      </c>
      <c r="O301" s="8"/>
      <c r="P301" s="8"/>
    </row>
    <row r="302" spans="1:16">
      <c r="A302" t="s">
        <v>23</v>
      </c>
      <c r="B302">
        <v>97</v>
      </c>
      <c r="C302">
        <v>4</v>
      </c>
      <c r="F302" s="4">
        <v>909</v>
      </c>
      <c r="G302" s="8"/>
      <c r="H302" s="8">
        <v>1</v>
      </c>
      <c r="I302" s="8"/>
      <c r="J302" s="8">
        <v>1</v>
      </c>
      <c r="M302" s="4">
        <v>909</v>
      </c>
      <c r="N302" s="8"/>
      <c r="O302" s="8">
        <v>1</v>
      </c>
      <c r="P302" s="8"/>
    </row>
    <row r="303" spans="1:16">
      <c r="A303" t="s">
        <v>23</v>
      </c>
      <c r="B303">
        <v>98</v>
      </c>
      <c r="C303">
        <v>2</v>
      </c>
      <c r="F303" s="4">
        <v>960</v>
      </c>
      <c r="G303" s="8">
        <v>1</v>
      </c>
      <c r="H303" s="8"/>
      <c r="I303" s="8"/>
      <c r="J303" s="8">
        <v>1</v>
      </c>
      <c r="M303" s="4">
        <v>960</v>
      </c>
      <c r="N303" s="8">
        <v>1</v>
      </c>
      <c r="O303" s="8"/>
      <c r="P303" s="8"/>
    </row>
    <row r="304" spans="1:16">
      <c r="A304" t="s">
        <v>23</v>
      </c>
      <c r="B304">
        <v>99</v>
      </c>
      <c r="C304">
        <v>5</v>
      </c>
      <c r="F304" s="4">
        <v>1007</v>
      </c>
      <c r="G304" s="8"/>
      <c r="H304" s="8"/>
      <c r="I304" s="8">
        <v>1</v>
      </c>
      <c r="J304" s="8">
        <v>1</v>
      </c>
      <c r="M304" s="4">
        <v>1007</v>
      </c>
      <c r="N304" s="8"/>
      <c r="O304" s="8"/>
      <c r="P304" s="8">
        <v>1</v>
      </c>
    </row>
    <row r="305" spans="1:16">
      <c r="A305" t="s">
        <v>23</v>
      </c>
      <c r="B305">
        <v>100</v>
      </c>
      <c r="C305">
        <v>3</v>
      </c>
      <c r="F305" s="4">
        <v>1029</v>
      </c>
      <c r="G305" s="8"/>
      <c r="H305" s="8"/>
      <c r="I305" s="8">
        <v>1</v>
      </c>
      <c r="J305" s="8">
        <v>1</v>
      </c>
      <c r="M305" s="4">
        <v>1029</v>
      </c>
      <c r="N305" s="8"/>
      <c r="O305" s="8"/>
      <c r="P305" s="8">
        <v>1</v>
      </c>
    </row>
    <row r="306" spans="1:16">
      <c r="A306" t="s">
        <v>23</v>
      </c>
      <c r="B306">
        <v>101</v>
      </c>
      <c r="C306">
        <v>2</v>
      </c>
      <c r="F306" s="4">
        <v>1227</v>
      </c>
      <c r="G306" s="8">
        <v>1</v>
      </c>
      <c r="H306" s="8"/>
      <c r="I306" s="8"/>
      <c r="J306" s="8">
        <v>1</v>
      </c>
      <c r="M306" s="4">
        <v>1227</v>
      </c>
      <c r="N306" s="8">
        <v>1</v>
      </c>
      <c r="O306" s="8"/>
      <c r="P306" s="8"/>
    </row>
    <row r="307" spans="1:16">
      <c r="A307" t="s">
        <v>23</v>
      </c>
      <c r="B307">
        <v>102</v>
      </c>
      <c r="C307">
        <v>2</v>
      </c>
      <c r="F307" s="4">
        <v>1464</v>
      </c>
      <c r="G307" s="8">
        <v>1</v>
      </c>
      <c r="H307" s="8"/>
      <c r="I307" s="8"/>
      <c r="J307" s="8">
        <v>1</v>
      </c>
      <c r="M307" s="4">
        <v>1464</v>
      </c>
      <c r="N307" s="8">
        <v>1</v>
      </c>
      <c r="O307" s="8"/>
      <c r="P307" s="8"/>
    </row>
    <row r="308" spans="1:16">
      <c r="A308" t="s">
        <v>23</v>
      </c>
      <c r="B308">
        <v>103</v>
      </c>
      <c r="C308">
        <v>2</v>
      </c>
      <c r="F308" s="4">
        <v>1585</v>
      </c>
      <c r="G308" s="8"/>
      <c r="H308" s="8">
        <v>1</v>
      </c>
      <c r="I308" s="8"/>
      <c r="J308" s="8">
        <v>1</v>
      </c>
      <c r="M308" s="4">
        <v>1585</v>
      </c>
      <c r="N308" s="8"/>
      <c r="O308" s="8">
        <v>1</v>
      </c>
      <c r="P308" s="8"/>
    </row>
    <row r="309" spans="1:16">
      <c r="A309" t="s">
        <v>23</v>
      </c>
      <c r="B309">
        <v>104</v>
      </c>
      <c r="C309">
        <v>1</v>
      </c>
      <c r="F309" s="4">
        <v>1632</v>
      </c>
      <c r="G309" s="8"/>
      <c r="H309" s="8">
        <v>1</v>
      </c>
      <c r="I309" s="8"/>
      <c r="J309" s="8">
        <v>1</v>
      </c>
      <c r="M309" s="4">
        <v>1632</v>
      </c>
      <c r="N309" s="8"/>
      <c r="O309" s="8">
        <v>1</v>
      </c>
      <c r="P309" s="8"/>
    </row>
    <row r="310" spans="1:16">
      <c r="A310" t="s">
        <v>23</v>
      </c>
      <c r="B310">
        <v>105</v>
      </c>
      <c r="C310">
        <v>2</v>
      </c>
      <c r="F310" s="4">
        <v>2169</v>
      </c>
      <c r="G310" s="8"/>
      <c r="H310" s="8"/>
      <c r="I310" s="8">
        <v>1</v>
      </c>
      <c r="J310" s="8">
        <v>1</v>
      </c>
      <c r="M310" s="4">
        <v>2169</v>
      </c>
      <c r="N310" s="8"/>
      <c r="O310" s="8"/>
      <c r="P310" s="8">
        <v>1</v>
      </c>
    </row>
    <row r="311" spans="1:16">
      <c r="A311" t="s">
        <v>23</v>
      </c>
      <c r="B311">
        <v>106</v>
      </c>
      <c r="C311">
        <v>6</v>
      </c>
      <c r="F311" s="4">
        <v>2709</v>
      </c>
      <c r="G311" s="8"/>
      <c r="H311" s="8"/>
      <c r="I311" s="8">
        <v>1</v>
      </c>
      <c r="J311" s="8">
        <v>1</v>
      </c>
      <c r="M311" s="4">
        <v>2709</v>
      </c>
      <c r="N311" s="8"/>
      <c r="O311" s="8"/>
      <c r="P311" s="8">
        <v>1</v>
      </c>
    </row>
    <row r="312" spans="1:16">
      <c r="A312" t="s">
        <v>23</v>
      </c>
      <c r="B312">
        <v>107</v>
      </c>
      <c r="C312">
        <v>2</v>
      </c>
      <c r="F312" s="4">
        <v>2912</v>
      </c>
      <c r="G312" s="8"/>
      <c r="H312" s="8"/>
      <c r="I312" s="8">
        <v>1</v>
      </c>
      <c r="J312" s="8">
        <v>1</v>
      </c>
      <c r="M312" s="4">
        <v>2912</v>
      </c>
      <c r="N312" s="8"/>
      <c r="O312" s="8"/>
      <c r="P312" s="8">
        <v>1</v>
      </c>
    </row>
    <row r="313" spans="1:16">
      <c r="A313" t="s">
        <v>23</v>
      </c>
      <c r="B313">
        <v>108</v>
      </c>
      <c r="C313">
        <v>4</v>
      </c>
      <c r="F313" s="4">
        <v>3024</v>
      </c>
      <c r="G313" s="8"/>
      <c r="H313" s="8"/>
      <c r="I313" s="8">
        <v>1</v>
      </c>
      <c r="J313" s="8">
        <v>1</v>
      </c>
      <c r="M313" s="4">
        <v>3024</v>
      </c>
      <c r="N313" s="8"/>
      <c r="O313" s="8"/>
      <c r="P313" s="8">
        <v>1</v>
      </c>
    </row>
    <row r="314" spans="1:16">
      <c r="A314" t="s">
        <v>23</v>
      </c>
      <c r="B314">
        <v>109</v>
      </c>
      <c r="C314">
        <v>1</v>
      </c>
      <c r="F314" s="4" t="s">
        <v>9</v>
      </c>
      <c r="G314" s="8">
        <v>159420</v>
      </c>
      <c r="H314" s="8">
        <v>159784</v>
      </c>
      <c r="I314" s="8">
        <v>159007</v>
      </c>
      <c r="J314" s="8">
        <v>478211</v>
      </c>
    </row>
    <row r="315" spans="1:16">
      <c r="A315" t="s">
        <v>23</v>
      </c>
      <c r="B315">
        <v>110</v>
      </c>
      <c r="C315">
        <v>2</v>
      </c>
    </row>
    <row r="316" spans="1:16">
      <c r="A316" t="s">
        <v>23</v>
      </c>
      <c r="B316">
        <v>111</v>
      </c>
      <c r="C316">
        <v>2</v>
      </c>
    </row>
    <row r="317" spans="1:16">
      <c r="A317" t="s">
        <v>23</v>
      </c>
      <c r="B317">
        <v>113</v>
      </c>
      <c r="C317">
        <v>1</v>
      </c>
    </row>
    <row r="318" spans="1:16">
      <c r="A318" t="s">
        <v>23</v>
      </c>
      <c r="B318">
        <v>114</v>
      </c>
      <c r="C318">
        <v>2</v>
      </c>
    </row>
    <row r="319" spans="1:16">
      <c r="A319" t="s">
        <v>23</v>
      </c>
      <c r="B319">
        <v>115</v>
      </c>
      <c r="C319">
        <v>1</v>
      </c>
    </row>
    <row r="320" spans="1:16">
      <c r="A320" t="s">
        <v>23</v>
      </c>
      <c r="B320">
        <v>116</v>
      </c>
      <c r="C320">
        <v>3</v>
      </c>
    </row>
    <row r="321" spans="1:3">
      <c r="A321" t="s">
        <v>23</v>
      </c>
      <c r="B321">
        <v>117</v>
      </c>
      <c r="C321">
        <v>1</v>
      </c>
    </row>
    <row r="322" spans="1:3">
      <c r="A322" t="s">
        <v>23</v>
      </c>
      <c r="B322">
        <v>118</v>
      </c>
      <c r="C322">
        <v>1</v>
      </c>
    </row>
    <row r="323" spans="1:3">
      <c r="A323" t="s">
        <v>23</v>
      </c>
      <c r="B323">
        <v>119</v>
      </c>
      <c r="C323">
        <v>1</v>
      </c>
    </row>
    <row r="324" spans="1:3">
      <c r="A324" t="s">
        <v>23</v>
      </c>
      <c r="B324">
        <v>120</v>
      </c>
      <c r="C324">
        <v>4</v>
      </c>
    </row>
    <row r="325" spans="1:3">
      <c r="A325" t="s">
        <v>23</v>
      </c>
      <c r="B325">
        <v>121</v>
      </c>
      <c r="C325">
        <v>5</v>
      </c>
    </row>
    <row r="326" spans="1:3">
      <c r="A326" t="s">
        <v>23</v>
      </c>
      <c r="B326">
        <v>122</v>
      </c>
      <c r="C326">
        <v>1</v>
      </c>
    </row>
    <row r="327" spans="1:3">
      <c r="A327" t="s">
        <v>23</v>
      </c>
      <c r="B327">
        <v>123</v>
      </c>
      <c r="C327">
        <v>3</v>
      </c>
    </row>
    <row r="328" spans="1:3">
      <c r="A328" t="s">
        <v>23</v>
      </c>
      <c r="B328">
        <v>125</v>
      </c>
      <c r="C328">
        <v>1</v>
      </c>
    </row>
    <row r="329" spans="1:3">
      <c r="A329" t="s">
        <v>23</v>
      </c>
      <c r="B329">
        <v>126</v>
      </c>
      <c r="C329">
        <v>1</v>
      </c>
    </row>
    <row r="330" spans="1:3">
      <c r="A330" t="s">
        <v>23</v>
      </c>
      <c r="B330">
        <v>128</v>
      </c>
      <c r="C330">
        <v>2</v>
      </c>
    </row>
    <row r="331" spans="1:3">
      <c r="A331" t="s">
        <v>23</v>
      </c>
      <c r="B331">
        <v>129</v>
      </c>
      <c r="C331">
        <v>4</v>
      </c>
    </row>
    <row r="332" spans="1:3">
      <c r="A332" t="s">
        <v>23</v>
      </c>
      <c r="B332">
        <v>130</v>
      </c>
      <c r="C332">
        <v>2</v>
      </c>
    </row>
    <row r="333" spans="1:3">
      <c r="A333" t="s">
        <v>23</v>
      </c>
      <c r="B333">
        <v>131</v>
      </c>
      <c r="C333">
        <v>1</v>
      </c>
    </row>
    <row r="334" spans="1:3">
      <c r="A334" t="s">
        <v>23</v>
      </c>
      <c r="B334">
        <v>132</v>
      </c>
      <c r="C334">
        <v>1</v>
      </c>
    </row>
    <row r="335" spans="1:3">
      <c r="A335" t="s">
        <v>23</v>
      </c>
      <c r="B335">
        <v>134</v>
      </c>
      <c r="C335">
        <v>2</v>
      </c>
    </row>
    <row r="336" spans="1:3">
      <c r="A336" t="s">
        <v>23</v>
      </c>
      <c r="B336">
        <v>135</v>
      </c>
      <c r="C336">
        <v>3</v>
      </c>
    </row>
    <row r="337" spans="1:3">
      <c r="A337" t="s">
        <v>23</v>
      </c>
      <c r="B337">
        <v>136</v>
      </c>
      <c r="C337">
        <v>3</v>
      </c>
    </row>
    <row r="338" spans="1:3">
      <c r="A338" t="s">
        <v>23</v>
      </c>
      <c r="B338">
        <v>137</v>
      </c>
      <c r="C338">
        <v>2</v>
      </c>
    </row>
    <row r="339" spans="1:3">
      <c r="A339" t="s">
        <v>23</v>
      </c>
      <c r="B339">
        <v>140</v>
      </c>
      <c r="C339">
        <v>1</v>
      </c>
    </row>
    <row r="340" spans="1:3">
      <c r="A340" t="s">
        <v>23</v>
      </c>
      <c r="B340">
        <v>141</v>
      </c>
      <c r="C340">
        <v>1</v>
      </c>
    </row>
    <row r="341" spans="1:3">
      <c r="A341" t="s">
        <v>23</v>
      </c>
      <c r="B341">
        <v>142</v>
      </c>
      <c r="C341">
        <v>1</v>
      </c>
    </row>
    <row r="342" spans="1:3">
      <c r="A342" t="s">
        <v>23</v>
      </c>
      <c r="B342">
        <v>143</v>
      </c>
      <c r="C342">
        <v>2</v>
      </c>
    </row>
    <row r="343" spans="1:3">
      <c r="A343" t="s">
        <v>23</v>
      </c>
      <c r="B343">
        <v>144</v>
      </c>
      <c r="C343">
        <v>1</v>
      </c>
    </row>
    <row r="344" spans="1:3">
      <c r="A344" t="s">
        <v>23</v>
      </c>
      <c r="B344">
        <v>145</v>
      </c>
      <c r="C344">
        <v>2</v>
      </c>
    </row>
    <row r="345" spans="1:3">
      <c r="A345" t="s">
        <v>23</v>
      </c>
      <c r="B345">
        <v>147</v>
      </c>
      <c r="C345">
        <v>1</v>
      </c>
    </row>
    <row r="346" spans="1:3">
      <c r="A346" t="s">
        <v>23</v>
      </c>
      <c r="B346">
        <v>148</v>
      </c>
      <c r="C346">
        <v>1</v>
      </c>
    </row>
    <row r="347" spans="1:3">
      <c r="A347" t="s">
        <v>23</v>
      </c>
      <c r="B347">
        <v>149</v>
      </c>
      <c r="C347">
        <v>2</v>
      </c>
    </row>
    <row r="348" spans="1:3">
      <c r="A348" t="s">
        <v>23</v>
      </c>
      <c r="B348">
        <v>150</v>
      </c>
      <c r="C348">
        <v>1</v>
      </c>
    </row>
    <row r="349" spans="1:3">
      <c r="A349" t="s">
        <v>23</v>
      </c>
      <c r="B349">
        <v>152</v>
      </c>
      <c r="C349">
        <v>2</v>
      </c>
    </row>
    <row r="350" spans="1:3">
      <c r="A350" t="s">
        <v>23</v>
      </c>
      <c r="B350">
        <v>153</v>
      </c>
      <c r="C350">
        <v>1</v>
      </c>
    </row>
    <row r="351" spans="1:3">
      <c r="A351" t="s">
        <v>23</v>
      </c>
      <c r="B351">
        <v>154</v>
      </c>
      <c r="C351">
        <v>1</v>
      </c>
    </row>
    <row r="352" spans="1:3">
      <c r="A352" t="s">
        <v>23</v>
      </c>
      <c r="B352">
        <v>156</v>
      </c>
      <c r="C352">
        <v>1</v>
      </c>
    </row>
    <row r="353" spans="1:3">
      <c r="A353" t="s">
        <v>23</v>
      </c>
      <c r="B353">
        <v>159</v>
      </c>
      <c r="C353">
        <v>1</v>
      </c>
    </row>
    <row r="354" spans="1:3">
      <c r="A354" t="s">
        <v>23</v>
      </c>
      <c r="B354">
        <v>160</v>
      </c>
      <c r="C354">
        <v>1</v>
      </c>
    </row>
    <row r="355" spans="1:3">
      <c r="A355" t="s">
        <v>23</v>
      </c>
      <c r="B355">
        <v>161</v>
      </c>
      <c r="C355">
        <v>1</v>
      </c>
    </row>
    <row r="356" spans="1:3">
      <c r="A356" t="s">
        <v>23</v>
      </c>
      <c r="B356">
        <v>164</v>
      </c>
      <c r="C356">
        <v>1</v>
      </c>
    </row>
    <row r="357" spans="1:3">
      <c r="A357" t="s">
        <v>23</v>
      </c>
      <c r="B357">
        <v>165</v>
      </c>
      <c r="C357">
        <v>1</v>
      </c>
    </row>
    <row r="358" spans="1:3">
      <c r="A358" t="s">
        <v>23</v>
      </c>
      <c r="B358">
        <v>167</v>
      </c>
      <c r="C358">
        <v>2</v>
      </c>
    </row>
    <row r="359" spans="1:3">
      <c r="A359" t="s">
        <v>23</v>
      </c>
      <c r="B359">
        <v>171</v>
      </c>
      <c r="C359">
        <v>1</v>
      </c>
    </row>
    <row r="360" spans="1:3">
      <c r="A360" t="s">
        <v>23</v>
      </c>
      <c r="B360">
        <v>172</v>
      </c>
      <c r="C360">
        <v>1</v>
      </c>
    </row>
    <row r="361" spans="1:3">
      <c r="A361" t="s">
        <v>23</v>
      </c>
      <c r="B361">
        <v>174</v>
      </c>
      <c r="C361">
        <v>1</v>
      </c>
    </row>
    <row r="362" spans="1:3">
      <c r="A362" t="s">
        <v>23</v>
      </c>
      <c r="B362">
        <v>176</v>
      </c>
      <c r="C362">
        <v>2</v>
      </c>
    </row>
    <row r="363" spans="1:3">
      <c r="A363" t="s">
        <v>23</v>
      </c>
      <c r="B363">
        <v>178</v>
      </c>
      <c r="C363">
        <v>1</v>
      </c>
    </row>
    <row r="364" spans="1:3">
      <c r="A364" t="s">
        <v>23</v>
      </c>
      <c r="B364">
        <v>180</v>
      </c>
      <c r="C364">
        <v>1</v>
      </c>
    </row>
    <row r="365" spans="1:3">
      <c r="A365" t="s">
        <v>23</v>
      </c>
      <c r="B365">
        <v>181</v>
      </c>
      <c r="C365">
        <v>2</v>
      </c>
    </row>
    <row r="366" spans="1:3">
      <c r="A366" t="s">
        <v>23</v>
      </c>
      <c r="B366">
        <v>187</v>
      </c>
      <c r="C366">
        <v>1</v>
      </c>
    </row>
    <row r="367" spans="1:3">
      <c r="A367" t="s">
        <v>23</v>
      </c>
      <c r="B367">
        <v>189</v>
      </c>
      <c r="C367">
        <v>1</v>
      </c>
    </row>
    <row r="368" spans="1:3">
      <c r="A368" t="s">
        <v>23</v>
      </c>
      <c r="B368">
        <v>195</v>
      </c>
      <c r="C368">
        <v>3</v>
      </c>
    </row>
    <row r="369" spans="1:3">
      <c r="A369" t="s">
        <v>23</v>
      </c>
      <c r="B369">
        <v>196</v>
      </c>
      <c r="C369">
        <v>2</v>
      </c>
    </row>
    <row r="370" spans="1:3">
      <c r="A370" t="s">
        <v>23</v>
      </c>
      <c r="B370">
        <v>197</v>
      </c>
      <c r="C370">
        <v>1</v>
      </c>
    </row>
    <row r="371" spans="1:3">
      <c r="A371" t="s">
        <v>23</v>
      </c>
      <c r="B371">
        <v>202</v>
      </c>
      <c r="C371">
        <v>1</v>
      </c>
    </row>
    <row r="372" spans="1:3">
      <c r="A372" t="s">
        <v>23</v>
      </c>
      <c r="B372">
        <v>209</v>
      </c>
      <c r="C372">
        <v>1</v>
      </c>
    </row>
    <row r="373" spans="1:3">
      <c r="A373" t="s">
        <v>23</v>
      </c>
      <c r="B373">
        <v>211</v>
      </c>
      <c r="C373">
        <v>1</v>
      </c>
    </row>
    <row r="374" spans="1:3">
      <c r="A374" t="s">
        <v>23</v>
      </c>
      <c r="B374">
        <v>212</v>
      </c>
      <c r="C374">
        <v>1</v>
      </c>
    </row>
    <row r="375" spans="1:3">
      <c r="A375" t="s">
        <v>23</v>
      </c>
      <c r="B375">
        <v>214</v>
      </c>
      <c r="C375">
        <v>1</v>
      </c>
    </row>
    <row r="376" spans="1:3">
      <c r="A376" t="s">
        <v>23</v>
      </c>
      <c r="B376">
        <v>216</v>
      </c>
      <c r="C376">
        <v>1</v>
      </c>
    </row>
    <row r="377" spans="1:3">
      <c r="A377" t="s">
        <v>23</v>
      </c>
      <c r="B377">
        <v>217</v>
      </c>
      <c r="C377">
        <v>1</v>
      </c>
    </row>
    <row r="378" spans="1:3">
      <c r="A378" t="s">
        <v>23</v>
      </c>
      <c r="B378">
        <v>226</v>
      </c>
      <c r="C378">
        <v>1</v>
      </c>
    </row>
    <row r="379" spans="1:3">
      <c r="A379" t="s">
        <v>23</v>
      </c>
      <c r="B379">
        <v>232</v>
      </c>
      <c r="C379">
        <v>3</v>
      </c>
    </row>
    <row r="380" spans="1:3">
      <c r="A380" t="s">
        <v>23</v>
      </c>
      <c r="B380">
        <v>233</v>
      </c>
      <c r="C380">
        <v>1</v>
      </c>
    </row>
    <row r="381" spans="1:3">
      <c r="A381" t="s">
        <v>23</v>
      </c>
      <c r="B381">
        <v>237</v>
      </c>
      <c r="C381">
        <v>1</v>
      </c>
    </row>
    <row r="382" spans="1:3">
      <c r="A382" t="s">
        <v>23</v>
      </c>
      <c r="B382">
        <v>239</v>
      </c>
      <c r="C382">
        <v>1</v>
      </c>
    </row>
    <row r="383" spans="1:3">
      <c r="A383" t="s">
        <v>23</v>
      </c>
      <c r="B383">
        <v>246</v>
      </c>
      <c r="C383">
        <v>1</v>
      </c>
    </row>
    <row r="384" spans="1:3">
      <c r="A384" t="s">
        <v>23</v>
      </c>
      <c r="B384">
        <v>251</v>
      </c>
      <c r="C384">
        <v>1</v>
      </c>
    </row>
    <row r="385" spans="1:3">
      <c r="A385" t="s">
        <v>23</v>
      </c>
      <c r="B385">
        <v>256</v>
      </c>
      <c r="C385">
        <v>1</v>
      </c>
    </row>
    <row r="386" spans="1:3">
      <c r="A386" t="s">
        <v>23</v>
      </c>
      <c r="B386">
        <v>259</v>
      </c>
      <c r="C386">
        <v>1</v>
      </c>
    </row>
    <row r="387" spans="1:3">
      <c r="A387" t="s">
        <v>23</v>
      </c>
      <c r="B387">
        <v>270</v>
      </c>
      <c r="C387">
        <v>1</v>
      </c>
    </row>
    <row r="388" spans="1:3">
      <c r="A388" t="s">
        <v>23</v>
      </c>
      <c r="B388">
        <v>286</v>
      </c>
      <c r="C388">
        <v>1</v>
      </c>
    </row>
    <row r="389" spans="1:3">
      <c r="A389" t="s">
        <v>23</v>
      </c>
      <c r="B389">
        <v>299</v>
      </c>
      <c r="C389">
        <v>1</v>
      </c>
    </row>
    <row r="390" spans="1:3">
      <c r="A390" t="s">
        <v>23</v>
      </c>
      <c r="B390">
        <v>309</v>
      </c>
      <c r="C390">
        <v>1</v>
      </c>
    </row>
    <row r="391" spans="1:3">
      <c r="A391" t="s">
        <v>23</v>
      </c>
      <c r="B391">
        <v>316</v>
      </c>
      <c r="C391">
        <v>1</v>
      </c>
    </row>
    <row r="392" spans="1:3">
      <c r="A392" t="s">
        <v>23</v>
      </c>
      <c r="B392">
        <v>327</v>
      </c>
      <c r="C392">
        <v>1</v>
      </c>
    </row>
    <row r="393" spans="1:3">
      <c r="A393" t="s">
        <v>23</v>
      </c>
      <c r="B393">
        <v>336</v>
      </c>
      <c r="C393">
        <v>1</v>
      </c>
    </row>
    <row r="394" spans="1:3">
      <c r="A394" t="s">
        <v>23</v>
      </c>
      <c r="B394">
        <v>338</v>
      </c>
      <c r="C394">
        <v>1</v>
      </c>
    </row>
    <row r="395" spans="1:3">
      <c r="A395" t="s">
        <v>23</v>
      </c>
      <c r="B395">
        <v>347</v>
      </c>
      <c r="C395">
        <v>1</v>
      </c>
    </row>
    <row r="396" spans="1:3">
      <c r="A396" t="s">
        <v>23</v>
      </c>
      <c r="B396">
        <v>352</v>
      </c>
      <c r="C396">
        <v>1</v>
      </c>
    </row>
    <row r="397" spans="1:3">
      <c r="A397" t="s">
        <v>23</v>
      </c>
      <c r="B397">
        <v>354</v>
      </c>
      <c r="C397">
        <v>1</v>
      </c>
    </row>
    <row r="398" spans="1:3">
      <c r="A398" t="s">
        <v>23</v>
      </c>
      <c r="B398">
        <v>356</v>
      </c>
      <c r="C398">
        <v>1</v>
      </c>
    </row>
    <row r="399" spans="1:3">
      <c r="A399" t="s">
        <v>23</v>
      </c>
      <c r="B399">
        <v>479</v>
      </c>
      <c r="C399">
        <v>1</v>
      </c>
    </row>
    <row r="400" spans="1:3">
      <c r="A400" t="s">
        <v>23</v>
      </c>
      <c r="B400">
        <v>491</v>
      </c>
      <c r="C400">
        <v>1</v>
      </c>
    </row>
    <row r="401" spans="1:3">
      <c r="A401" t="s">
        <v>23</v>
      </c>
      <c r="B401">
        <v>497</v>
      </c>
      <c r="C401">
        <v>1</v>
      </c>
    </row>
    <row r="402" spans="1:3">
      <c r="A402" t="s">
        <v>23</v>
      </c>
      <c r="B402">
        <v>511</v>
      </c>
      <c r="C402">
        <v>1</v>
      </c>
    </row>
    <row r="403" spans="1:3">
      <c r="A403" t="s">
        <v>23</v>
      </c>
      <c r="B403">
        <v>525</v>
      </c>
      <c r="C403">
        <v>1</v>
      </c>
    </row>
    <row r="404" spans="1:3">
      <c r="A404" t="s">
        <v>23</v>
      </c>
      <c r="B404">
        <v>546</v>
      </c>
      <c r="C404">
        <v>1</v>
      </c>
    </row>
    <row r="405" spans="1:3">
      <c r="A405" t="s">
        <v>23</v>
      </c>
      <c r="B405">
        <v>592</v>
      </c>
      <c r="C405">
        <v>1</v>
      </c>
    </row>
    <row r="406" spans="1:3">
      <c r="A406" t="s">
        <v>23</v>
      </c>
      <c r="B406">
        <v>714</v>
      </c>
      <c r="C406">
        <v>1</v>
      </c>
    </row>
    <row r="407" spans="1:3">
      <c r="A407" t="s">
        <v>23</v>
      </c>
      <c r="B407">
        <v>736</v>
      </c>
      <c r="C407">
        <v>1</v>
      </c>
    </row>
    <row r="408" spans="1:3">
      <c r="A408" t="s">
        <v>23</v>
      </c>
      <c r="B408">
        <v>776</v>
      </c>
      <c r="C408">
        <v>1</v>
      </c>
    </row>
    <row r="409" spans="1:3">
      <c r="A409" t="s">
        <v>23</v>
      </c>
      <c r="B409">
        <v>864</v>
      </c>
      <c r="C409">
        <v>1</v>
      </c>
    </row>
    <row r="410" spans="1:3">
      <c r="A410" t="s">
        <v>23</v>
      </c>
      <c r="B410">
        <v>1007</v>
      </c>
      <c r="C410">
        <v>1</v>
      </c>
    </row>
    <row r="411" spans="1:3">
      <c r="A411" t="s">
        <v>23</v>
      </c>
      <c r="B411">
        <v>1029</v>
      </c>
      <c r="C411">
        <v>1</v>
      </c>
    </row>
    <row r="412" spans="1:3">
      <c r="A412" t="s">
        <v>23</v>
      </c>
      <c r="B412">
        <v>2169</v>
      </c>
      <c r="C412">
        <v>1</v>
      </c>
    </row>
    <row r="413" spans="1:3">
      <c r="A413" t="s">
        <v>23</v>
      </c>
      <c r="B413">
        <v>2709</v>
      </c>
      <c r="C413">
        <v>1</v>
      </c>
    </row>
    <row r="414" spans="1:3">
      <c r="A414" t="s">
        <v>23</v>
      </c>
      <c r="B414">
        <v>2912</v>
      </c>
      <c r="C414">
        <v>1</v>
      </c>
    </row>
    <row r="415" spans="1:3">
      <c r="A415" t="s">
        <v>23</v>
      </c>
      <c r="B415">
        <v>3024</v>
      </c>
      <c r="C415">
        <v>1</v>
      </c>
    </row>
    <row r="416" spans="1:3">
      <c r="A416" t="s">
        <v>21</v>
      </c>
      <c r="B416">
        <v>0</v>
      </c>
      <c r="C416">
        <v>74830</v>
      </c>
    </row>
    <row r="417" spans="1:3">
      <c r="A417" t="s">
        <v>21</v>
      </c>
      <c r="B417">
        <v>1</v>
      </c>
      <c r="C417">
        <v>33747</v>
      </c>
    </row>
    <row r="418" spans="1:3">
      <c r="A418" t="s">
        <v>21</v>
      </c>
      <c r="B418">
        <v>2</v>
      </c>
      <c r="C418">
        <v>15437</v>
      </c>
    </row>
    <row r="419" spans="1:3">
      <c r="A419" t="s">
        <v>21</v>
      </c>
      <c r="B419">
        <v>3</v>
      </c>
      <c r="C419">
        <v>8536</v>
      </c>
    </row>
    <row r="420" spans="1:3">
      <c r="A420" t="s">
        <v>21</v>
      </c>
      <c r="B420">
        <v>4</v>
      </c>
      <c r="C420">
        <v>5775</v>
      </c>
    </row>
    <row r="421" spans="1:3">
      <c r="A421" t="s">
        <v>21</v>
      </c>
      <c r="B421">
        <v>5</v>
      </c>
      <c r="C421">
        <v>3933</v>
      </c>
    </row>
    <row r="422" spans="1:3">
      <c r="A422" t="s">
        <v>21</v>
      </c>
      <c r="B422">
        <v>6</v>
      </c>
      <c r="C422">
        <v>2834</v>
      </c>
    </row>
    <row r="423" spans="1:3">
      <c r="A423" t="s">
        <v>21</v>
      </c>
      <c r="B423">
        <v>7</v>
      </c>
      <c r="C423">
        <v>2174</v>
      </c>
    </row>
    <row r="424" spans="1:3">
      <c r="A424" t="s">
        <v>21</v>
      </c>
      <c r="B424">
        <v>8</v>
      </c>
      <c r="C424">
        <v>1743</v>
      </c>
    </row>
    <row r="425" spans="1:3">
      <c r="A425" t="s">
        <v>21</v>
      </c>
      <c r="B425">
        <v>9</v>
      </c>
      <c r="C425">
        <v>1291</v>
      </c>
    </row>
    <row r="426" spans="1:3">
      <c r="A426" t="s">
        <v>21</v>
      </c>
      <c r="B426">
        <v>10</v>
      </c>
      <c r="C426">
        <v>1131</v>
      </c>
    </row>
    <row r="427" spans="1:3">
      <c r="A427" t="s">
        <v>21</v>
      </c>
      <c r="B427">
        <v>11</v>
      </c>
      <c r="C427">
        <v>943</v>
      </c>
    </row>
    <row r="428" spans="1:3">
      <c r="A428" t="s">
        <v>21</v>
      </c>
      <c r="B428">
        <v>12</v>
      </c>
      <c r="C428">
        <v>790</v>
      </c>
    </row>
    <row r="429" spans="1:3">
      <c r="A429" t="s">
        <v>21</v>
      </c>
      <c r="B429">
        <v>13</v>
      </c>
      <c r="C429">
        <v>634</v>
      </c>
    </row>
    <row r="430" spans="1:3">
      <c r="A430" t="s">
        <v>21</v>
      </c>
      <c r="B430">
        <v>14</v>
      </c>
      <c r="C430">
        <v>582</v>
      </c>
    </row>
    <row r="431" spans="1:3">
      <c r="A431" t="s">
        <v>21</v>
      </c>
      <c r="B431">
        <v>15</v>
      </c>
      <c r="C431">
        <v>455</v>
      </c>
    </row>
    <row r="432" spans="1:3">
      <c r="A432" t="s">
        <v>21</v>
      </c>
      <c r="B432">
        <v>16</v>
      </c>
      <c r="C432">
        <v>445</v>
      </c>
    </row>
    <row r="433" spans="1:3">
      <c r="A433" t="s">
        <v>21</v>
      </c>
      <c r="B433">
        <v>17</v>
      </c>
      <c r="C433">
        <v>349</v>
      </c>
    </row>
    <row r="434" spans="1:3">
      <c r="A434" t="s">
        <v>21</v>
      </c>
      <c r="B434">
        <v>18</v>
      </c>
      <c r="C434">
        <v>336</v>
      </c>
    </row>
    <row r="435" spans="1:3">
      <c r="A435" t="s">
        <v>21</v>
      </c>
      <c r="B435">
        <v>19</v>
      </c>
      <c r="C435">
        <v>265</v>
      </c>
    </row>
    <row r="436" spans="1:3">
      <c r="A436" t="s">
        <v>21</v>
      </c>
      <c r="B436">
        <v>20</v>
      </c>
      <c r="C436">
        <v>244</v>
      </c>
    </row>
    <row r="437" spans="1:3">
      <c r="A437" t="s">
        <v>21</v>
      </c>
      <c r="B437">
        <v>21</v>
      </c>
      <c r="C437">
        <v>191</v>
      </c>
    </row>
    <row r="438" spans="1:3">
      <c r="A438" t="s">
        <v>21</v>
      </c>
      <c r="B438">
        <v>22</v>
      </c>
      <c r="C438">
        <v>210</v>
      </c>
    </row>
    <row r="439" spans="1:3">
      <c r="A439" t="s">
        <v>21</v>
      </c>
      <c r="B439">
        <v>23</v>
      </c>
      <c r="C439">
        <v>162</v>
      </c>
    </row>
    <row r="440" spans="1:3">
      <c r="A440" t="s">
        <v>21</v>
      </c>
      <c r="B440">
        <v>24</v>
      </c>
      <c r="C440">
        <v>171</v>
      </c>
    </row>
    <row r="441" spans="1:3">
      <c r="A441" t="s">
        <v>21</v>
      </c>
      <c r="B441">
        <v>25</v>
      </c>
      <c r="C441">
        <v>140</v>
      </c>
    </row>
    <row r="442" spans="1:3">
      <c r="A442" t="s">
        <v>21</v>
      </c>
      <c r="B442">
        <v>26</v>
      </c>
      <c r="C442">
        <v>146</v>
      </c>
    </row>
    <row r="443" spans="1:3">
      <c r="A443" t="s">
        <v>21</v>
      </c>
      <c r="B443">
        <v>27</v>
      </c>
      <c r="C443">
        <v>116</v>
      </c>
    </row>
    <row r="444" spans="1:3">
      <c r="A444" t="s">
        <v>21</v>
      </c>
      <c r="B444">
        <v>28</v>
      </c>
      <c r="C444">
        <v>108</v>
      </c>
    </row>
    <row r="445" spans="1:3">
      <c r="A445" t="s">
        <v>21</v>
      </c>
      <c r="B445">
        <v>29</v>
      </c>
      <c r="C445">
        <v>98</v>
      </c>
    </row>
    <row r="446" spans="1:3">
      <c r="A446" t="s">
        <v>21</v>
      </c>
      <c r="B446">
        <v>30</v>
      </c>
      <c r="C446">
        <v>94</v>
      </c>
    </row>
    <row r="447" spans="1:3">
      <c r="A447" t="s">
        <v>21</v>
      </c>
      <c r="B447">
        <v>31</v>
      </c>
      <c r="C447">
        <v>89</v>
      </c>
    </row>
    <row r="448" spans="1:3">
      <c r="A448" t="s">
        <v>21</v>
      </c>
      <c r="B448">
        <v>32</v>
      </c>
      <c r="C448">
        <v>86</v>
      </c>
    </row>
    <row r="449" spans="1:3">
      <c r="A449" t="s">
        <v>21</v>
      </c>
      <c r="B449">
        <v>33</v>
      </c>
      <c r="C449">
        <v>65</v>
      </c>
    </row>
    <row r="450" spans="1:3">
      <c r="A450" t="s">
        <v>21</v>
      </c>
      <c r="B450">
        <v>34</v>
      </c>
      <c r="C450">
        <v>59</v>
      </c>
    </row>
    <row r="451" spans="1:3">
      <c r="A451" t="s">
        <v>21</v>
      </c>
      <c r="B451">
        <v>35</v>
      </c>
      <c r="C451">
        <v>58</v>
      </c>
    </row>
    <row r="452" spans="1:3">
      <c r="A452" t="s">
        <v>21</v>
      </c>
      <c r="B452">
        <v>36</v>
      </c>
      <c r="C452">
        <v>59</v>
      </c>
    </row>
    <row r="453" spans="1:3">
      <c r="A453" t="s">
        <v>21</v>
      </c>
      <c r="B453">
        <v>37</v>
      </c>
      <c r="C453">
        <v>45</v>
      </c>
    </row>
    <row r="454" spans="1:3">
      <c r="A454" t="s">
        <v>21</v>
      </c>
      <c r="B454">
        <v>38</v>
      </c>
      <c r="C454">
        <v>60</v>
      </c>
    </row>
    <row r="455" spans="1:3">
      <c r="A455" t="s">
        <v>21</v>
      </c>
      <c r="B455">
        <v>39</v>
      </c>
      <c r="C455">
        <v>38</v>
      </c>
    </row>
    <row r="456" spans="1:3">
      <c r="A456" t="s">
        <v>21</v>
      </c>
      <c r="B456">
        <v>40</v>
      </c>
      <c r="C456">
        <v>42</v>
      </c>
    </row>
    <row r="457" spans="1:3">
      <c r="A457" t="s">
        <v>21</v>
      </c>
      <c r="B457">
        <v>41</v>
      </c>
      <c r="C457">
        <v>35</v>
      </c>
    </row>
    <row r="458" spans="1:3">
      <c r="A458" t="s">
        <v>21</v>
      </c>
      <c r="B458">
        <v>42</v>
      </c>
      <c r="C458">
        <v>44</v>
      </c>
    </row>
    <row r="459" spans="1:3">
      <c r="A459" t="s">
        <v>21</v>
      </c>
      <c r="B459">
        <v>43</v>
      </c>
      <c r="C459">
        <v>19</v>
      </c>
    </row>
    <row r="460" spans="1:3">
      <c r="A460" t="s">
        <v>21</v>
      </c>
      <c r="B460">
        <v>44</v>
      </c>
      <c r="C460">
        <v>37</v>
      </c>
    </row>
    <row r="461" spans="1:3">
      <c r="A461" t="s">
        <v>21</v>
      </c>
      <c r="B461">
        <v>45</v>
      </c>
      <c r="C461">
        <v>43</v>
      </c>
    </row>
    <row r="462" spans="1:3">
      <c r="A462" t="s">
        <v>21</v>
      </c>
      <c r="B462">
        <v>46</v>
      </c>
      <c r="C462">
        <v>32</v>
      </c>
    </row>
    <row r="463" spans="1:3">
      <c r="A463" t="s">
        <v>21</v>
      </c>
      <c r="B463">
        <v>47</v>
      </c>
      <c r="C463">
        <v>23</v>
      </c>
    </row>
    <row r="464" spans="1:3">
      <c r="A464" t="s">
        <v>21</v>
      </c>
      <c r="B464">
        <v>48</v>
      </c>
      <c r="C464">
        <v>24</v>
      </c>
    </row>
    <row r="465" spans="1:3">
      <c r="A465" t="s">
        <v>21</v>
      </c>
      <c r="B465">
        <v>49</v>
      </c>
      <c r="C465">
        <v>22</v>
      </c>
    </row>
    <row r="466" spans="1:3">
      <c r="A466" t="s">
        <v>21</v>
      </c>
      <c r="B466">
        <v>50</v>
      </c>
      <c r="C466">
        <v>25</v>
      </c>
    </row>
    <row r="467" spans="1:3">
      <c r="A467" t="s">
        <v>21</v>
      </c>
      <c r="B467">
        <v>51</v>
      </c>
      <c r="C467">
        <v>20</v>
      </c>
    </row>
    <row r="468" spans="1:3">
      <c r="A468" t="s">
        <v>21</v>
      </c>
      <c r="B468">
        <v>52</v>
      </c>
      <c r="C468">
        <v>19</v>
      </c>
    </row>
    <row r="469" spans="1:3">
      <c r="A469" t="s">
        <v>21</v>
      </c>
      <c r="B469">
        <v>53</v>
      </c>
      <c r="C469">
        <v>14</v>
      </c>
    </row>
    <row r="470" spans="1:3">
      <c r="A470" t="s">
        <v>21</v>
      </c>
      <c r="B470">
        <v>54</v>
      </c>
      <c r="C470">
        <v>20</v>
      </c>
    </row>
    <row r="471" spans="1:3">
      <c r="A471" t="s">
        <v>21</v>
      </c>
      <c r="B471">
        <v>55</v>
      </c>
      <c r="C471">
        <v>22</v>
      </c>
    </row>
    <row r="472" spans="1:3">
      <c r="A472" t="s">
        <v>21</v>
      </c>
      <c r="B472">
        <v>56</v>
      </c>
      <c r="C472">
        <v>16</v>
      </c>
    </row>
    <row r="473" spans="1:3">
      <c r="A473" t="s">
        <v>21</v>
      </c>
      <c r="B473">
        <v>57</v>
      </c>
      <c r="C473">
        <v>16</v>
      </c>
    </row>
    <row r="474" spans="1:3">
      <c r="A474" t="s">
        <v>21</v>
      </c>
      <c r="B474">
        <v>58</v>
      </c>
      <c r="C474">
        <v>17</v>
      </c>
    </row>
    <row r="475" spans="1:3">
      <c r="A475" t="s">
        <v>21</v>
      </c>
      <c r="B475">
        <v>59</v>
      </c>
      <c r="C475">
        <v>5</v>
      </c>
    </row>
    <row r="476" spans="1:3">
      <c r="A476" t="s">
        <v>21</v>
      </c>
      <c r="B476">
        <v>60</v>
      </c>
      <c r="C476">
        <v>13</v>
      </c>
    </row>
    <row r="477" spans="1:3">
      <c r="A477" t="s">
        <v>21</v>
      </c>
      <c r="B477">
        <v>61</v>
      </c>
      <c r="C477">
        <v>16</v>
      </c>
    </row>
    <row r="478" spans="1:3">
      <c r="A478" t="s">
        <v>21</v>
      </c>
      <c r="B478">
        <v>62</v>
      </c>
      <c r="C478">
        <v>14</v>
      </c>
    </row>
    <row r="479" spans="1:3">
      <c r="A479" t="s">
        <v>21</v>
      </c>
      <c r="B479">
        <v>63</v>
      </c>
      <c r="C479">
        <v>12</v>
      </c>
    </row>
    <row r="480" spans="1:3">
      <c r="A480" t="s">
        <v>21</v>
      </c>
      <c r="B480">
        <v>64</v>
      </c>
      <c r="C480">
        <v>8</v>
      </c>
    </row>
    <row r="481" spans="1:3">
      <c r="A481" t="s">
        <v>21</v>
      </c>
      <c r="B481">
        <v>65</v>
      </c>
      <c r="C481">
        <v>9</v>
      </c>
    </row>
    <row r="482" spans="1:3">
      <c r="A482" t="s">
        <v>21</v>
      </c>
      <c r="B482">
        <v>66</v>
      </c>
      <c r="C482">
        <v>5</v>
      </c>
    </row>
    <row r="483" spans="1:3">
      <c r="A483" t="s">
        <v>21</v>
      </c>
      <c r="B483">
        <v>67</v>
      </c>
      <c r="C483">
        <v>7</v>
      </c>
    </row>
    <row r="484" spans="1:3">
      <c r="A484" t="s">
        <v>21</v>
      </c>
      <c r="B484">
        <v>68</v>
      </c>
      <c r="C484">
        <v>9</v>
      </c>
    </row>
    <row r="485" spans="1:3">
      <c r="A485" t="s">
        <v>21</v>
      </c>
      <c r="B485">
        <v>69</v>
      </c>
      <c r="C485">
        <v>9</v>
      </c>
    </row>
    <row r="486" spans="1:3">
      <c r="A486" t="s">
        <v>21</v>
      </c>
      <c r="B486">
        <v>70</v>
      </c>
      <c r="C486">
        <v>6</v>
      </c>
    </row>
    <row r="487" spans="1:3">
      <c r="A487" t="s">
        <v>21</v>
      </c>
      <c r="B487">
        <v>71</v>
      </c>
      <c r="C487">
        <v>7</v>
      </c>
    </row>
    <row r="488" spans="1:3">
      <c r="A488" t="s">
        <v>21</v>
      </c>
      <c r="B488">
        <v>72</v>
      </c>
      <c r="C488">
        <v>12</v>
      </c>
    </row>
    <row r="489" spans="1:3">
      <c r="A489" t="s">
        <v>21</v>
      </c>
      <c r="B489">
        <v>73</v>
      </c>
      <c r="C489">
        <v>12</v>
      </c>
    </row>
    <row r="490" spans="1:3">
      <c r="A490" t="s">
        <v>21</v>
      </c>
      <c r="B490">
        <v>74</v>
      </c>
      <c r="C490">
        <v>13</v>
      </c>
    </row>
    <row r="491" spans="1:3">
      <c r="A491" t="s">
        <v>21</v>
      </c>
      <c r="B491">
        <v>75</v>
      </c>
      <c r="C491">
        <v>8</v>
      </c>
    </row>
    <row r="492" spans="1:3">
      <c r="A492" t="s">
        <v>21</v>
      </c>
      <c r="B492">
        <v>76</v>
      </c>
      <c r="C492">
        <v>13</v>
      </c>
    </row>
    <row r="493" spans="1:3">
      <c r="A493" t="s">
        <v>21</v>
      </c>
      <c r="B493">
        <v>77</v>
      </c>
      <c r="C493">
        <v>9</v>
      </c>
    </row>
    <row r="494" spans="1:3">
      <c r="A494" t="s">
        <v>21</v>
      </c>
      <c r="B494">
        <v>78</v>
      </c>
      <c r="C494">
        <v>7</v>
      </c>
    </row>
    <row r="495" spans="1:3">
      <c r="A495" t="s">
        <v>21</v>
      </c>
      <c r="B495">
        <v>79</v>
      </c>
      <c r="C495">
        <v>11</v>
      </c>
    </row>
    <row r="496" spans="1:3">
      <c r="A496" t="s">
        <v>21</v>
      </c>
      <c r="B496">
        <v>80</v>
      </c>
      <c r="C496">
        <v>5</v>
      </c>
    </row>
    <row r="497" spans="1:3">
      <c r="A497" t="s">
        <v>21</v>
      </c>
      <c r="B497">
        <v>81</v>
      </c>
      <c r="C497">
        <v>7</v>
      </c>
    </row>
    <row r="498" spans="1:3">
      <c r="A498" t="s">
        <v>21</v>
      </c>
      <c r="B498">
        <v>82</v>
      </c>
      <c r="C498">
        <v>7</v>
      </c>
    </row>
    <row r="499" spans="1:3">
      <c r="A499" t="s">
        <v>21</v>
      </c>
      <c r="B499">
        <v>83</v>
      </c>
      <c r="C499">
        <v>2</v>
      </c>
    </row>
    <row r="500" spans="1:3">
      <c r="A500" t="s">
        <v>21</v>
      </c>
      <c r="B500">
        <v>84</v>
      </c>
      <c r="C500">
        <v>7</v>
      </c>
    </row>
    <row r="501" spans="1:3">
      <c r="A501" t="s">
        <v>21</v>
      </c>
      <c r="B501">
        <v>85</v>
      </c>
      <c r="C501">
        <v>3</v>
      </c>
    </row>
    <row r="502" spans="1:3">
      <c r="A502" t="s">
        <v>21</v>
      </c>
      <c r="B502">
        <v>86</v>
      </c>
      <c r="C502">
        <v>2</v>
      </c>
    </row>
    <row r="503" spans="1:3">
      <c r="A503" t="s">
        <v>21</v>
      </c>
      <c r="B503">
        <v>87</v>
      </c>
      <c r="C503">
        <v>4</v>
      </c>
    </row>
    <row r="504" spans="1:3">
      <c r="A504" t="s">
        <v>21</v>
      </c>
      <c r="B504">
        <v>88</v>
      </c>
      <c r="C504">
        <v>2</v>
      </c>
    </row>
    <row r="505" spans="1:3">
      <c r="A505" t="s">
        <v>21</v>
      </c>
      <c r="B505">
        <v>89</v>
      </c>
      <c r="C505">
        <v>3</v>
      </c>
    </row>
    <row r="506" spans="1:3">
      <c r="A506" t="s">
        <v>21</v>
      </c>
      <c r="B506">
        <v>90</v>
      </c>
      <c r="C506">
        <v>6</v>
      </c>
    </row>
    <row r="507" spans="1:3">
      <c r="A507" t="s">
        <v>21</v>
      </c>
      <c r="B507">
        <v>91</v>
      </c>
      <c r="C507">
        <v>8</v>
      </c>
    </row>
    <row r="508" spans="1:3">
      <c r="A508" t="s">
        <v>21</v>
      </c>
      <c r="B508">
        <v>92</v>
      </c>
      <c r="C508">
        <v>4</v>
      </c>
    </row>
    <row r="509" spans="1:3">
      <c r="A509" t="s">
        <v>21</v>
      </c>
      <c r="B509">
        <v>93</v>
      </c>
      <c r="C509">
        <v>2</v>
      </c>
    </row>
    <row r="510" spans="1:3">
      <c r="A510" t="s">
        <v>21</v>
      </c>
      <c r="B510">
        <v>94</v>
      </c>
      <c r="C510">
        <v>6</v>
      </c>
    </row>
    <row r="511" spans="1:3">
      <c r="A511" t="s">
        <v>21</v>
      </c>
      <c r="B511">
        <v>95</v>
      </c>
      <c r="C511">
        <v>3</v>
      </c>
    </row>
    <row r="512" spans="1:3">
      <c r="A512" t="s">
        <v>21</v>
      </c>
      <c r="B512">
        <v>96</v>
      </c>
      <c r="C512">
        <v>2</v>
      </c>
    </row>
    <row r="513" spans="1:3">
      <c r="A513" t="s">
        <v>21</v>
      </c>
      <c r="B513">
        <v>97</v>
      </c>
      <c r="C513">
        <v>3</v>
      </c>
    </row>
    <row r="514" spans="1:3">
      <c r="A514" t="s">
        <v>21</v>
      </c>
      <c r="B514">
        <v>98</v>
      </c>
      <c r="C514">
        <v>2</v>
      </c>
    </row>
    <row r="515" spans="1:3">
      <c r="A515" t="s">
        <v>21</v>
      </c>
      <c r="B515">
        <v>99</v>
      </c>
      <c r="C515">
        <v>3</v>
      </c>
    </row>
    <row r="516" spans="1:3">
      <c r="A516" t="s">
        <v>21</v>
      </c>
      <c r="B516">
        <v>100</v>
      </c>
      <c r="C516">
        <v>2</v>
      </c>
    </row>
    <row r="517" spans="1:3">
      <c r="A517" t="s">
        <v>21</v>
      </c>
      <c r="B517">
        <v>101</v>
      </c>
      <c r="C517">
        <v>5</v>
      </c>
    </row>
    <row r="518" spans="1:3">
      <c r="A518" t="s">
        <v>21</v>
      </c>
      <c r="B518">
        <v>102</v>
      </c>
      <c r="C518">
        <v>5</v>
      </c>
    </row>
    <row r="519" spans="1:3">
      <c r="A519" t="s">
        <v>21</v>
      </c>
      <c r="B519">
        <v>103</v>
      </c>
      <c r="C519">
        <v>3</v>
      </c>
    </row>
    <row r="520" spans="1:3">
      <c r="A520" t="s">
        <v>21</v>
      </c>
      <c r="B520">
        <v>104</v>
      </c>
      <c r="C520">
        <v>3</v>
      </c>
    </row>
    <row r="521" spans="1:3">
      <c r="A521" t="s">
        <v>21</v>
      </c>
      <c r="B521">
        <v>105</v>
      </c>
      <c r="C521">
        <v>2</v>
      </c>
    </row>
    <row r="522" spans="1:3">
      <c r="A522" t="s">
        <v>21</v>
      </c>
      <c r="B522">
        <v>106</v>
      </c>
      <c r="C522">
        <v>2</v>
      </c>
    </row>
    <row r="523" spans="1:3">
      <c r="A523" t="s">
        <v>21</v>
      </c>
      <c r="B523">
        <v>107</v>
      </c>
      <c r="C523">
        <v>5</v>
      </c>
    </row>
    <row r="524" spans="1:3">
      <c r="A524" t="s">
        <v>21</v>
      </c>
      <c r="B524">
        <v>108</v>
      </c>
      <c r="C524">
        <v>3</v>
      </c>
    </row>
    <row r="525" spans="1:3">
      <c r="A525" t="s">
        <v>21</v>
      </c>
      <c r="B525">
        <v>109</v>
      </c>
      <c r="C525">
        <v>2</v>
      </c>
    </row>
    <row r="526" spans="1:3">
      <c r="A526" t="s">
        <v>21</v>
      </c>
      <c r="B526">
        <v>110</v>
      </c>
      <c r="C526">
        <v>2</v>
      </c>
    </row>
    <row r="527" spans="1:3">
      <c r="A527" t="s">
        <v>21</v>
      </c>
      <c r="B527">
        <v>111</v>
      </c>
      <c r="C527">
        <v>2</v>
      </c>
    </row>
    <row r="528" spans="1:3">
      <c r="A528" t="s">
        <v>21</v>
      </c>
      <c r="B528">
        <v>112</v>
      </c>
      <c r="C528">
        <v>4</v>
      </c>
    </row>
    <row r="529" spans="1:3">
      <c r="A529" t="s">
        <v>21</v>
      </c>
      <c r="B529">
        <v>113</v>
      </c>
      <c r="C529">
        <v>1</v>
      </c>
    </row>
    <row r="530" spans="1:3">
      <c r="A530" t="s">
        <v>21</v>
      </c>
      <c r="B530">
        <v>114</v>
      </c>
      <c r="C530">
        <v>3</v>
      </c>
    </row>
    <row r="531" spans="1:3">
      <c r="A531" t="s">
        <v>21</v>
      </c>
      <c r="B531">
        <v>115</v>
      </c>
      <c r="C531">
        <v>4</v>
      </c>
    </row>
    <row r="532" spans="1:3">
      <c r="A532" t="s">
        <v>21</v>
      </c>
      <c r="B532">
        <v>117</v>
      </c>
      <c r="C532">
        <v>2</v>
      </c>
    </row>
    <row r="533" spans="1:3">
      <c r="A533" t="s">
        <v>21</v>
      </c>
      <c r="B533">
        <v>118</v>
      </c>
      <c r="C533">
        <v>1</v>
      </c>
    </row>
    <row r="534" spans="1:3">
      <c r="A534" t="s">
        <v>21</v>
      </c>
      <c r="B534">
        <v>119</v>
      </c>
      <c r="C534">
        <v>1</v>
      </c>
    </row>
    <row r="535" spans="1:3">
      <c r="A535" t="s">
        <v>21</v>
      </c>
      <c r="B535">
        <v>120</v>
      </c>
      <c r="C535">
        <v>8</v>
      </c>
    </row>
    <row r="536" spans="1:3">
      <c r="A536" t="s">
        <v>21</v>
      </c>
      <c r="B536">
        <v>121</v>
      </c>
      <c r="C536">
        <v>2</v>
      </c>
    </row>
    <row r="537" spans="1:3">
      <c r="A537" t="s">
        <v>21</v>
      </c>
      <c r="B537">
        <v>122</v>
      </c>
      <c r="C537">
        <v>2</v>
      </c>
    </row>
    <row r="538" spans="1:3">
      <c r="A538" t="s">
        <v>21</v>
      </c>
      <c r="B538">
        <v>123</v>
      </c>
      <c r="C538">
        <v>1</v>
      </c>
    </row>
    <row r="539" spans="1:3">
      <c r="A539" t="s">
        <v>21</v>
      </c>
      <c r="B539">
        <v>125</v>
      </c>
      <c r="C539">
        <v>4</v>
      </c>
    </row>
    <row r="540" spans="1:3">
      <c r="A540" t="s">
        <v>21</v>
      </c>
      <c r="B540">
        <v>126</v>
      </c>
      <c r="C540">
        <v>2</v>
      </c>
    </row>
    <row r="541" spans="1:3">
      <c r="A541" t="s">
        <v>21</v>
      </c>
      <c r="B541">
        <v>127</v>
      </c>
      <c r="C541">
        <v>2</v>
      </c>
    </row>
    <row r="542" spans="1:3">
      <c r="A542" t="s">
        <v>21</v>
      </c>
      <c r="B542">
        <v>129</v>
      </c>
      <c r="C542">
        <v>1</v>
      </c>
    </row>
    <row r="543" spans="1:3">
      <c r="A543" t="s">
        <v>21</v>
      </c>
      <c r="B543">
        <v>131</v>
      </c>
      <c r="C543">
        <v>2</v>
      </c>
    </row>
    <row r="544" spans="1:3">
      <c r="A544" t="s">
        <v>21</v>
      </c>
      <c r="B544">
        <v>133</v>
      </c>
      <c r="C544">
        <v>1</v>
      </c>
    </row>
    <row r="545" spans="1:3">
      <c r="A545" t="s">
        <v>21</v>
      </c>
      <c r="B545">
        <v>134</v>
      </c>
      <c r="C545">
        <v>1</v>
      </c>
    </row>
    <row r="546" spans="1:3">
      <c r="A546" t="s">
        <v>21</v>
      </c>
      <c r="B546">
        <v>135</v>
      </c>
      <c r="C546">
        <v>3</v>
      </c>
    </row>
    <row r="547" spans="1:3">
      <c r="A547" t="s">
        <v>21</v>
      </c>
      <c r="B547">
        <v>138</v>
      </c>
      <c r="C547">
        <v>1</v>
      </c>
    </row>
    <row r="548" spans="1:3">
      <c r="A548" t="s">
        <v>21</v>
      </c>
      <c r="B548">
        <v>140</v>
      </c>
      <c r="C548">
        <v>2</v>
      </c>
    </row>
    <row r="549" spans="1:3">
      <c r="A549" t="s">
        <v>21</v>
      </c>
      <c r="B549">
        <v>141</v>
      </c>
      <c r="C549">
        <v>3</v>
      </c>
    </row>
    <row r="550" spans="1:3">
      <c r="A550" t="s">
        <v>21</v>
      </c>
      <c r="B550">
        <v>142</v>
      </c>
      <c r="C550">
        <v>1</v>
      </c>
    </row>
    <row r="551" spans="1:3">
      <c r="A551" t="s">
        <v>21</v>
      </c>
      <c r="B551">
        <v>143</v>
      </c>
      <c r="C551">
        <v>1</v>
      </c>
    </row>
    <row r="552" spans="1:3">
      <c r="A552" t="s">
        <v>21</v>
      </c>
      <c r="B552">
        <v>144</v>
      </c>
      <c r="C552">
        <v>1</v>
      </c>
    </row>
    <row r="553" spans="1:3">
      <c r="A553" t="s">
        <v>21</v>
      </c>
      <c r="B553">
        <v>145</v>
      </c>
      <c r="C553">
        <v>1</v>
      </c>
    </row>
    <row r="554" spans="1:3">
      <c r="A554" t="s">
        <v>21</v>
      </c>
      <c r="B554">
        <v>147</v>
      </c>
      <c r="C554">
        <v>2</v>
      </c>
    </row>
    <row r="555" spans="1:3">
      <c r="A555" t="s">
        <v>21</v>
      </c>
      <c r="B555">
        <v>150</v>
      </c>
      <c r="C555">
        <v>1</v>
      </c>
    </row>
    <row r="556" spans="1:3">
      <c r="A556" t="s">
        <v>21</v>
      </c>
      <c r="B556">
        <v>153</v>
      </c>
      <c r="C556">
        <v>1</v>
      </c>
    </row>
    <row r="557" spans="1:3">
      <c r="A557" t="s">
        <v>21</v>
      </c>
      <c r="B557">
        <v>154</v>
      </c>
      <c r="C557">
        <v>1</v>
      </c>
    </row>
    <row r="558" spans="1:3">
      <c r="A558" t="s">
        <v>21</v>
      </c>
      <c r="B558">
        <v>155</v>
      </c>
      <c r="C558">
        <v>2</v>
      </c>
    </row>
    <row r="559" spans="1:3">
      <c r="A559" t="s">
        <v>21</v>
      </c>
      <c r="B559">
        <v>156</v>
      </c>
      <c r="C559">
        <v>1</v>
      </c>
    </row>
    <row r="560" spans="1:3">
      <c r="A560" t="s">
        <v>21</v>
      </c>
      <c r="B560">
        <v>160</v>
      </c>
      <c r="C560">
        <v>1</v>
      </c>
    </row>
    <row r="561" spans="1:3">
      <c r="A561" t="s">
        <v>21</v>
      </c>
      <c r="B561">
        <v>164</v>
      </c>
      <c r="C561">
        <v>1</v>
      </c>
    </row>
    <row r="562" spans="1:3">
      <c r="A562" t="s">
        <v>21</v>
      </c>
      <c r="B562">
        <v>165</v>
      </c>
      <c r="C562">
        <v>1</v>
      </c>
    </row>
    <row r="563" spans="1:3">
      <c r="A563" t="s">
        <v>21</v>
      </c>
      <c r="B563">
        <v>166</v>
      </c>
      <c r="C563">
        <v>1</v>
      </c>
    </row>
    <row r="564" spans="1:3">
      <c r="A564" t="s">
        <v>21</v>
      </c>
      <c r="B564">
        <v>167</v>
      </c>
      <c r="C564">
        <v>1</v>
      </c>
    </row>
    <row r="565" spans="1:3">
      <c r="A565" t="s">
        <v>21</v>
      </c>
      <c r="B565">
        <v>169</v>
      </c>
      <c r="C565">
        <v>2</v>
      </c>
    </row>
    <row r="566" spans="1:3">
      <c r="A566" t="s">
        <v>21</v>
      </c>
      <c r="B566">
        <v>174</v>
      </c>
      <c r="C566">
        <v>1</v>
      </c>
    </row>
    <row r="567" spans="1:3">
      <c r="A567" t="s">
        <v>21</v>
      </c>
      <c r="B567">
        <v>175</v>
      </c>
      <c r="C567">
        <v>1</v>
      </c>
    </row>
    <row r="568" spans="1:3">
      <c r="A568" t="s">
        <v>21</v>
      </c>
      <c r="B568">
        <v>178</v>
      </c>
      <c r="C568">
        <v>3</v>
      </c>
    </row>
    <row r="569" spans="1:3">
      <c r="A569" t="s">
        <v>21</v>
      </c>
      <c r="B569">
        <v>179</v>
      </c>
      <c r="C569">
        <v>1</v>
      </c>
    </row>
    <row r="570" spans="1:3">
      <c r="A570" t="s">
        <v>21</v>
      </c>
      <c r="B570">
        <v>183</v>
      </c>
      <c r="C570">
        <v>2</v>
      </c>
    </row>
    <row r="571" spans="1:3">
      <c r="A571" t="s">
        <v>21</v>
      </c>
      <c r="B571">
        <v>184</v>
      </c>
      <c r="C571">
        <v>2</v>
      </c>
    </row>
    <row r="572" spans="1:3">
      <c r="A572" t="s">
        <v>21</v>
      </c>
      <c r="B572">
        <v>185</v>
      </c>
      <c r="C572">
        <v>1</v>
      </c>
    </row>
    <row r="573" spans="1:3">
      <c r="A573" t="s">
        <v>21</v>
      </c>
      <c r="B573">
        <v>186</v>
      </c>
      <c r="C573">
        <v>1</v>
      </c>
    </row>
    <row r="574" spans="1:3">
      <c r="A574" t="s">
        <v>21</v>
      </c>
      <c r="B574">
        <v>190</v>
      </c>
      <c r="C574">
        <v>1</v>
      </c>
    </row>
    <row r="575" spans="1:3">
      <c r="A575" t="s">
        <v>21</v>
      </c>
      <c r="B575">
        <v>193</v>
      </c>
      <c r="C575">
        <v>2</v>
      </c>
    </row>
    <row r="576" spans="1:3">
      <c r="A576" t="s">
        <v>21</v>
      </c>
      <c r="B576">
        <v>197</v>
      </c>
      <c r="C576">
        <v>1</v>
      </c>
    </row>
    <row r="577" spans="1:3">
      <c r="A577" t="s">
        <v>21</v>
      </c>
      <c r="B577">
        <v>200</v>
      </c>
      <c r="C577">
        <v>1</v>
      </c>
    </row>
    <row r="578" spans="1:3">
      <c r="A578" t="s">
        <v>21</v>
      </c>
      <c r="B578">
        <v>201</v>
      </c>
      <c r="C578">
        <v>1</v>
      </c>
    </row>
    <row r="579" spans="1:3">
      <c r="A579" t="s">
        <v>21</v>
      </c>
      <c r="B579">
        <v>207</v>
      </c>
      <c r="C579">
        <v>1</v>
      </c>
    </row>
    <row r="580" spans="1:3">
      <c r="A580" t="s">
        <v>21</v>
      </c>
      <c r="B580">
        <v>210</v>
      </c>
      <c r="C580">
        <v>1</v>
      </c>
    </row>
    <row r="581" spans="1:3">
      <c r="A581" t="s">
        <v>21</v>
      </c>
      <c r="B581">
        <v>217</v>
      </c>
      <c r="C581">
        <v>2</v>
      </c>
    </row>
    <row r="582" spans="1:3">
      <c r="A582" t="s">
        <v>21</v>
      </c>
      <c r="B582">
        <v>218</v>
      </c>
      <c r="C582">
        <v>3</v>
      </c>
    </row>
    <row r="583" spans="1:3">
      <c r="A583" t="s">
        <v>21</v>
      </c>
      <c r="B583">
        <v>220</v>
      </c>
      <c r="C583">
        <v>1</v>
      </c>
    </row>
    <row r="584" spans="1:3">
      <c r="A584" t="s">
        <v>21</v>
      </c>
      <c r="B584">
        <v>222</v>
      </c>
      <c r="C584">
        <v>1</v>
      </c>
    </row>
    <row r="585" spans="1:3">
      <c r="A585" t="s">
        <v>21</v>
      </c>
      <c r="B585">
        <v>225</v>
      </c>
      <c r="C585">
        <v>1</v>
      </c>
    </row>
    <row r="586" spans="1:3">
      <c r="A586" t="s">
        <v>21</v>
      </c>
      <c r="B586">
        <v>231</v>
      </c>
      <c r="C586">
        <v>2</v>
      </c>
    </row>
    <row r="587" spans="1:3">
      <c r="A587" t="s">
        <v>21</v>
      </c>
      <c r="B587">
        <v>238</v>
      </c>
      <c r="C587">
        <v>1</v>
      </c>
    </row>
    <row r="588" spans="1:3">
      <c r="A588" t="s">
        <v>21</v>
      </c>
      <c r="B588">
        <v>243</v>
      </c>
      <c r="C588">
        <v>1</v>
      </c>
    </row>
    <row r="589" spans="1:3">
      <c r="A589" t="s">
        <v>21</v>
      </c>
      <c r="B589">
        <v>246</v>
      </c>
      <c r="C589">
        <v>1</v>
      </c>
    </row>
    <row r="590" spans="1:3">
      <c r="A590" t="s">
        <v>21</v>
      </c>
      <c r="B590">
        <v>247</v>
      </c>
      <c r="C590">
        <v>1</v>
      </c>
    </row>
    <row r="591" spans="1:3">
      <c r="A591" t="s">
        <v>21</v>
      </c>
      <c r="B591">
        <v>254</v>
      </c>
      <c r="C591">
        <v>1</v>
      </c>
    </row>
    <row r="592" spans="1:3">
      <c r="A592" t="s">
        <v>21</v>
      </c>
      <c r="B592">
        <v>257</v>
      </c>
      <c r="C592">
        <v>1</v>
      </c>
    </row>
    <row r="593" spans="1:3">
      <c r="A593" t="s">
        <v>21</v>
      </c>
      <c r="B593">
        <v>261</v>
      </c>
      <c r="C593">
        <v>1</v>
      </c>
    </row>
    <row r="594" spans="1:3">
      <c r="A594" t="s">
        <v>21</v>
      </c>
      <c r="B594">
        <v>269</v>
      </c>
      <c r="C594">
        <v>1</v>
      </c>
    </row>
    <row r="595" spans="1:3">
      <c r="A595" t="s">
        <v>21</v>
      </c>
      <c r="B595">
        <v>273</v>
      </c>
      <c r="C595">
        <v>1</v>
      </c>
    </row>
    <row r="596" spans="1:3">
      <c r="A596" t="s">
        <v>21</v>
      </c>
      <c r="B596">
        <v>280</v>
      </c>
      <c r="C596">
        <v>1</v>
      </c>
    </row>
    <row r="597" spans="1:3">
      <c r="A597" t="s">
        <v>21</v>
      </c>
      <c r="B597">
        <v>281</v>
      </c>
      <c r="C597">
        <v>1</v>
      </c>
    </row>
    <row r="598" spans="1:3">
      <c r="A598" t="s">
        <v>21</v>
      </c>
      <c r="B598">
        <v>282</v>
      </c>
      <c r="C598">
        <v>1</v>
      </c>
    </row>
    <row r="599" spans="1:3">
      <c r="A599" t="s">
        <v>21</v>
      </c>
      <c r="B599">
        <v>293</v>
      </c>
      <c r="C599">
        <v>1</v>
      </c>
    </row>
    <row r="600" spans="1:3">
      <c r="A600" t="s">
        <v>21</v>
      </c>
      <c r="B600">
        <v>296</v>
      </c>
      <c r="C600">
        <v>1</v>
      </c>
    </row>
    <row r="601" spans="1:3">
      <c r="A601" t="s">
        <v>21</v>
      </c>
      <c r="B601">
        <v>299</v>
      </c>
      <c r="C601">
        <v>2</v>
      </c>
    </row>
    <row r="602" spans="1:3">
      <c r="A602" t="s">
        <v>21</v>
      </c>
      <c r="B602">
        <v>303</v>
      </c>
      <c r="C602">
        <v>1</v>
      </c>
    </row>
    <row r="603" spans="1:3">
      <c r="A603" t="s">
        <v>21</v>
      </c>
      <c r="B603">
        <v>306</v>
      </c>
      <c r="C603">
        <v>1</v>
      </c>
    </row>
    <row r="604" spans="1:3">
      <c r="A604" t="s">
        <v>21</v>
      </c>
      <c r="B604">
        <v>307</v>
      </c>
      <c r="C604">
        <v>1</v>
      </c>
    </row>
    <row r="605" spans="1:3">
      <c r="A605" t="s">
        <v>21</v>
      </c>
      <c r="B605">
        <v>314</v>
      </c>
      <c r="C605">
        <v>1</v>
      </c>
    </row>
    <row r="606" spans="1:3">
      <c r="A606" t="s">
        <v>21</v>
      </c>
      <c r="B606">
        <v>322</v>
      </c>
      <c r="C606">
        <v>1</v>
      </c>
    </row>
    <row r="607" spans="1:3">
      <c r="A607" t="s">
        <v>21</v>
      </c>
      <c r="B607">
        <v>325</v>
      </c>
      <c r="C607">
        <v>1</v>
      </c>
    </row>
    <row r="608" spans="1:3">
      <c r="A608" t="s">
        <v>21</v>
      </c>
      <c r="B608">
        <v>335</v>
      </c>
      <c r="C608">
        <v>1</v>
      </c>
    </row>
    <row r="609" spans="1:3">
      <c r="A609" t="s">
        <v>21</v>
      </c>
      <c r="B609">
        <v>364</v>
      </c>
      <c r="C609">
        <v>1</v>
      </c>
    </row>
    <row r="610" spans="1:3">
      <c r="A610" t="s">
        <v>21</v>
      </c>
      <c r="B610">
        <v>365</v>
      </c>
      <c r="C610">
        <v>1</v>
      </c>
    </row>
    <row r="611" spans="1:3">
      <c r="A611" t="s">
        <v>21</v>
      </c>
      <c r="B611">
        <v>372</v>
      </c>
      <c r="C611">
        <v>1</v>
      </c>
    </row>
    <row r="612" spans="1:3">
      <c r="A612" t="s">
        <v>21</v>
      </c>
      <c r="B612">
        <v>386</v>
      </c>
      <c r="C612">
        <v>1</v>
      </c>
    </row>
    <row r="613" spans="1:3">
      <c r="A613" t="s">
        <v>21</v>
      </c>
      <c r="B613">
        <v>394</v>
      </c>
      <c r="C613">
        <v>1</v>
      </c>
    </row>
    <row r="614" spans="1:3">
      <c r="A614" t="s">
        <v>21</v>
      </c>
      <c r="B614">
        <v>413</v>
      </c>
      <c r="C614">
        <v>1</v>
      </c>
    </row>
    <row r="615" spans="1:3">
      <c r="A615" t="s">
        <v>21</v>
      </c>
      <c r="B615">
        <v>446</v>
      </c>
      <c r="C615">
        <v>1</v>
      </c>
    </row>
    <row r="616" spans="1:3">
      <c r="A616" t="s">
        <v>21</v>
      </c>
      <c r="B616">
        <v>453</v>
      </c>
      <c r="C616">
        <v>1</v>
      </c>
    </row>
    <row r="617" spans="1:3">
      <c r="A617" t="s">
        <v>21</v>
      </c>
      <c r="B617">
        <v>462</v>
      </c>
      <c r="C617">
        <v>1</v>
      </c>
    </row>
    <row r="618" spans="1:3">
      <c r="A618" t="s">
        <v>21</v>
      </c>
      <c r="B618">
        <v>519</v>
      </c>
      <c r="C618">
        <v>1</v>
      </c>
    </row>
    <row r="619" spans="1:3">
      <c r="A619" t="s">
        <v>21</v>
      </c>
      <c r="B619">
        <v>573</v>
      </c>
      <c r="C619">
        <v>1</v>
      </c>
    </row>
    <row r="620" spans="1:3">
      <c r="A620" t="s">
        <v>21</v>
      </c>
      <c r="B620">
        <v>750</v>
      </c>
      <c r="C620">
        <v>1</v>
      </c>
    </row>
    <row r="621" spans="1:3">
      <c r="A621" t="s">
        <v>21</v>
      </c>
      <c r="B621">
        <v>865</v>
      </c>
      <c r="C621">
        <v>1</v>
      </c>
    </row>
    <row r="622" spans="1:3">
      <c r="A622" t="s">
        <v>21</v>
      </c>
      <c r="B622">
        <v>960</v>
      </c>
      <c r="C622">
        <v>1</v>
      </c>
    </row>
    <row r="623" spans="1:3">
      <c r="A623" t="s">
        <v>21</v>
      </c>
      <c r="B623">
        <v>1227</v>
      </c>
      <c r="C623">
        <v>1</v>
      </c>
    </row>
    <row r="624" spans="1:3">
      <c r="A624" t="s">
        <v>21</v>
      </c>
      <c r="B624">
        <v>1464</v>
      </c>
      <c r="C624">
        <v>1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F3F6-A722-DA4A-8B22-8D6543FC0101}">
  <dimension ref="A1"/>
  <sheetViews>
    <sheetView workbookViewId="0"/>
  </sheetViews>
  <sheetFormatPr baseColWidth="10" defaultRowHeight="16"/>
  <sheetData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49CB-A97C-E84B-983A-2305E0CF1A72}">
  <dimension ref="B2:K63"/>
  <sheetViews>
    <sheetView workbookViewId="0">
      <selection activeCell="G6" sqref="G6"/>
    </sheetView>
  </sheetViews>
  <sheetFormatPr baseColWidth="10" defaultRowHeight="16"/>
  <sheetData>
    <row r="2" spans="2:11">
      <c r="K2" s="39" t="s">
        <v>50</v>
      </c>
    </row>
    <row r="3" spans="2:11">
      <c r="K3" s="39" t="s">
        <v>51</v>
      </c>
    </row>
    <row r="4" spans="2:11" ht="34">
      <c r="B4" s="18" t="s">
        <v>25</v>
      </c>
      <c r="C4" s="18" t="s">
        <v>46</v>
      </c>
      <c r="D4" s="18" t="s">
        <v>106</v>
      </c>
      <c r="E4" s="18" t="s">
        <v>102</v>
      </c>
      <c r="F4" s="18"/>
      <c r="G4" s="18" t="s">
        <v>105</v>
      </c>
      <c r="H4" s="18" t="s">
        <v>108</v>
      </c>
      <c r="K4" s="39" t="s">
        <v>52</v>
      </c>
    </row>
    <row r="5" spans="2:11">
      <c r="B5" t="s">
        <v>21</v>
      </c>
      <c r="C5">
        <v>409039</v>
      </c>
      <c r="D5">
        <v>84590</v>
      </c>
      <c r="E5">
        <v>159411</v>
      </c>
      <c r="G5">
        <f>C5/D5</f>
        <v>4.8355479371084051</v>
      </c>
      <c r="H5">
        <f>C5/E5</f>
        <v>2.5659396152084861</v>
      </c>
      <c r="K5" s="39" t="s">
        <v>53</v>
      </c>
    </row>
    <row r="6" spans="2:11">
      <c r="B6" t="s">
        <v>22</v>
      </c>
      <c r="C6">
        <v>452501</v>
      </c>
      <c r="D6">
        <v>111160</v>
      </c>
      <c r="E6">
        <v>159774</v>
      </c>
      <c r="G6">
        <f>C6/D6</f>
        <v>4.0707178841309828</v>
      </c>
      <c r="H6">
        <f>C6/E6</f>
        <v>2.8321316359357591</v>
      </c>
      <c r="K6" s="40" t="s">
        <v>54</v>
      </c>
    </row>
    <row r="7" spans="2:11">
      <c r="B7" t="s">
        <v>23</v>
      </c>
      <c r="C7">
        <v>451168</v>
      </c>
      <c r="D7">
        <v>103271</v>
      </c>
      <c r="E7">
        <v>158993</v>
      </c>
      <c r="G7">
        <f>C7/D7</f>
        <v>4.368777294690668</v>
      </c>
      <c r="H7">
        <f>C7/E7</f>
        <v>2.837659519601492</v>
      </c>
      <c r="K7" s="40" t="s">
        <v>55</v>
      </c>
    </row>
    <row r="8" spans="2:11">
      <c r="K8" s="40" t="s">
        <v>56</v>
      </c>
    </row>
    <row r="9" spans="2:11">
      <c r="B9" t="s">
        <v>22</v>
      </c>
      <c r="C9" s="13">
        <f>C6/C5-1</f>
        <v>0.10625392688716717</v>
      </c>
      <c r="D9" s="13">
        <f>D6/D5-1</f>
        <v>0.31410332190566259</v>
      </c>
      <c r="K9" s="40" t="s">
        <v>57</v>
      </c>
    </row>
    <row r="10" spans="2:11">
      <c r="B10" t="s">
        <v>23</v>
      </c>
      <c r="C10" s="13">
        <f>C7/C5-1</f>
        <v>0.10299506892985755</v>
      </c>
      <c r="D10" s="13">
        <f>D7/D5-1</f>
        <v>0.22084170705757189</v>
      </c>
      <c r="K10" s="41" t="s">
        <v>58</v>
      </c>
    </row>
    <row r="11" spans="2:11">
      <c r="K11" s="39" t="s">
        <v>59</v>
      </c>
    </row>
    <row r="12" spans="2:11">
      <c r="K12" s="41" t="s">
        <v>60</v>
      </c>
    </row>
    <row r="13" spans="2:11">
      <c r="K13" s="39" t="s">
        <v>61</v>
      </c>
    </row>
    <row r="14" spans="2:11">
      <c r="K14" s="42" t="s">
        <v>62</v>
      </c>
    </row>
    <row r="15" spans="2:11">
      <c r="K15" s="39" t="s">
        <v>63</v>
      </c>
    </row>
    <row r="16" spans="2:11">
      <c r="K16" s="39" t="s">
        <v>64</v>
      </c>
    </row>
    <row r="17" spans="11:11">
      <c r="K17" s="39" t="s">
        <v>65</v>
      </c>
    </row>
    <row r="18" spans="11:11">
      <c r="K18" s="43" t="s">
        <v>66</v>
      </c>
    </row>
    <row r="19" spans="11:11">
      <c r="K19" s="40" t="s">
        <v>67</v>
      </c>
    </row>
    <row r="20" spans="11:11">
      <c r="K20" s="39" t="s">
        <v>51</v>
      </c>
    </row>
    <row r="21" spans="11:11">
      <c r="K21" s="39" t="s">
        <v>68</v>
      </c>
    </row>
    <row r="22" spans="11:11">
      <c r="K22" s="40" t="s">
        <v>69</v>
      </c>
    </row>
    <row r="23" spans="11:11">
      <c r="K23" s="40" t="s">
        <v>70</v>
      </c>
    </row>
    <row r="24" spans="11:11">
      <c r="K24" s="40" t="s">
        <v>71</v>
      </c>
    </row>
    <row r="25" spans="11:11">
      <c r="K25" s="41" t="s">
        <v>58</v>
      </c>
    </row>
    <row r="26" spans="11:11">
      <c r="K26" s="40" t="s">
        <v>72</v>
      </c>
    </row>
    <row r="27" spans="11:11">
      <c r="K27" s="39" t="s">
        <v>59</v>
      </c>
    </row>
    <row r="28" spans="11:11">
      <c r="K28" s="41" t="s">
        <v>73</v>
      </c>
    </row>
    <row r="29" spans="11:11">
      <c r="K29" s="39" t="s">
        <v>74</v>
      </c>
    </row>
    <row r="30" spans="11:11">
      <c r="K30" s="42" t="s">
        <v>75</v>
      </c>
    </row>
    <row r="31" spans="11:11">
      <c r="K31" s="39" t="s">
        <v>76</v>
      </c>
    </row>
    <row r="32" spans="11:11">
      <c r="K32" s="39" t="s">
        <v>65</v>
      </c>
    </row>
    <row r="33" spans="11:11">
      <c r="K33" s="39" t="s">
        <v>77</v>
      </c>
    </row>
    <row r="34" spans="11:11">
      <c r="K34" s="43" t="s">
        <v>66</v>
      </c>
    </row>
    <row r="36" spans="11:11">
      <c r="K36" s="40" t="s">
        <v>78</v>
      </c>
    </row>
    <row r="37" spans="11:11">
      <c r="K37" s="39" t="s">
        <v>51</v>
      </c>
    </row>
    <row r="38" spans="11:11">
      <c r="K38" s="41" t="s">
        <v>79</v>
      </c>
    </row>
    <row r="39" spans="11:11">
      <c r="K39" s="39" t="s">
        <v>80</v>
      </c>
    </row>
    <row r="40" spans="11:11">
      <c r="K40" s="39" t="s">
        <v>81</v>
      </c>
    </row>
    <row r="41" spans="11:11">
      <c r="K41" s="39" t="s">
        <v>82</v>
      </c>
    </row>
    <row r="42" spans="11:11">
      <c r="K42" s="39" t="s">
        <v>83</v>
      </c>
    </row>
    <row r="43" spans="11:11">
      <c r="K43" s="39" t="s">
        <v>84</v>
      </c>
    </row>
    <row r="44" spans="11:11">
      <c r="K44" s="40" t="s">
        <v>85</v>
      </c>
    </row>
    <row r="45" spans="11:11">
      <c r="K45" s="41" t="s">
        <v>86</v>
      </c>
    </row>
    <row r="46" spans="11:11">
      <c r="K46" s="40" t="s">
        <v>87</v>
      </c>
    </row>
    <row r="47" spans="11:11">
      <c r="K47" s="40" t="s">
        <v>70</v>
      </c>
    </row>
    <row r="48" spans="11:11">
      <c r="K48" s="40" t="s">
        <v>88</v>
      </c>
    </row>
    <row r="49" spans="11:11">
      <c r="K49" s="40" t="s">
        <v>89</v>
      </c>
    </row>
    <row r="50" spans="11:11">
      <c r="K50" s="39" t="s">
        <v>90</v>
      </c>
    </row>
    <row r="51" spans="11:11">
      <c r="K51" s="42" t="s">
        <v>91</v>
      </c>
    </row>
    <row r="52" spans="11:11">
      <c r="K52" s="39" t="s">
        <v>92</v>
      </c>
    </row>
    <row r="53" spans="11:11">
      <c r="K53" s="39" t="s">
        <v>93</v>
      </c>
    </row>
    <row r="54" spans="11:11">
      <c r="K54" s="43" t="s">
        <v>66</v>
      </c>
    </row>
    <row r="57" spans="11:11">
      <c r="K57" s="39" t="s">
        <v>51</v>
      </c>
    </row>
    <row r="58" spans="11:11">
      <c r="K58" s="42" t="s">
        <v>25</v>
      </c>
    </row>
    <row r="59" spans="11:11">
      <c r="K59" s="40" t="s">
        <v>98</v>
      </c>
    </row>
    <row r="60" spans="11:11">
      <c r="K60" s="40" t="s">
        <v>107</v>
      </c>
    </row>
    <row r="61" spans="11:11">
      <c r="K61" s="40" t="s">
        <v>103</v>
      </c>
    </row>
    <row r="62" spans="11:11">
      <c r="K62" s="39" t="s">
        <v>99</v>
      </c>
    </row>
    <row r="63" spans="11:11">
      <c r="K63" s="39" t="s">
        <v>104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47EF-5D6F-AC4A-B8F3-EAD950B31B6A}">
  <dimension ref="B2:AX74"/>
  <sheetViews>
    <sheetView workbookViewId="0">
      <selection activeCell="I26" sqref="I26"/>
    </sheetView>
  </sheetViews>
  <sheetFormatPr baseColWidth="10" defaultRowHeight="16"/>
  <cols>
    <col min="9" max="9" width="19.5" customWidth="1"/>
    <col min="10" max="12" width="19.83203125" customWidth="1"/>
    <col min="13" max="13" width="28.1640625" customWidth="1"/>
    <col min="14" max="14" width="24.83203125" customWidth="1"/>
    <col min="47" max="47" width="14.6640625" customWidth="1"/>
  </cols>
  <sheetData>
    <row r="2" spans="2:50" ht="51" customHeight="1">
      <c r="B2" s="88" t="s">
        <v>143</v>
      </c>
      <c r="C2" s="86"/>
      <c r="D2" s="86"/>
      <c r="E2" s="86"/>
      <c r="F2" s="86"/>
      <c r="I2" s="18"/>
      <c r="J2" s="18"/>
      <c r="K2" s="18"/>
      <c r="L2" s="18"/>
      <c r="M2" s="18"/>
      <c r="N2" s="18"/>
      <c r="T2" s="88"/>
      <c r="U2" s="86"/>
      <c r="V2" s="86"/>
      <c r="AD2" s="41" t="s">
        <v>121</v>
      </c>
      <c r="AR2" t="s">
        <v>25</v>
      </c>
      <c r="AS2" s="18" t="s">
        <v>145</v>
      </c>
      <c r="AT2" s="18" t="s">
        <v>136</v>
      </c>
      <c r="AU2" s="18" t="s">
        <v>117</v>
      </c>
      <c r="AX2" s="39" t="s">
        <v>50</v>
      </c>
    </row>
    <row r="3" spans="2:50">
      <c r="B3" s="86"/>
      <c r="C3" s="86"/>
      <c r="D3" s="86"/>
      <c r="E3" s="86"/>
      <c r="F3" s="86"/>
      <c r="T3" s="86"/>
      <c r="U3" s="86"/>
      <c r="V3" s="86"/>
      <c r="Y3" t="s">
        <v>25</v>
      </c>
      <c r="Z3" t="s">
        <v>119</v>
      </c>
      <c r="AA3" t="s">
        <v>120</v>
      </c>
      <c r="AD3" s="39" t="s">
        <v>50</v>
      </c>
      <c r="AR3">
        <v>11072</v>
      </c>
      <c r="AT3">
        <v>103786</v>
      </c>
      <c r="AU3">
        <v>0</v>
      </c>
      <c r="AX3" s="39" t="s">
        <v>51</v>
      </c>
    </row>
    <row r="4" spans="2:50">
      <c r="B4" s="86"/>
      <c r="C4" s="86"/>
      <c r="D4" s="86"/>
      <c r="E4" s="86"/>
      <c r="F4" s="86"/>
      <c r="T4" s="86"/>
      <c r="U4" s="86"/>
      <c r="V4" s="86"/>
      <c r="Y4">
        <v>11073</v>
      </c>
      <c r="Z4">
        <v>15293</v>
      </c>
      <c r="AA4">
        <v>24</v>
      </c>
      <c r="AD4" s="39" t="s">
        <v>51</v>
      </c>
      <c r="AR4" s="36">
        <v>11073</v>
      </c>
      <c r="AS4" s="36"/>
      <c r="AT4" s="36">
        <v>104417</v>
      </c>
      <c r="AU4" s="36">
        <v>0</v>
      </c>
      <c r="AX4" s="39" t="s">
        <v>52</v>
      </c>
    </row>
    <row r="5" spans="2:50">
      <c r="B5" s="86"/>
      <c r="C5" s="86"/>
      <c r="D5" s="86"/>
      <c r="E5" s="86"/>
      <c r="F5" s="86"/>
      <c r="T5" s="86"/>
      <c r="U5" s="86"/>
      <c r="V5" s="86"/>
      <c r="Y5">
        <v>11074</v>
      </c>
      <c r="Z5">
        <v>41733</v>
      </c>
      <c r="AA5">
        <v>136</v>
      </c>
      <c r="AD5" s="39" t="s">
        <v>52</v>
      </c>
      <c r="AR5">
        <v>11073</v>
      </c>
      <c r="AS5">
        <v>1</v>
      </c>
      <c r="AT5">
        <v>0</v>
      </c>
      <c r="AU5">
        <v>14705</v>
      </c>
      <c r="AX5" s="39" t="s">
        <v>53</v>
      </c>
    </row>
    <row r="6" spans="2:50">
      <c r="B6" s="86"/>
      <c r="C6" s="86"/>
      <c r="D6" s="86"/>
      <c r="E6" s="86"/>
      <c r="F6" s="86"/>
      <c r="T6" s="86"/>
      <c r="U6" s="86"/>
      <c r="V6" s="86"/>
      <c r="Y6">
        <v>11076</v>
      </c>
      <c r="Z6">
        <v>50714</v>
      </c>
      <c r="AA6">
        <v>0</v>
      </c>
      <c r="AD6" s="39" t="s">
        <v>53</v>
      </c>
      <c r="AR6">
        <v>11073</v>
      </c>
      <c r="AS6">
        <v>2</v>
      </c>
      <c r="AT6">
        <v>0</v>
      </c>
      <c r="AU6">
        <v>15293</v>
      </c>
      <c r="AX6" s="40" t="s">
        <v>54</v>
      </c>
    </row>
    <row r="7" spans="2:50">
      <c r="B7" s="86"/>
      <c r="C7" s="86"/>
      <c r="D7" s="86"/>
      <c r="E7" s="86"/>
      <c r="F7" s="86"/>
      <c r="H7" s="18"/>
      <c r="I7" s="18"/>
      <c r="O7" s="18"/>
      <c r="P7" s="18"/>
      <c r="T7" s="86"/>
      <c r="U7" s="86"/>
      <c r="V7" s="86"/>
      <c r="Y7">
        <v>11077</v>
      </c>
      <c r="Z7">
        <v>25633</v>
      </c>
      <c r="AA7">
        <v>0</v>
      </c>
      <c r="AD7" s="40" t="s">
        <v>54</v>
      </c>
      <c r="AR7" s="36">
        <v>11074</v>
      </c>
      <c r="AS7" s="36"/>
      <c r="AT7" s="36">
        <v>103581</v>
      </c>
      <c r="AU7" s="36">
        <v>0</v>
      </c>
      <c r="AX7" s="40" t="s">
        <v>55</v>
      </c>
    </row>
    <row r="8" spans="2:50" ht="34">
      <c r="B8" s="86"/>
      <c r="C8" s="86"/>
      <c r="D8" s="86"/>
      <c r="E8" s="86"/>
      <c r="F8" s="86"/>
      <c r="H8" s="18" t="s">
        <v>25</v>
      </c>
      <c r="I8" s="18" t="s">
        <v>136</v>
      </c>
      <c r="J8" s="18" t="s">
        <v>117</v>
      </c>
      <c r="K8" s="18" t="s">
        <v>118</v>
      </c>
      <c r="L8" s="18" t="s">
        <v>106</v>
      </c>
      <c r="M8" s="18" t="s">
        <v>137</v>
      </c>
      <c r="N8" s="18" t="s">
        <v>138</v>
      </c>
      <c r="O8" s="18"/>
      <c r="P8" s="18"/>
      <c r="T8" s="86"/>
      <c r="U8" s="86"/>
      <c r="V8" s="86"/>
      <c r="AD8" s="40" t="s">
        <v>55</v>
      </c>
      <c r="AR8">
        <v>11074</v>
      </c>
      <c r="AS8">
        <v>1</v>
      </c>
      <c r="AT8">
        <v>0</v>
      </c>
      <c r="AU8">
        <v>138</v>
      </c>
      <c r="AX8" s="40" t="s">
        <v>56</v>
      </c>
    </row>
    <row r="9" spans="2:50">
      <c r="B9" s="86"/>
      <c r="C9" s="86"/>
      <c r="D9" s="86"/>
      <c r="E9" s="86"/>
      <c r="F9" s="86"/>
      <c r="T9" s="86"/>
      <c r="U9" s="86"/>
      <c r="V9" s="86"/>
      <c r="AD9" s="40" t="s">
        <v>56</v>
      </c>
      <c r="AR9">
        <v>11074</v>
      </c>
      <c r="AS9">
        <v>2</v>
      </c>
      <c r="AT9">
        <v>0</v>
      </c>
      <c r="AU9">
        <v>41733</v>
      </c>
      <c r="AX9" s="40" t="s">
        <v>57</v>
      </c>
    </row>
    <row r="10" spans="2:50" ht="17">
      <c r="B10" s="86"/>
      <c r="C10" s="86"/>
      <c r="D10" s="86"/>
      <c r="E10" s="86"/>
      <c r="F10" s="86"/>
      <c r="I10" s="18" t="s">
        <v>144</v>
      </c>
      <c r="J10" s="18" t="s">
        <v>139</v>
      </c>
      <c r="K10" s="18" t="s">
        <v>140</v>
      </c>
      <c r="L10" s="18" t="s">
        <v>106</v>
      </c>
      <c r="M10" t="s">
        <v>141</v>
      </c>
      <c r="N10" t="s">
        <v>142</v>
      </c>
      <c r="T10" s="86"/>
      <c r="U10" s="86"/>
      <c r="V10" s="86"/>
      <c r="AD10" s="40" t="s">
        <v>57</v>
      </c>
      <c r="AR10">
        <v>11075</v>
      </c>
      <c r="AT10">
        <v>55625</v>
      </c>
      <c r="AU10">
        <v>0</v>
      </c>
      <c r="AX10" s="41" t="s">
        <v>58</v>
      </c>
    </row>
    <row r="11" spans="2:50">
      <c r="B11" s="86"/>
      <c r="C11" s="86"/>
      <c r="D11" s="86"/>
      <c r="E11" s="86"/>
      <c r="F11" s="86"/>
      <c r="H11" t="s">
        <v>21</v>
      </c>
      <c r="I11">
        <v>159411</v>
      </c>
      <c r="J11">
        <v>0</v>
      </c>
      <c r="K11">
        <v>0</v>
      </c>
      <c r="L11">
        <v>84590</v>
      </c>
      <c r="M11">
        <v>0</v>
      </c>
      <c r="N11">
        <v>0</v>
      </c>
      <c r="T11" s="86"/>
      <c r="U11" s="86"/>
      <c r="V11" s="86"/>
      <c r="AD11" s="41" t="s">
        <v>58</v>
      </c>
      <c r="AR11">
        <v>11076</v>
      </c>
      <c r="AT11">
        <v>55357</v>
      </c>
      <c r="AU11">
        <v>0</v>
      </c>
      <c r="AX11" s="39" t="s">
        <v>59</v>
      </c>
    </row>
    <row r="12" spans="2:50">
      <c r="B12" s="86"/>
      <c r="C12" s="86"/>
      <c r="D12" s="86"/>
      <c r="E12" s="86"/>
      <c r="F12" s="86"/>
      <c r="H12" t="s">
        <v>22</v>
      </c>
      <c r="I12">
        <v>159774</v>
      </c>
      <c r="J12">
        <v>80688</v>
      </c>
      <c r="K12">
        <v>93753</v>
      </c>
      <c r="L12">
        <v>111160</v>
      </c>
      <c r="M12">
        <v>93614</v>
      </c>
      <c r="N12">
        <v>55822</v>
      </c>
      <c r="AD12" s="39" t="s">
        <v>59</v>
      </c>
      <c r="AR12">
        <v>11076</v>
      </c>
      <c r="AS12">
        <v>2</v>
      </c>
      <c r="AT12">
        <v>0</v>
      </c>
      <c r="AU12">
        <v>50714</v>
      </c>
      <c r="AX12" s="41" t="s">
        <v>60</v>
      </c>
    </row>
    <row r="13" spans="2:50">
      <c r="B13" s="86"/>
      <c r="C13" s="86"/>
      <c r="D13" s="86"/>
      <c r="E13" s="86"/>
      <c r="F13" s="86"/>
      <c r="H13" t="s">
        <v>23</v>
      </c>
      <c r="I13">
        <v>158993</v>
      </c>
      <c r="J13">
        <v>67368</v>
      </c>
      <c r="K13">
        <v>52985</v>
      </c>
      <c r="L13">
        <v>103271</v>
      </c>
      <c r="M13">
        <v>52947</v>
      </c>
      <c r="N13">
        <v>27504</v>
      </c>
      <c r="AD13" s="41" t="s">
        <v>60</v>
      </c>
      <c r="AR13">
        <v>11077</v>
      </c>
      <c r="AT13">
        <v>55412</v>
      </c>
      <c r="AU13">
        <v>0</v>
      </c>
      <c r="AX13" s="39" t="s">
        <v>61</v>
      </c>
    </row>
    <row r="14" spans="2:50">
      <c r="B14" s="86"/>
      <c r="C14" s="86"/>
      <c r="D14" s="86"/>
      <c r="E14" s="86"/>
      <c r="F14" s="86"/>
      <c r="AD14" s="39" t="s">
        <v>61</v>
      </c>
      <c r="AR14">
        <v>11077</v>
      </c>
      <c r="AS14">
        <v>2</v>
      </c>
      <c r="AT14">
        <v>0</v>
      </c>
      <c r="AU14">
        <v>25633</v>
      </c>
      <c r="AX14" s="42" t="s">
        <v>62</v>
      </c>
    </row>
    <row r="15" spans="2:50">
      <c r="B15" s="86"/>
      <c r="C15" s="86"/>
      <c r="D15" s="86"/>
      <c r="E15" s="86"/>
      <c r="F15" s="86"/>
      <c r="AD15" s="42" t="s">
        <v>62</v>
      </c>
      <c r="AX15" s="39" t="s">
        <v>63</v>
      </c>
    </row>
    <row r="16" spans="2:50">
      <c r="B16" s="86"/>
      <c r="C16" s="86"/>
      <c r="D16" s="86"/>
      <c r="E16" s="86"/>
      <c r="F16" s="86"/>
      <c r="AD16" s="39" t="s">
        <v>63</v>
      </c>
      <c r="AX16" s="39" t="s">
        <v>64</v>
      </c>
    </row>
    <row r="17" spans="2:50" ht="34">
      <c r="B17" s="86"/>
      <c r="C17" s="86"/>
      <c r="D17" s="86"/>
      <c r="E17" s="86"/>
      <c r="F17" s="86"/>
      <c r="H17" t="s">
        <v>25</v>
      </c>
      <c r="I17" s="18" t="s">
        <v>136</v>
      </c>
      <c r="J17" s="18" t="s">
        <v>117</v>
      </c>
      <c r="K17" s="18" t="s">
        <v>118</v>
      </c>
      <c r="L17" s="18" t="s">
        <v>106</v>
      </c>
      <c r="M17" s="18" t="s">
        <v>137</v>
      </c>
      <c r="N17" s="18" t="s">
        <v>138</v>
      </c>
      <c r="AD17" s="39" t="s">
        <v>64</v>
      </c>
      <c r="AX17" s="39" t="s">
        <v>65</v>
      </c>
    </row>
    <row r="18" spans="2:50">
      <c r="B18" s="86"/>
      <c r="C18" s="86"/>
      <c r="D18" s="86"/>
      <c r="E18" s="86"/>
      <c r="F18" s="86"/>
      <c r="H18">
        <v>11072</v>
      </c>
      <c r="I18">
        <v>103786</v>
      </c>
      <c r="J18">
        <v>0</v>
      </c>
      <c r="K18">
        <v>0</v>
      </c>
      <c r="L18">
        <v>59629</v>
      </c>
      <c r="M18">
        <v>0</v>
      </c>
      <c r="N18">
        <v>0</v>
      </c>
      <c r="AD18" s="39" t="s">
        <v>65</v>
      </c>
      <c r="AX18" s="43" t="s">
        <v>66</v>
      </c>
    </row>
    <row r="19" spans="2:50">
      <c r="B19" s="86"/>
      <c r="C19" s="86"/>
      <c r="D19" s="86"/>
      <c r="E19" s="86"/>
      <c r="F19" s="86"/>
      <c r="H19">
        <v>11073</v>
      </c>
      <c r="I19">
        <v>104417</v>
      </c>
      <c r="J19">
        <v>29974</v>
      </c>
      <c r="K19">
        <v>62235</v>
      </c>
      <c r="L19">
        <v>77493</v>
      </c>
      <c r="M19">
        <v>62140</v>
      </c>
      <c r="N19">
        <v>36992</v>
      </c>
      <c r="AD19" s="43" t="s">
        <v>66</v>
      </c>
      <c r="AX19" s="40" t="s">
        <v>67</v>
      </c>
    </row>
    <row r="20" spans="2:50">
      <c r="E20" s="43"/>
      <c r="H20">
        <v>11074</v>
      </c>
      <c r="I20">
        <v>103581</v>
      </c>
      <c r="J20">
        <v>41735</v>
      </c>
      <c r="K20">
        <v>33574</v>
      </c>
      <c r="L20">
        <v>72301</v>
      </c>
      <c r="M20">
        <v>33548</v>
      </c>
      <c r="N20">
        <v>17326</v>
      </c>
      <c r="AD20" s="40" t="s">
        <v>67</v>
      </c>
      <c r="AX20" s="39" t="s">
        <v>51</v>
      </c>
    </row>
    <row r="21" spans="2:50">
      <c r="E21" s="40"/>
      <c r="H21">
        <v>11075</v>
      </c>
      <c r="I21">
        <v>55625</v>
      </c>
      <c r="J21">
        <v>0</v>
      </c>
      <c r="K21">
        <v>0</v>
      </c>
      <c r="L21">
        <v>24961</v>
      </c>
      <c r="M21">
        <v>0</v>
      </c>
      <c r="N21">
        <v>0</v>
      </c>
      <c r="AD21" s="39" t="s">
        <v>51</v>
      </c>
      <c r="AX21" s="39" t="s">
        <v>68</v>
      </c>
    </row>
    <row r="22" spans="2:50">
      <c r="E22" s="39"/>
      <c r="H22">
        <v>11076</v>
      </c>
      <c r="I22">
        <v>55357</v>
      </c>
      <c r="J22">
        <v>50714</v>
      </c>
      <c r="K22">
        <v>31518</v>
      </c>
      <c r="L22">
        <v>33667</v>
      </c>
      <c r="M22">
        <v>31474</v>
      </c>
      <c r="N22">
        <v>18830</v>
      </c>
      <c r="AD22" s="39" t="s">
        <v>68</v>
      </c>
      <c r="AX22" s="40" t="s">
        <v>69</v>
      </c>
    </row>
    <row r="23" spans="2:50">
      <c r="E23" s="39"/>
      <c r="H23">
        <v>11077</v>
      </c>
      <c r="I23">
        <v>55412</v>
      </c>
      <c r="J23">
        <v>25633</v>
      </c>
      <c r="K23">
        <v>19411</v>
      </c>
      <c r="L23">
        <v>30970</v>
      </c>
      <c r="M23">
        <v>19399</v>
      </c>
      <c r="N23">
        <v>10178</v>
      </c>
      <c r="AD23" s="40" t="s">
        <v>69</v>
      </c>
      <c r="AX23" s="40" t="s">
        <v>70</v>
      </c>
    </row>
    <row r="24" spans="2:50">
      <c r="E24" s="40"/>
      <c r="AD24" s="40" t="s">
        <v>70</v>
      </c>
      <c r="AX24" s="40" t="s">
        <v>71</v>
      </c>
    </row>
    <row r="25" spans="2:50">
      <c r="E25" s="40"/>
      <c r="AD25" s="40" t="s">
        <v>71</v>
      </c>
      <c r="AX25" s="40" t="s">
        <v>109</v>
      </c>
    </row>
    <row r="26" spans="2:50">
      <c r="E26" s="40"/>
      <c r="AD26" s="40" t="s">
        <v>109</v>
      </c>
      <c r="AX26" s="40" t="s">
        <v>110</v>
      </c>
    </row>
    <row r="27" spans="2:50">
      <c r="E27" s="40"/>
      <c r="AD27" s="40" t="s">
        <v>110</v>
      </c>
      <c r="AX27" s="41" t="s">
        <v>58</v>
      </c>
    </row>
    <row r="28" spans="2:50">
      <c r="E28" s="40"/>
      <c r="AD28" s="41" t="s">
        <v>58</v>
      </c>
      <c r="AX28" s="40" t="s">
        <v>72</v>
      </c>
    </row>
    <row r="29" spans="2:50">
      <c r="E29" s="41"/>
      <c r="AD29" s="40" t="s">
        <v>72</v>
      </c>
      <c r="AX29" s="39" t="s">
        <v>59</v>
      </c>
    </row>
    <row r="30" spans="2:50">
      <c r="E30" s="40"/>
      <c r="AD30" s="39" t="s">
        <v>59</v>
      </c>
      <c r="AX30" s="41" t="s">
        <v>73</v>
      </c>
    </row>
    <row r="31" spans="2:50">
      <c r="E31" s="39"/>
      <c r="AD31" s="41" t="s">
        <v>73</v>
      </c>
      <c r="AX31" s="39" t="s">
        <v>74</v>
      </c>
    </row>
    <row r="32" spans="2:50">
      <c r="E32" s="41"/>
      <c r="AD32" s="39" t="s">
        <v>74</v>
      </c>
      <c r="AX32" s="42" t="s">
        <v>146</v>
      </c>
    </row>
    <row r="33" spans="2:50">
      <c r="E33" s="39"/>
      <c r="AD33" s="42" t="s">
        <v>122</v>
      </c>
      <c r="AX33" s="39" t="s">
        <v>76</v>
      </c>
    </row>
    <row r="34" spans="2:50">
      <c r="E34" s="42"/>
      <c r="AD34" s="39" t="s">
        <v>76</v>
      </c>
      <c r="AX34" s="39" t="s">
        <v>65</v>
      </c>
    </row>
    <row r="35" spans="2:50">
      <c r="E35" s="39"/>
      <c r="AD35" s="39" t="s">
        <v>65</v>
      </c>
      <c r="AX35" s="39" t="s">
        <v>111</v>
      </c>
    </row>
    <row r="36" spans="2:50">
      <c r="E36" s="39"/>
      <c r="AD36" s="39" t="s">
        <v>111</v>
      </c>
      <c r="AX36" s="43" t="s">
        <v>66</v>
      </c>
    </row>
    <row r="37" spans="2:50">
      <c r="E37" s="39"/>
      <c r="AD37" s="43" t="s">
        <v>66</v>
      </c>
    </row>
    <row r="38" spans="2:50">
      <c r="E38" s="43"/>
      <c r="AX38" s="40" t="s">
        <v>78</v>
      </c>
    </row>
    <row r="39" spans="2:50">
      <c r="AX39" s="39" t="s">
        <v>51</v>
      </c>
    </row>
    <row r="40" spans="2:50">
      <c r="B40" s="88"/>
      <c r="C40" s="88"/>
      <c r="D40" s="88"/>
      <c r="E40" s="46"/>
      <c r="AD40" s="40" t="s">
        <v>78</v>
      </c>
      <c r="AX40" s="42" t="s">
        <v>123</v>
      </c>
    </row>
    <row r="41" spans="2:50">
      <c r="B41" s="88"/>
      <c r="C41" s="88"/>
      <c r="D41" s="88"/>
      <c r="E41" s="47"/>
      <c r="AD41" s="39" t="s">
        <v>51</v>
      </c>
      <c r="AX41" s="41" t="s">
        <v>124</v>
      </c>
    </row>
    <row r="42" spans="2:50">
      <c r="B42" s="88"/>
      <c r="C42" s="88"/>
      <c r="D42" s="88"/>
      <c r="E42" s="48"/>
      <c r="AD42" s="42" t="s">
        <v>123</v>
      </c>
      <c r="AX42" s="41" t="s">
        <v>125</v>
      </c>
    </row>
    <row r="43" spans="2:50">
      <c r="B43" s="88"/>
      <c r="C43" s="88"/>
      <c r="D43" s="88"/>
      <c r="E43" s="47"/>
      <c r="AD43" s="41" t="s">
        <v>124</v>
      </c>
      <c r="AX43" s="41" t="s">
        <v>126</v>
      </c>
    </row>
    <row r="44" spans="2:50">
      <c r="B44" s="88"/>
      <c r="C44" s="88"/>
      <c r="D44" s="88"/>
      <c r="E44" s="47"/>
      <c r="AD44" s="41" t="s">
        <v>125</v>
      </c>
      <c r="AX44" s="41" t="s">
        <v>127</v>
      </c>
    </row>
    <row r="45" spans="2:50">
      <c r="B45" s="88"/>
      <c r="C45" s="88"/>
      <c r="D45" s="88"/>
      <c r="E45" s="47"/>
      <c r="AD45" s="41" t="s">
        <v>126</v>
      </c>
      <c r="AX45" s="41" t="s">
        <v>128</v>
      </c>
    </row>
    <row r="46" spans="2:50">
      <c r="B46" s="88"/>
      <c r="C46" s="88"/>
      <c r="D46" s="88"/>
      <c r="E46" s="47"/>
      <c r="AD46" s="41" t="s">
        <v>127</v>
      </c>
      <c r="AX46" s="41" t="s">
        <v>129</v>
      </c>
    </row>
    <row r="47" spans="2:50">
      <c r="B47" s="88"/>
      <c r="C47" s="88"/>
      <c r="D47" s="88"/>
      <c r="E47" s="47"/>
      <c r="AD47" s="41" t="s">
        <v>128</v>
      </c>
      <c r="AX47" s="40" t="s">
        <v>88</v>
      </c>
    </row>
    <row r="48" spans="2:50">
      <c r="B48" s="45"/>
      <c r="C48" s="45"/>
      <c r="D48" s="45"/>
      <c r="E48" s="46"/>
      <c r="AD48" s="41" t="s">
        <v>129</v>
      </c>
      <c r="AX48" s="40" t="s">
        <v>89</v>
      </c>
    </row>
    <row r="49" spans="2:50">
      <c r="B49" s="45"/>
      <c r="C49" s="45"/>
      <c r="D49" s="45"/>
      <c r="E49" s="46"/>
      <c r="AD49" s="40" t="s">
        <v>88</v>
      </c>
      <c r="AX49" s="39" t="s">
        <v>90</v>
      </c>
    </row>
    <row r="50" spans="2:50">
      <c r="B50" s="45"/>
      <c r="C50" s="45"/>
      <c r="D50" s="45"/>
      <c r="E50" s="47"/>
      <c r="AD50" s="40" t="s">
        <v>89</v>
      </c>
      <c r="AX50" s="42" t="s">
        <v>91</v>
      </c>
    </row>
    <row r="51" spans="2:50">
      <c r="B51" s="45"/>
      <c r="C51" s="45"/>
      <c r="D51" s="45"/>
      <c r="E51" s="48"/>
      <c r="AD51" s="39" t="s">
        <v>90</v>
      </c>
      <c r="AX51" s="39" t="s">
        <v>92</v>
      </c>
    </row>
    <row r="52" spans="2:50">
      <c r="B52" s="45"/>
      <c r="C52" s="45"/>
      <c r="D52" s="45"/>
      <c r="E52" s="47"/>
      <c r="AD52" s="42" t="s">
        <v>91</v>
      </c>
      <c r="AX52" s="39" t="s">
        <v>93</v>
      </c>
    </row>
    <row r="53" spans="2:50">
      <c r="B53" s="45"/>
      <c r="C53" s="45"/>
      <c r="D53" s="45"/>
      <c r="E53" s="47"/>
      <c r="AD53" s="39" t="s">
        <v>92</v>
      </c>
      <c r="AX53" s="43" t="s">
        <v>66</v>
      </c>
    </row>
    <row r="54" spans="2:50">
      <c r="B54" s="45"/>
      <c r="C54" s="45"/>
      <c r="D54" s="45"/>
      <c r="E54" s="49"/>
      <c r="AD54" s="39" t="s">
        <v>93</v>
      </c>
    </row>
    <row r="55" spans="2:50">
      <c r="B55" s="45"/>
      <c r="C55" s="45"/>
      <c r="D55" s="45"/>
      <c r="E55" s="45"/>
      <c r="AD55" s="43" t="s">
        <v>66</v>
      </c>
      <c r="AX55" s="41" t="s">
        <v>112</v>
      </c>
    </row>
    <row r="56" spans="2:50">
      <c r="E56" s="41"/>
      <c r="AX56" s="41" t="s">
        <v>113</v>
      </c>
    </row>
    <row r="57" spans="2:50">
      <c r="E57" s="41"/>
      <c r="AD57" s="39" t="s">
        <v>51</v>
      </c>
      <c r="AX57" s="39" t="s">
        <v>51</v>
      </c>
    </row>
    <row r="58" spans="2:50">
      <c r="E58" s="39"/>
      <c r="AD58" s="42" t="s">
        <v>130</v>
      </c>
      <c r="AX58" s="42" t="s">
        <v>147</v>
      </c>
    </row>
    <row r="59" spans="2:50">
      <c r="E59" s="42"/>
      <c r="AD59" s="40" t="s">
        <v>131</v>
      </c>
      <c r="AX59" s="40" t="s">
        <v>148</v>
      </c>
    </row>
    <row r="60" spans="2:50">
      <c r="E60" s="40"/>
      <c r="AD60" s="40" t="s">
        <v>132</v>
      </c>
      <c r="AX60" s="40" t="s">
        <v>114</v>
      </c>
    </row>
    <row r="61" spans="2:50">
      <c r="E61" s="40"/>
      <c r="AD61" s="39" t="s">
        <v>133</v>
      </c>
      <c r="AX61" s="41" t="s">
        <v>115</v>
      </c>
    </row>
    <row r="62" spans="2:50">
      <c r="AD62" s="43" t="s">
        <v>134</v>
      </c>
    </row>
    <row r="63" spans="2:50">
      <c r="E63" s="40"/>
      <c r="AD63" s="39" t="s">
        <v>135</v>
      </c>
      <c r="AX63" s="39" t="s">
        <v>99</v>
      </c>
    </row>
    <row r="64" spans="2:50">
      <c r="E64" s="40"/>
      <c r="AD64" s="39" t="s">
        <v>104</v>
      </c>
    </row>
    <row r="65" spans="5:50">
      <c r="E65" s="40"/>
      <c r="AD65" s="39" t="s">
        <v>116</v>
      </c>
      <c r="AX65" s="39" t="s">
        <v>100</v>
      </c>
    </row>
    <row r="66" spans="5:50">
      <c r="E66" s="41"/>
      <c r="AX66" s="39" t="s">
        <v>101</v>
      </c>
    </row>
    <row r="67" spans="5:50">
      <c r="E67" s="39"/>
    </row>
    <row r="68" spans="5:50">
      <c r="E68" s="39"/>
    </row>
    <row r="69" spans="5:50">
      <c r="E69" s="42"/>
    </row>
    <row r="70" spans="5:50">
      <c r="E70" s="39"/>
    </row>
    <row r="71" spans="5:50">
      <c r="E71" s="39"/>
    </row>
    <row r="72" spans="5:50">
      <c r="E72" s="43"/>
    </row>
    <row r="73" spans="5:50">
      <c r="E73" s="39"/>
    </row>
    <row r="74" spans="5:50">
      <c r="E74" s="39"/>
    </row>
  </sheetData>
  <mergeCells count="3">
    <mergeCell ref="B40:D47"/>
    <mergeCell ref="B2:F19"/>
    <mergeCell ref="T2:V11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81D5-BE96-A248-AD41-354382B0FFD4}">
  <dimension ref="A1:X107"/>
  <sheetViews>
    <sheetView workbookViewId="0">
      <selection activeCell="A2" sqref="A2"/>
    </sheetView>
  </sheetViews>
  <sheetFormatPr baseColWidth="10" defaultRowHeight="16"/>
  <cols>
    <col min="1" max="1" width="104.6640625" customWidth="1"/>
    <col min="2" max="2" width="19.33203125" customWidth="1"/>
    <col min="8" max="8" width="10.6640625" bestFit="1" customWidth="1"/>
    <col min="9" max="9" width="10.5" bestFit="1" customWidth="1"/>
    <col min="10" max="10" width="9.33203125" bestFit="1" customWidth="1"/>
    <col min="11" max="11" width="9.1640625" bestFit="1" customWidth="1"/>
    <col min="12" max="13" width="9" bestFit="1" customWidth="1"/>
  </cols>
  <sheetData>
    <row r="1" spans="1:24">
      <c r="B1" t="s">
        <v>160</v>
      </c>
      <c r="C1" t="s">
        <v>25</v>
      </c>
      <c r="D1" t="s">
        <v>149</v>
      </c>
      <c r="E1" t="s">
        <v>47</v>
      </c>
    </row>
    <row r="2" spans="1:24">
      <c r="B2">
        <v>1</v>
      </c>
      <c r="C2" t="s">
        <v>22</v>
      </c>
      <c r="D2">
        <v>0</v>
      </c>
      <c r="E2">
        <v>55217</v>
      </c>
    </row>
    <row r="3" spans="1:24">
      <c r="B3">
        <v>1</v>
      </c>
      <c r="C3" t="s">
        <v>22</v>
      </c>
      <c r="D3">
        <v>1</v>
      </c>
      <c r="E3">
        <v>1488</v>
      </c>
    </row>
    <row r="4" spans="1:24">
      <c r="B4">
        <v>1</v>
      </c>
      <c r="C4" t="s">
        <v>22</v>
      </c>
      <c r="D4">
        <v>2</v>
      </c>
      <c r="E4">
        <v>527</v>
      </c>
      <c r="H4" s="3" t="s">
        <v>48</v>
      </c>
      <c r="I4" s="3" t="s">
        <v>10</v>
      </c>
    </row>
    <row r="5" spans="1:24">
      <c r="B5">
        <v>1</v>
      </c>
      <c r="C5" t="s">
        <v>22</v>
      </c>
      <c r="D5">
        <v>3</v>
      </c>
      <c r="E5">
        <v>336</v>
      </c>
      <c r="H5" s="3" t="s">
        <v>8</v>
      </c>
      <c r="I5" t="s">
        <v>21</v>
      </c>
      <c r="J5" t="s">
        <v>22</v>
      </c>
      <c r="K5" t="s">
        <v>23</v>
      </c>
      <c r="L5" t="s">
        <v>159</v>
      </c>
      <c r="M5" t="s">
        <v>9</v>
      </c>
    </row>
    <row r="6" spans="1:24">
      <c r="A6" s="39" t="s">
        <v>50</v>
      </c>
      <c r="B6">
        <v>1</v>
      </c>
      <c r="C6" t="s">
        <v>22</v>
      </c>
      <c r="D6">
        <v>4</v>
      </c>
      <c r="E6">
        <v>261</v>
      </c>
      <c r="H6" s="4">
        <v>1</v>
      </c>
      <c r="I6" s="8">
        <v>45829</v>
      </c>
      <c r="J6" s="8">
        <v>58660</v>
      </c>
      <c r="K6" s="8">
        <v>53902</v>
      </c>
      <c r="L6" s="8"/>
      <c r="M6" s="8">
        <v>158391</v>
      </c>
    </row>
    <row r="7" spans="1:24">
      <c r="A7" s="39" t="s">
        <v>51</v>
      </c>
      <c r="B7">
        <v>1</v>
      </c>
      <c r="C7" t="s">
        <v>22</v>
      </c>
      <c r="D7">
        <v>5</v>
      </c>
      <c r="E7">
        <v>218</v>
      </c>
      <c r="H7" s="4">
        <v>2</v>
      </c>
      <c r="I7" s="8">
        <v>50091</v>
      </c>
      <c r="J7" s="8">
        <v>67642</v>
      </c>
      <c r="K7" s="8">
        <v>61786</v>
      </c>
      <c r="L7" s="8"/>
      <c r="M7" s="8">
        <v>179519</v>
      </c>
    </row>
    <row r="8" spans="1:24">
      <c r="A8" s="39" t="s">
        <v>52</v>
      </c>
      <c r="B8">
        <v>1</v>
      </c>
      <c r="C8" t="s">
        <v>22</v>
      </c>
      <c r="D8">
        <v>6</v>
      </c>
      <c r="E8">
        <v>136</v>
      </c>
      <c r="H8" s="4" t="s">
        <v>159</v>
      </c>
      <c r="I8" s="8"/>
      <c r="J8" s="8"/>
      <c r="K8" s="8"/>
      <c r="L8" s="8"/>
      <c r="M8" s="8"/>
    </row>
    <row r="9" spans="1:24">
      <c r="A9" s="39" t="s">
        <v>53</v>
      </c>
      <c r="B9">
        <v>1</v>
      </c>
      <c r="C9" t="s">
        <v>22</v>
      </c>
      <c r="D9">
        <v>7</v>
      </c>
      <c r="E9">
        <v>148</v>
      </c>
      <c r="H9" s="4" t="s">
        <v>9</v>
      </c>
      <c r="I9" s="8">
        <v>95920</v>
      </c>
      <c r="J9" s="8">
        <v>126302</v>
      </c>
      <c r="K9" s="8">
        <v>115688</v>
      </c>
      <c r="L9" s="8"/>
      <c r="M9" s="8">
        <v>337910</v>
      </c>
      <c r="Q9" s="6" t="s">
        <v>48</v>
      </c>
      <c r="R9" s="6" t="s">
        <v>10</v>
      </c>
      <c r="S9" s="6"/>
      <c r="T9" s="6"/>
    </row>
    <row r="10" spans="1:24">
      <c r="A10" s="40" t="s">
        <v>54</v>
      </c>
      <c r="B10">
        <v>1</v>
      </c>
      <c r="C10" t="s">
        <v>22</v>
      </c>
      <c r="D10">
        <v>8</v>
      </c>
      <c r="E10">
        <v>95</v>
      </c>
      <c r="Q10" s="7" t="s">
        <v>8</v>
      </c>
      <c r="R10" s="7" t="s">
        <v>21</v>
      </c>
      <c r="S10" s="7" t="s">
        <v>22</v>
      </c>
      <c r="T10" s="7" t="s">
        <v>23</v>
      </c>
      <c r="V10" s="7" t="s">
        <v>21</v>
      </c>
      <c r="W10" s="7" t="s">
        <v>22</v>
      </c>
      <c r="X10" s="7" t="s">
        <v>23</v>
      </c>
    </row>
    <row r="11" spans="1:24">
      <c r="A11" s="40" t="s">
        <v>55</v>
      </c>
      <c r="B11">
        <v>1</v>
      </c>
      <c r="C11" t="s">
        <v>22</v>
      </c>
      <c r="D11">
        <v>9</v>
      </c>
      <c r="E11">
        <v>73</v>
      </c>
      <c r="Q11" s="4">
        <v>0</v>
      </c>
      <c r="R11" s="8">
        <v>37179</v>
      </c>
      <c r="S11" s="8">
        <v>50630</v>
      </c>
      <c r="T11" s="8">
        <v>47678</v>
      </c>
      <c r="V11" s="14">
        <f>R11/R$30</f>
        <v>0.38760425354462053</v>
      </c>
      <c r="W11" s="14">
        <f>S11/S$30</f>
        <v>0.40086459438488703</v>
      </c>
      <c r="X11" s="14">
        <f>T11/T$30</f>
        <v>0.41212571744692622</v>
      </c>
    </row>
    <row r="12" spans="1:24">
      <c r="A12" s="40" t="s">
        <v>56</v>
      </c>
      <c r="B12">
        <v>1</v>
      </c>
      <c r="C12" t="s">
        <v>22</v>
      </c>
      <c r="D12">
        <v>10</v>
      </c>
      <c r="E12">
        <v>52</v>
      </c>
      <c r="H12" s="3" t="s">
        <v>160</v>
      </c>
      <c r="I12" s="4">
        <v>2</v>
      </c>
      <c r="Q12" s="4">
        <v>1</v>
      </c>
      <c r="R12" s="8">
        <v>4656</v>
      </c>
      <c r="S12" s="8">
        <v>6559</v>
      </c>
      <c r="T12" s="8">
        <v>5737</v>
      </c>
      <c r="V12" s="14">
        <f t="shared" ref="V12:V28" si="0">R12/R$30</f>
        <v>4.8540450375312759E-2</v>
      </c>
      <c r="W12" s="14">
        <f t="shared" ref="W12:W28" si="1">S12/S$30</f>
        <v>5.193108581020095E-2</v>
      </c>
      <c r="X12" s="14">
        <f t="shared" ref="X12:X28" si="2">T12/T$30</f>
        <v>4.9590277297558952E-2</v>
      </c>
    </row>
    <row r="13" spans="1:24">
      <c r="A13" s="40" t="s">
        <v>57</v>
      </c>
      <c r="B13">
        <v>1</v>
      </c>
      <c r="C13" t="s">
        <v>22</v>
      </c>
      <c r="D13">
        <v>11</v>
      </c>
      <c r="E13">
        <v>31</v>
      </c>
      <c r="Q13" s="4">
        <v>2</v>
      </c>
      <c r="R13" s="8">
        <v>2168</v>
      </c>
      <c r="S13" s="8">
        <v>2741</v>
      </c>
      <c r="T13" s="8">
        <v>2160</v>
      </c>
      <c r="V13" s="14">
        <f t="shared" si="0"/>
        <v>2.2602168473728108E-2</v>
      </c>
      <c r="W13" s="14">
        <f t="shared" si="1"/>
        <v>2.1701952463143895E-2</v>
      </c>
      <c r="X13" s="14">
        <f t="shared" si="2"/>
        <v>1.8670907959338911E-2</v>
      </c>
    </row>
    <row r="14" spans="1:24">
      <c r="A14" s="41" t="s">
        <v>58</v>
      </c>
      <c r="B14">
        <v>1</v>
      </c>
      <c r="C14" t="s">
        <v>22</v>
      </c>
      <c r="D14">
        <v>12</v>
      </c>
      <c r="E14">
        <v>30</v>
      </c>
      <c r="H14" s="3" t="s">
        <v>48</v>
      </c>
      <c r="I14" s="3" t="s">
        <v>10</v>
      </c>
      <c r="Q14" s="4">
        <v>3</v>
      </c>
      <c r="R14" s="8">
        <v>1414</v>
      </c>
      <c r="S14" s="8">
        <v>1788</v>
      </c>
      <c r="T14" s="8">
        <v>1428</v>
      </c>
      <c r="V14" s="14">
        <f t="shared" si="0"/>
        <v>1.4741451209341118E-2</v>
      </c>
      <c r="W14" s="14">
        <f t="shared" si="1"/>
        <v>1.415654542287533E-2</v>
      </c>
      <c r="X14" s="14">
        <f t="shared" si="2"/>
        <v>1.2343544706451836E-2</v>
      </c>
    </row>
    <row r="15" spans="1:24">
      <c r="A15" s="39" t="s">
        <v>59</v>
      </c>
      <c r="B15">
        <v>1</v>
      </c>
      <c r="C15" t="s">
        <v>22</v>
      </c>
      <c r="D15">
        <v>13</v>
      </c>
      <c r="E15">
        <v>19</v>
      </c>
      <c r="H15" s="3" t="s">
        <v>8</v>
      </c>
      <c r="I15" t="s">
        <v>21</v>
      </c>
      <c r="J15" t="s">
        <v>22</v>
      </c>
      <c r="K15" t="s">
        <v>23</v>
      </c>
      <c r="L15" t="s">
        <v>9</v>
      </c>
      <c r="Q15" s="4">
        <v>4</v>
      </c>
      <c r="R15" s="8">
        <v>1070</v>
      </c>
      <c r="S15" s="8">
        <v>1305</v>
      </c>
      <c r="T15" s="8">
        <v>1132</v>
      </c>
      <c r="V15" s="13">
        <f t="shared" si="0"/>
        <v>1.1155129274395329E-2</v>
      </c>
      <c r="W15" s="13">
        <f t="shared" si="1"/>
        <v>1.0332377951259679E-2</v>
      </c>
      <c r="X15" s="13">
        <f t="shared" si="2"/>
        <v>9.7849388009127996E-3</v>
      </c>
    </row>
    <row r="16" spans="1:24">
      <c r="A16" s="41" t="s">
        <v>60</v>
      </c>
      <c r="B16">
        <v>1</v>
      </c>
      <c r="C16" t="s">
        <v>22</v>
      </c>
      <c r="D16">
        <v>14</v>
      </c>
      <c r="E16">
        <v>13</v>
      </c>
      <c r="H16" s="4">
        <v>0</v>
      </c>
      <c r="I16" s="8">
        <v>37179</v>
      </c>
      <c r="J16" s="8">
        <v>50630</v>
      </c>
      <c r="K16" s="8">
        <v>47678</v>
      </c>
      <c r="L16" s="8">
        <v>135487</v>
      </c>
      <c r="Q16" s="4">
        <v>5</v>
      </c>
      <c r="R16" s="8">
        <v>794</v>
      </c>
      <c r="S16" s="8">
        <v>1070</v>
      </c>
      <c r="T16" s="8">
        <v>848</v>
      </c>
      <c r="V16" s="13">
        <f t="shared" si="0"/>
        <v>8.2777314428690574E-3</v>
      </c>
      <c r="W16" s="13">
        <f t="shared" si="1"/>
        <v>8.4717581669332236E-3</v>
      </c>
      <c r="X16" s="13">
        <f t="shared" si="2"/>
        <v>7.330060161814536E-3</v>
      </c>
    </row>
    <row r="17" spans="1:24">
      <c r="A17" s="39" t="s">
        <v>61</v>
      </c>
      <c r="B17">
        <v>1</v>
      </c>
      <c r="C17" t="s">
        <v>22</v>
      </c>
      <c r="D17">
        <v>15</v>
      </c>
      <c r="E17">
        <v>12</v>
      </c>
      <c r="H17" s="4">
        <v>1</v>
      </c>
      <c r="I17" s="8">
        <v>4656</v>
      </c>
      <c r="J17" s="8">
        <v>6559</v>
      </c>
      <c r="K17" s="8">
        <v>5737</v>
      </c>
      <c r="L17" s="8">
        <v>16952</v>
      </c>
      <c r="Q17" s="4">
        <v>6</v>
      </c>
      <c r="R17" s="8">
        <v>762</v>
      </c>
      <c r="S17" s="8">
        <v>902</v>
      </c>
      <c r="T17" s="8">
        <v>750</v>
      </c>
      <c r="V17" s="13">
        <f t="shared" si="0"/>
        <v>7.9441201000834023E-3</v>
      </c>
      <c r="W17" s="13">
        <f t="shared" si="1"/>
        <v>7.1416129594147363E-3</v>
      </c>
      <c r="X17" s="13">
        <f t="shared" si="2"/>
        <v>6.4829541525482336E-3</v>
      </c>
    </row>
    <row r="18" spans="1:24">
      <c r="A18" s="42" t="s">
        <v>62</v>
      </c>
      <c r="B18">
        <v>1</v>
      </c>
      <c r="C18" t="s">
        <v>22</v>
      </c>
      <c r="D18">
        <v>16</v>
      </c>
      <c r="E18">
        <v>4</v>
      </c>
      <c r="H18" s="4">
        <v>2</v>
      </c>
      <c r="I18" s="8">
        <v>2168</v>
      </c>
      <c r="J18" s="8">
        <v>2741</v>
      </c>
      <c r="K18" s="8">
        <v>2160</v>
      </c>
      <c r="L18" s="8">
        <v>7069</v>
      </c>
      <c r="Q18" s="4">
        <v>7</v>
      </c>
      <c r="R18" s="8">
        <v>556</v>
      </c>
      <c r="S18" s="8">
        <v>715</v>
      </c>
      <c r="T18" s="8">
        <v>548</v>
      </c>
      <c r="V18" s="13">
        <f t="shared" si="0"/>
        <v>5.7964970809007508E-3</v>
      </c>
      <c r="W18" s="13">
        <f t="shared" si="1"/>
        <v>5.6610346629507053E-3</v>
      </c>
      <c r="X18" s="13">
        <f t="shared" si="2"/>
        <v>4.736878500795242E-3</v>
      </c>
    </row>
    <row r="19" spans="1:24">
      <c r="A19" s="39" t="s">
        <v>63</v>
      </c>
      <c r="B19">
        <v>1</v>
      </c>
      <c r="C19" t="s">
        <v>23</v>
      </c>
      <c r="D19">
        <v>0</v>
      </c>
      <c r="E19">
        <v>50776</v>
      </c>
      <c r="H19" s="4">
        <v>3</v>
      </c>
      <c r="I19" s="8">
        <v>1414</v>
      </c>
      <c r="J19" s="8">
        <v>1788</v>
      </c>
      <c r="K19" s="8">
        <v>1428</v>
      </c>
      <c r="L19" s="8">
        <v>4630</v>
      </c>
      <c r="Q19" s="4">
        <v>8</v>
      </c>
      <c r="R19" s="8">
        <v>382</v>
      </c>
      <c r="S19" s="8">
        <v>486</v>
      </c>
      <c r="T19" s="8">
        <v>393</v>
      </c>
      <c r="V19" s="13">
        <f t="shared" si="0"/>
        <v>3.9824854045037534E-3</v>
      </c>
      <c r="W19" s="13">
        <f t="shared" si="1"/>
        <v>3.8479200646070531E-3</v>
      </c>
      <c r="X19" s="13">
        <f t="shared" si="2"/>
        <v>3.3970679759352741E-3</v>
      </c>
    </row>
    <row r="20" spans="1:24">
      <c r="A20" s="39" t="s">
        <v>64</v>
      </c>
      <c r="B20">
        <v>1</v>
      </c>
      <c r="C20" t="s">
        <v>23</v>
      </c>
      <c r="D20">
        <v>1</v>
      </c>
      <c r="E20">
        <v>1418</v>
      </c>
      <c r="H20" s="4">
        <v>4</v>
      </c>
      <c r="I20" s="8">
        <v>1070</v>
      </c>
      <c r="J20" s="8">
        <v>1305</v>
      </c>
      <c r="K20" s="8">
        <v>1132</v>
      </c>
      <c r="L20" s="8">
        <v>3507</v>
      </c>
      <c r="Q20" s="4">
        <v>9</v>
      </c>
      <c r="R20" s="8">
        <v>286</v>
      </c>
      <c r="S20" s="8">
        <v>375</v>
      </c>
      <c r="T20" s="8">
        <v>321</v>
      </c>
      <c r="V20" s="13">
        <f t="shared" si="0"/>
        <v>2.9816513761467892E-3</v>
      </c>
      <c r="W20" s="13">
        <f t="shared" si="1"/>
        <v>2.9690741239251951E-3</v>
      </c>
      <c r="X20" s="13">
        <f t="shared" si="2"/>
        <v>2.7747043772906438E-3</v>
      </c>
    </row>
    <row r="21" spans="1:24">
      <c r="A21" s="39" t="s">
        <v>65</v>
      </c>
      <c r="B21">
        <v>1</v>
      </c>
      <c r="C21" t="s">
        <v>23</v>
      </c>
      <c r="D21">
        <v>2</v>
      </c>
      <c r="E21">
        <v>434</v>
      </c>
      <c r="H21" s="4">
        <v>5</v>
      </c>
      <c r="I21" s="8">
        <v>794</v>
      </c>
      <c r="J21" s="8">
        <v>1070</v>
      </c>
      <c r="K21" s="8">
        <v>848</v>
      </c>
      <c r="L21" s="8">
        <v>2712</v>
      </c>
      <c r="Q21" s="4">
        <v>10</v>
      </c>
      <c r="R21" s="8">
        <v>220</v>
      </c>
      <c r="S21" s="8">
        <v>310</v>
      </c>
      <c r="T21" s="8">
        <v>204</v>
      </c>
      <c r="V21" s="13">
        <f t="shared" si="0"/>
        <v>2.2935779816513763E-3</v>
      </c>
      <c r="W21" s="13">
        <f t="shared" si="1"/>
        <v>2.4544346091114949E-3</v>
      </c>
      <c r="X21" s="13">
        <f t="shared" si="2"/>
        <v>1.7633635294931195E-3</v>
      </c>
    </row>
    <row r="22" spans="1:24">
      <c r="A22" s="43" t="s">
        <v>66</v>
      </c>
      <c r="B22">
        <v>1</v>
      </c>
      <c r="C22" t="s">
        <v>23</v>
      </c>
      <c r="D22">
        <v>3</v>
      </c>
      <c r="E22">
        <v>307</v>
      </c>
      <c r="H22" s="4">
        <v>6</v>
      </c>
      <c r="I22" s="8">
        <v>762</v>
      </c>
      <c r="J22" s="8">
        <v>902</v>
      </c>
      <c r="K22" s="8">
        <v>750</v>
      </c>
      <c r="L22" s="8">
        <v>2414</v>
      </c>
      <c r="Q22" s="4">
        <v>11</v>
      </c>
      <c r="R22" s="8">
        <v>181</v>
      </c>
      <c r="S22" s="8">
        <v>232</v>
      </c>
      <c r="T22" s="8">
        <v>185</v>
      </c>
      <c r="V22" s="13">
        <f t="shared" si="0"/>
        <v>1.8869891576313595E-3</v>
      </c>
      <c r="W22" s="13">
        <f t="shared" si="1"/>
        <v>1.836867191335054E-3</v>
      </c>
      <c r="X22" s="13">
        <f t="shared" si="2"/>
        <v>1.5991286909618975E-3</v>
      </c>
    </row>
    <row r="23" spans="1:24">
      <c r="A23" s="40" t="s">
        <v>67</v>
      </c>
      <c r="B23">
        <v>1</v>
      </c>
      <c r="C23" t="s">
        <v>23</v>
      </c>
      <c r="D23">
        <v>4</v>
      </c>
      <c r="E23">
        <v>228</v>
      </c>
      <c r="H23" s="4">
        <v>7</v>
      </c>
      <c r="I23" s="8">
        <v>556</v>
      </c>
      <c r="J23" s="8">
        <v>715</v>
      </c>
      <c r="K23" s="8">
        <v>548</v>
      </c>
      <c r="L23" s="8">
        <v>1819</v>
      </c>
      <c r="Q23" s="4">
        <v>12</v>
      </c>
      <c r="R23" s="8">
        <v>135</v>
      </c>
      <c r="S23" s="8">
        <v>173</v>
      </c>
      <c r="T23" s="8">
        <v>124</v>
      </c>
      <c r="V23" s="13">
        <f t="shared" si="0"/>
        <v>1.4074228523769808E-3</v>
      </c>
      <c r="W23" s="13">
        <f t="shared" si="1"/>
        <v>1.3697328625041567E-3</v>
      </c>
      <c r="X23" s="13">
        <f t="shared" si="2"/>
        <v>1.0718484198879745E-3</v>
      </c>
    </row>
    <row r="24" spans="1:24">
      <c r="A24" s="39" t="s">
        <v>51</v>
      </c>
      <c r="B24">
        <v>1</v>
      </c>
      <c r="C24" t="s">
        <v>23</v>
      </c>
      <c r="D24">
        <v>5</v>
      </c>
      <c r="E24">
        <v>198</v>
      </c>
      <c r="H24" s="4">
        <v>8</v>
      </c>
      <c r="I24" s="8">
        <v>382</v>
      </c>
      <c r="J24" s="8">
        <v>486</v>
      </c>
      <c r="K24" s="8">
        <v>393</v>
      </c>
      <c r="L24" s="8">
        <v>1261</v>
      </c>
      <c r="Q24" s="4">
        <v>13</v>
      </c>
      <c r="R24" s="8">
        <v>118</v>
      </c>
      <c r="S24" s="8">
        <v>130</v>
      </c>
      <c r="T24" s="8">
        <v>110</v>
      </c>
      <c r="V24" s="13">
        <f t="shared" si="0"/>
        <v>1.2301918265221017E-3</v>
      </c>
      <c r="W24" s="13">
        <f t="shared" si="1"/>
        <v>1.0292790296274009E-3</v>
      </c>
      <c r="X24" s="13">
        <f t="shared" si="2"/>
        <v>9.5083327570707424E-4</v>
      </c>
    </row>
    <row r="25" spans="1:24">
      <c r="A25" s="39" t="s">
        <v>150</v>
      </c>
      <c r="B25">
        <v>1</v>
      </c>
      <c r="C25" t="s">
        <v>23</v>
      </c>
      <c r="D25">
        <v>6</v>
      </c>
      <c r="E25">
        <v>151</v>
      </c>
      <c r="H25" s="4">
        <v>9</v>
      </c>
      <c r="I25" s="8">
        <v>286</v>
      </c>
      <c r="J25" s="8">
        <v>375</v>
      </c>
      <c r="K25" s="8">
        <v>321</v>
      </c>
      <c r="L25" s="8">
        <v>982</v>
      </c>
      <c r="Q25" s="4">
        <v>14</v>
      </c>
      <c r="R25" s="8">
        <v>72</v>
      </c>
      <c r="S25" s="8">
        <v>99</v>
      </c>
      <c r="T25" s="8">
        <v>75</v>
      </c>
      <c r="V25" s="13">
        <f t="shared" si="0"/>
        <v>7.5062552126772309E-4</v>
      </c>
      <c r="W25" s="13">
        <f t="shared" si="1"/>
        <v>7.8383556871625148E-4</v>
      </c>
      <c r="X25" s="13">
        <f t="shared" si="2"/>
        <v>6.4829541525482327E-4</v>
      </c>
    </row>
    <row r="26" spans="1:24">
      <c r="A26" s="40" t="s">
        <v>69</v>
      </c>
      <c r="B26">
        <v>1</v>
      </c>
      <c r="C26" t="s">
        <v>23</v>
      </c>
      <c r="D26">
        <v>7</v>
      </c>
      <c r="E26">
        <v>104</v>
      </c>
      <c r="H26" s="4">
        <v>10</v>
      </c>
      <c r="I26" s="8">
        <v>220</v>
      </c>
      <c r="J26" s="8">
        <v>310</v>
      </c>
      <c r="K26" s="8">
        <v>204</v>
      </c>
      <c r="L26" s="8">
        <v>734</v>
      </c>
      <c r="Q26" s="4">
        <v>15</v>
      </c>
      <c r="R26" s="8">
        <v>44</v>
      </c>
      <c r="S26" s="8">
        <v>70</v>
      </c>
      <c r="T26" s="8">
        <v>52</v>
      </c>
      <c r="V26" s="13">
        <f t="shared" si="0"/>
        <v>4.5871559633027525E-4</v>
      </c>
      <c r="W26" s="13">
        <f t="shared" si="1"/>
        <v>5.5422716979936979E-4</v>
      </c>
      <c r="X26" s="13">
        <f t="shared" si="2"/>
        <v>4.4948482124334416E-4</v>
      </c>
    </row>
    <row r="27" spans="1:24">
      <c r="A27" s="40" t="s">
        <v>70</v>
      </c>
      <c r="B27">
        <v>1</v>
      </c>
      <c r="C27" t="s">
        <v>23</v>
      </c>
      <c r="D27">
        <v>8</v>
      </c>
      <c r="E27">
        <v>84</v>
      </c>
      <c r="H27" s="4">
        <v>11</v>
      </c>
      <c r="I27" s="8">
        <v>181</v>
      </c>
      <c r="J27" s="8">
        <v>232</v>
      </c>
      <c r="K27" s="8">
        <v>185</v>
      </c>
      <c r="L27" s="8">
        <v>598</v>
      </c>
      <c r="Q27" s="4">
        <v>16</v>
      </c>
      <c r="R27" s="8">
        <v>37</v>
      </c>
      <c r="S27" s="8">
        <v>46</v>
      </c>
      <c r="T27" s="8">
        <v>30</v>
      </c>
      <c r="V27" s="13">
        <f t="shared" si="0"/>
        <v>3.8573811509591327E-4</v>
      </c>
      <c r="W27" s="13">
        <f t="shared" si="1"/>
        <v>3.6420642586815726E-4</v>
      </c>
      <c r="X27" s="13">
        <f t="shared" si="2"/>
        <v>2.5931816610192933E-4</v>
      </c>
    </row>
    <row r="28" spans="1:24">
      <c r="A28" s="40" t="s">
        <v>71</v>
      </c>
      <c r="B28">
        <v>1</v>
      </c>
      <c r="C28" t="s">
        <v>23</v>
      </c>
      <c r="D28">
        <v>9</v>
      </c>
      <c r="E28">
        <v>57</v>
      </c>
      <c r="H28" s="4">
        <v>12</v>
      </c>
      <c r="I28" s="8">
        <v>135</v>
      </c>
      <c r="J28" s="8">
        <v>173</v>
      </c>
      <c r="K28" s="8">
        <v>124</v>
      </c>
      <c r="L28" s="8">
        <v>432</v>
      </c>
      <c r="Q28" s="4">
        <v>17</v>
      </c>
      <c r="R28" s="8">
        <v>17</v>
      </c>
      <c r="S28" s="8">
        <v>11</v>
      </c>
      <c r="T28" s="8">
        <v>11</v>
      </c>
      <c r="V28" s="13">
        <f t="shared" si="0"/>
        <v>1.7723102585487905E-4</v>
      </c>
      <c r="W28" s="13">
        <f t="shared" si="1"/>
        <v>8.709284096847239E-5</v>
      </c>
      <c r="X28" s="13">
        <f t="shared" si="2"/>
        <v>9.5083327570707414E-5</v>
      </c>
    </row>
    <row r="29" spans="1:24">
      <c r="A29" s="40" t="s">
        <v>151</v>
      </c>
      <c r="B29">
        <v>1</v>
      </c>
      <c r="C29" t="s">
        <v>23</v>
      </c>
      <c r="D29">
        <v>10</v>
      </c>
      <c r="E29">
        <v>39</v>
      </c>
      <c r="H29" s="4">
        <v>13</v>
      </c>
      <c r="I29" s="8">
        <v>118</v>
      </c>
      <c r="J29" s="8">
        <v>130</v>
      </c>
      <c r="K29" s="8">
        <v>110</v>
      </c>
      <c r="L29" s="8">
        <v>358</v>
      </c>
    </row>
    <row r="30" spans="1:24" ht="34">
      <c r="B30">
        <v>1</v>
      </c>
      <c r="C30" t="s">
        <v>23</v>
      </c>
      <c r="D30">
        <v>11</v>
      </c>
      <c r="E30">
        <v>36</v>
      </c>
      <c r="H30" s="4">
        <v>14</v>
      </c>
      <c r="I30" s="8">
        <v>72</v>
      </c>
      <c r="J30" s="8">
        <v>99</v>
      </c>
      <c r="K30" s="8">
        <v>75</v>
      </c>
      <c r="L30" s="8">
        <v>246</v>
      </c>
      <c r="Q30" s="18" t="s">
        <v>167</v>
      </c>
      <c r="R30" s="9">
        <v>95920</v>
      </c>
      <c r="S30" s="9">
        <v>126302</v>
      </c>
      <c r="T30" s="9">
        <v>115688</v>
      </c>
    </row>
    <row r="31" spans="1:24">
      <c r="A31" s="39" t="s">
        <v>59</v>
      </c>
      <c r="B31">
        <v>1</v>
      </c>
      <c r="C31" t="s">
        <v>23</v>
      </c>
      <c r="D31">
        <v>12</v>
      </c>
      <c r="E31">
        <v>22</v>
      </c>
      <c r="H31" s="4">
        <v>15</v>
      </c>
      <c r="I31" s="8">
        <v>44</v>
      </c>
      <c r="J31" s="8">
        <v>70</v>
      </c>
      <c r="K31" s="8">
        <v>52</v>
      </c>
      <c r="L31" s="8">
        <v>166</v>
      </c>
    </row>
    <row r="32" spans="1:24">
      <c r="A32" s="41" t="s">
        <v>73</v>
      </c>
      <c r="B32">
        <v>1</v>
      </c>
      <c r="C32" t="s">
        <v>23</v>
      </c>
      <c r="D32">
        <v>13</v>
      </c>
      <c r="E32">
        <v>27</v>
      </c>
      <c r="H32" s="4">
        <v>16</v>
      </c>
      <c r="I32" s="8">
        <v>37</v>
      </c>
      <c r="J32" s="8">
        <v>46</v>
      </c>
      <c r="K32" s="8">
        <v>30</v>
      </c>
      <c r="L32" s="8">
        <v>113</v>
      </c>
    </row>
    <row r="33" spans="1:12">
      <c r="A33" s="39" t="s">
        <v>74</v>
      </c>
      <c r="B33">
        <v>1</v>
      </c>
      <c r="C33" t="s">
        <v>23</v>
      </c>
      <c r="D33">
        <v>14</v>
      </c>
      <c r="E33">
        <v>12</v>
      </c>
      <c r="H33" s="4">
        <v>17</v>
      </c>
      <c r="I33" s="8">
        <v>17</v>
      </c>
      <c r="J33" s="8">
        <v>11</v>
      </c>
      <c r="K33" s="8">
        <v>11</v>
      </c>
      <c r="L33" s="8">
        <v>39</v>
      </c>
    </row>
    <row r="34" spans="1:12">
      <c r="A34" s="42" t="s">
        <v>152</v>
      </c>
      <c r="B34">
        <v>1</v>
      </c>
      <c r="C34" t="s">
        <v>23</v>
      </c>
      <c r="D34">
        <v>15</v>
      </c>
      <c r="E34">
        <v>7</v>
      </c>
      <c r="H34" s="4" t="s">
        <v>9</v>
      </c>
      <c r="I34" s="8">
        <v>50091</v>
      </c>
      <c r="J34" s="8">
        <v>67642</v>
      </c>
      <c r="K34" s="8">
        <v>61786</v>
      </c>
      <c r="L34" s="8">
        <v>179519</v>
      </c>
    </row>
    <row r="35" spans="1:12">
      <c r="A35" s="39" t="s">
        <v>76</v>
      </c>
      <c r="B35">
        <v>1</v>
      </c>
      <c r="C35" t="s">
        <v>23</v>
      </c>
      <c r="D35">
        <v>17</v>
      </c>
      <c r="E35">
        <v>2</v>
      </c>
    </row>
    <row r="36" spans="1:12">
      <c r="A36" s="39" t="s">
        <v>65</v>
      </c>
      <c r="B36">
        <v>1</v>
      </c>
      <c r="C36" t="s">
        <v>21</v>
      </c>
      <c r="D36">
        <v>0</v>
      </c>
      <c r="E36">
        <v>42418</v>
      </c>
    </row>
    <row r="37" spans="1:12">
      <c r="B37">
        <v>1</v>
      </c>
      <c r="C37" t="s">
        <v>21</v>
      </c>
      <c r="D37">
        <v>1</v>
      </c>
      <c r="E37">
        <v>1413</v>
      </c>
    </row>
    <row r="38" spans="1:12">
      <c r="A38" s="43" t="s">
        <v>66</v>
      </c>
      <c r="B38">
        <v>1</v>
      </c>
      <c r="C38" t="s">
        <v>21</v>
      </c>
      <c r="D38">
        <v>2</v>
      </c>
      <c r="E38">
        <v>515</v>
      </c>
    </row>
    <row r="39" spans="1:12">
      <c r="B39">
        <v>1</v>
      </c>
      <c r="C39" t="s">
        <v>21</v>
      </c>
      <c r="D39">
        <v>3</v>
      </c>
      <c r="E39">
        <v>349</v>
      </c>
    </row>
    <row r="40" spans="1:12">
      <c r="A40" s="40" t="s">
        <v>78</v>
      </c>
      <c r="B40">
        <v>1</v>
      </c>
      <c r="C40" t="s">
        <v>21</v>
      </c>
      <c r="D40">
        <v>4</v>
      </c>
      <c r="E40">
        <v>248</v>
      </c>
    </row>
    <row r="41" spans="1:12">
      <c r="A41" s="39" t="s">
        <v>51</v>
      </c>
      <c r="B41">
        <v>1</v>
      </c>
      <c r="C41" t="s">
        <v>21</v>
      </c>
      <c r="D41">
        <v>5</v>
      </c>
      <c r="E41">
        <v>215</v>
      </c>
    </row>
    <row r="42" spans="1:12">
      <c r="A42" s="41" t="s">
        <v>79</v>
      </c>
      <c r="B42">
        <v>1</v>
      </c>
      <c r="C42" t="s">
        <v>21</v>
      </c>
      <c r="D42">
        <v>6</v>
      </c>
      <c r="E42">
        <v>166</v>
      </c>
    </row>
    <row r="43" spans="1:12">
      <c r="A43" s="39" t="s">
        <v>80</v>
      </c>
      <c r="B43">
        <v>1</v>
      </c>
      <c r="C43" t="s">
        <v>21</v>
      </c>
      <c r="D43">
        <v>7</v>
      </c>
      <c r="E43">
        <v>135</v>
      </c>
    </row>
    <row r="44" spans="1:12">
      <c r="A44" s="39" t="s">
        <v>81</v>
      </c>
      <c r="B44">
        <v>1</v>
      </c>
      <c r="C44" t="s">
        <v>21</v>
      </c>
      <c r="D44">
        <v>8</v>
      </c>
      <c r="E44">
        <v>87</v>
      </c>
    </row>
    <row r="45" spans="1:12">
      <c r="A45" s="39" t="s">
        <v>82</v>
      </c>
      <c r="B45">
        <v>1</v>
      </c>
      <c r="C45" t="s">
        <v>21</v>
      </c>
      <c r="D45">
        <v>9</v>
      </c>
      <c r="E45">
        <v>83</v>
      </c>
    </row>
    <row r="46" spans="1:12">
      <c r="A46" s="39" t="s">
        <v>83</v>
      </c>
      <c r="B46">
        <v>1</v>
      </c>
      <c r="C46" t="s">
        <v>21</v>
      </c>
      <c r="D46">
        <v>10</v>
      </c>
      <c r="E46">
        <v>49</v>
      </c>
    </row>
    <row r="47" spans="1:12">
      <c r="A47" s="39" t="s">
        <v>84</v>
      </c>
      <c r="B47">
        <v>1</v>
      </c>
      <c r="C47" t="s">
        <v>21</v>
      </c>
      <c r="D47">
        <v>11</v>
      </c>
      <c r="E47">
        <v>47</v>
      </c>
    </row>
    <row r="48" spans="1:12">
      <c r="A48" s="40" t="s">
        <v>85</v>
      </c>
      <c r="B48">
        <v>1</v>
      </c>
      <c r="C48" t="s">
        <v>21</v>
      </c>
      <c r="D48">
        <v>12</v>
      </c>
      <c r="E48">
        <v>45</v>
      </c>
    </row>
    <row r="49" spans="1:5">
      <c r="A49" s="41" t="s">
        <v>86</v>
      </c>
      <c r="B49">
        <v>1</v>
      </c>
      <c r="C49" t="s">
        <v>21</v>
      </c>
      <c r="D49">
        <v>13</v>
      </c>
      <c r="E49">
        <v>22</v>
      </c>
    </row>
    <row r="50" spans="1:5">
      <c r="A50" s="40" t="s">
        <v>87</v>
      </c>
      <c r="B50">
        <v>1</v>
      </c>
      <c r="C50" t="s">
        <v>21</v>
      </c>
      <c r="D50">
        <v>14</v>
      </c>
      <c r="E50">
        <v>21</v>
      </c>
    </row>
    <row r="51" spans="1:5">
      <c r="A51" s="40" t="s">
        <v>70</v>
      </c>
      <c r="B51">
        <v>1</v>
      </c>
      <c r="C51" t="s">
        <v>21</v>
      </c>
      <c r="D51">
        <v>15</v>
      </c>
      <c r="E51">
        <v>7</v>
      </c>
    </row>
    <row r="52" spans="1:5">
      <c r="A52" s="40" t="s">
        <v>89</v>
      </c>
      <c r="B52">
        <v>1</v>
      </c>
      <c r="C52" t="s">
        <v>21</v>
      </c>
      <c r="D52">
        <v>16</v>
      </c>
      <c r="E52">
        <v>6</v>
      </c>
    </row>
    <row r="53" spans="1:5">
      <c r="A53" s="40" t="s">
        <v>151</v>
      </c>
      <c r="B53">
        <v>1</v>
      </c>
      <c r="C53" t="s">
        <v>21</v>
      </c>
      <c r="D53">
        <v>17</v>
      </c>
      <c r="E53">
        <v>3</v>
      </c>
    </row>
    <row r="54" spans="1:5">
      <c r="A54" s="39" t="s">
        <v>90</v>
      </c>
      <c r="B54">
        <v>2</v>
      </c>
      <c r="C54" t="s">
        <v>22</v>
      </c>
      <c r="D54">
        <v>0</v>
      </c>
      <c r="E54">
        <v>50630</v>
      </c>
    </row>
    <row r="55" spans="1:5">
      <c r="A55" s="42" t="s">
        <v>91</v>
      </c>
      <c r="B55">
        <v>2</v>
      </c>
      <c r="C55" t="s">
        <v>22</v>
      </c>
      <c r="D55">
        <v>1</v>
      </c>
      <c r="E55">
        <v>6559</v>
      </c>
    </row>
    <row r="56" spans="1:5">
      <c r="A56" s="39" t="s">
        <v>92</v>
      </c>
      <c r="B56">
        <v>2</v>
      </c>
      <c r="C56" t="s">
        <v>22</v>
      </c>
      <c r="D56">
        <v>2</v>
      </c>
      <c r="E56">
        <v>2741</v>
      </c>
    </row>
    <row r="57" spans="1:5">
      <c r="A57" s="39" t="s">
        <v>93</v>
      </c>
      <c r="B57">
        <v>2</v>
      </c>
      <c r="C57" t="s">
        <v>22</v>
      </c>
      <c r="D57">
        <v>3</v>
      </c>
      <c r="E57">
        <v>1788</v>
      </c>
    </row>
    <row r="58" spans="1:5">
      <c r="A58" s="43" t="s">
        <v>66</v>
      </c>
      <c r="B58">
        <v>2</v>
      </c>
      <c r="C58" t="s">
        <v>22</v>
      </c>
      <c r="D58">
        <v>4</v>
      </c>
      <c r="E58">
        <v>1305</v>
      </c>
    </row>
    <row r="59" spans="1:5">
      <c r="A59" s="39" t="s">
        <v>51</v>
      </c>
      <c r="B59">
        <v>2</v>
      </c>
      <c r="C59" t="s">
        <v>22</v>
      </c>
      <c r="D59">
        <v>5</v>
      </c>
      <c r="E59">
        <v>1070</v>
      </c>
    </row>
    <row r="60" spans="1:5">
      <c r="A60" s="42" t="s">
        <v>161</v>
      </c>
      <c r="B60">
        <v>2</v>
      </c>
      <c r="C60" t="s">
        <v>22</v>
      </c>
      <c r="D60">
        <v>6</v>
      </c>
      <c r="E60">
        <v>902</v>
      </c>
    </row>
    <row r="61" spans="1:5">
      <c r="A61" s="40" t="s">
        <v>153</v>
      </c>
      <c r="B61">
        <v>2</v>
      </c>
      <c r="C61" t="s">
        <v>22</v>
      </c>
      <c r="D61">
        <v>7</v>
      </c>
      <c r="E61">
        <v>715</v>
      </c>
    </row>
    <row r="62" spans="1:5">
      <c r="A62" s="39" t="s">
        <v>133</v>
      </c>
      <c r="B62">
        <v>2</v>
      </c>
      <c r="C62" t="s">
        <v>22</v>
      </c>
      <c r="D62">
        <v>8</v>
      </c>
      <c r="E62">
        <v>486</v>
      </c>
    </row>
    <row r="63" spans="1:5">
      <c r="A63" s="43" t="s">
        <v>96</v>
      </c>
      <c r="B63">
        <v>2</v>
      </c>
      <c r="C63" t="s">
        <v>22</v>
      </c>
      <c r="D63">
        <v>9</v>
      </c>
      <c r="E63">
        <v>375</v>
      </c>
    </row>
    <row r="64" spans="1:5">
      <c r="A64" s="39" t="s">
        <v>51</v>
      </c>
      <c r="B64">
        <v>2</v>
      </c>
      <c r="C64" t="s">
        <v>22</v>
      </c>
      <c r="D64">
        <v>10</v>
      </c>
      <c r="E64">
        <v>310</v>
      </c>
    </row>
    <row r="65" spans="1:5">
      <c r="A65" s="42" t="s">
        <v>25</v>
      </c>
      <c r="B65">
        <v>2</v>
      </c>
      <c r="C65" t="s">
        <v>22</v>
      </c>
      <c r="D65">
        <v>11</v>
      </c>
      <c r="E65">
        <v>232</v>
      </c>
    </row>
    <row r="66" spans="1:5">
      <c r="A66" s="40" t="s">
        <v>154</v>
      </c>
      <c r="B66">
        <v>2</v>
      </c>
      <c r="C66" t="s">
        <v>22</v>
      </c>
      <c r="D66">
        <v>12</v>
      </c>
      <c r="E66">
        <v>173</v>
      </c>
    </row>
    <row r="67" spans="1:5">
      <c r="A67" s="40" t="s">
        <v>155</v>
      </c>
      <c r="B67">
        <v>2</v>
      </c>
      <c r="C67" t="s">
        <v>22</v>
      </c>
      <c r="D67">
        <v>13</v>
      </c>
      <c r="E67">
        <v>130</v>
      </c>
    </row>
    <row r="68" spans="1:5">
      <c r="A68" s="40" t="s">
        <v>156</v>
      </c>
      <c r="B68">
        <v>2</v>
      </c>
      <c r="C68" t="s">
        <v>22</v>
      </c>
      <c r="D68">
        <v>14</v>
      </c>
      <c r="E68">
        <v>99</v>
      </c>
    </row>
    <row r="69" spans="1:5">
      <c r="A69" s="40" t="s">
        <v>162</v>
      </c>
      <c r="B69">
        <v>2</v>
      </c>
      <c r="C69" t="s">
        <v>22</v>
      </c>
      <c r="D69">
        <v>15</v>
      </c>
      <c r="E69">
        <v>70</v>
      </c>
    </row>
    <row r="70" spans="1:5">
      <c r="A70" s="39" t="s">
        <v>133</v>
      </c>
      <c r="B70">
        <v>2</v>
      </c>
      <c r="C70" t="s">
        <v>22</v>
      </c>
      <c r="D70">
        <v>16</v>
      </c>
      <c r="E70">
        <v>46</v>
      </c>
    </row>
    <row r="71" spans="1:5">
      <c r="A71" s="43" t="s">
        <v>96</v>
      </c>
      <c r="B71">
        <v>2</v>
      </c>
      <c r="C71" t="s">
        <v>22</v>
      </c>
      <c r="D71">
        <v>17</v>
      </c>
      <c r="E71">
        <v>11</v>
      </c>
    </row>
    <row r="72" spans="1:5">
      <c r="A72" s="39" t="s">
        <v>51</v>
      </c>
      <c r="B72">
        <v>2</v>
      </c>
      <c r="C72" t="s">
        <v>23</v>
      </c>
      <c r="D72">
        <v>0</v>
      </c>
      <c r="E72">
        <v>47678</v>
      </c>
    </row>
    <row r="73" spans="1:5">
      <c r="A73" s="42" t="s">
        <v>25</v>
      </c>
      <c r="B73">
        <v>2</v>
      </c>
      <c r="C73" t="s">
        <v>23</v>
      </c>
      <c r="D73">
        <v>1</v>
      </c>
      <c r="E73">
        <v>5737</v>
      </c>
    </row>
    <row r="74" spans="1:5">
      <c r="A74" s="40" t="s">
        <v>154</v>
      </c>
      <c r="B74">
        <v>2</v>
      </c>
      <c r="C74" t="s">
        <v>23</v>
      </c>
      <c r="D74">
        <v>2</v>
      </c>
      <c r="E74">
        <v>2160</v>
      </c>
    </row>
    <row r="75" spans="1:5">
      <c r="A75" s="40" t="s">
        <v>155</v>
      </c>
      <c r="B75">
        <v>2</v>
      </c>
      <c r="C75" t="s">
        <v>23</v>
      </c>
      <c r="D75">
        <v>3</v>
      </c>
      <c r="E75">
        <v>1428</v>
      </c>
    </row>
    <row r="76" spans="1:5">
      <c r="A76" s="40" t="s">
        <v>156</v>
      </c>
      <c r="B76">
        <v>2</v>
      </c>
      <c r="C76" t="s">
        <v>23</v>
      </c>
      <c r="D76">
        <v>4</v>
      </c>
      <c r="E76">
        <v>1132</v>
      </c>
    </row>
    <row r="77" spans="1:5">
      <c r="A77" s="40" t="s">
        <v>157</v>
      </c>
      <c r="B77">
        <v>2</v>
      </c>
      <c r="C77" t="s">
        <v>23</v>
      </c>
      <c r="D77">
        <v>5</v>
      </c>
      <c r="E77">
        <v>848</v>
      </c>
    </row>
    <row r="78" spans="1:5">
      <c r="A78" s="39" t="s">
        <v>158</v>
      </c>
      <c r="B78">
        <v>2</v>
      </c>
      <c r="C78" t="s">
        <v>23</v>
      </c>
      <c r="D78">
        <v>6</v>
      </c>
      <c r="E78">
        <v>750</v>
      </c>
    </row>
    <row r="79" spans="1:5">
      <c r="A79" s="43" t="s">
        <v>66</v>
      </c>
      <c r="B79">
        <v>2</v>
      </c>
      <c r="C79" t="s">
        <v>23</v>
      </c>
      <c r="D79">
        <v>7</v>
      </c>
      <c r="E79">
        <v>548</v>
      </c>
    </row>
    <row r="80" spans="1:5">
      <c r="A80" s="39" t="s">
        <v>163</v>
      </c>
      <c r="B80">
        <v>2</v>
      </c>
      <c r="C80" t="s">
        <v>23</v>
      </c>
      <c r="D80">
        <v>8</v>
      </c>
      <c r="E80">
        <v>393</v>
      </c>
    </row>
    <row r="81" spans="1:5">
      <c r="A81" s="39" t="s">
        <v>164</v>
      </c>
      <c r="B81">
        <v>2</v>
      </c>
      <c r="C81" t="s">
        <v>23</v>
      </c>
      <c r="D81">
        <v>9</v>
      </c>
      <c r="E81">
        <v>321</v>
      </c>
    </row>
    <row r="82" spans="1:5">
      <c r="A82" s="43" t="s">
        <v>66</v>
      </c>
      <c r="B82">
        <v>2</v>
      </c>
      <c r="C82" t="s">
        <v>23</v>
      </c>
      <c r="D82">
        <v>10</v>
      </c>
      <c r="E82">
        <v>204</v>
      </c>
    </row>
    <row r="83" spans="1:5">
      <c r="A83" s="39" t="s">
        <v>165</v>
      </c>
      <c r="B83">
        <v>2</v>
      </c>
      <c r="C83" t="s">
        <v>23</v>
      </c>
      <c r="D83">
        <v>11</v>
      </c>
      <c r="E83">
        <v>185</v>
      </c>
    </row>
    <row r="84" spans="1:5">
      <c r="A84" s="39" t="s">
        <v>166</v>
      </c>
      <c r="B84">
        <v>2</v>
      </c>
      <c r="C84" t="s">
        <v>23</v>
      </c>
      <c r="D84">
        <v>12</v>
      </c>
      <c r="E84">
        <v>124</v>
      </c>
    </row>
    <row r="85" spans="1:5">
      <c r="B85">
        <v>2</v>
      </c>
      <c r="C85" t="s">
        <v>23</v>
      </c>
      <c r="D85">
        <v>13</v>
      </c>
      <c r="E85">
        <v>110</v>
      </c>
    </row>
    <row r="86" spans="1:5">
      <c r="B86">
        <v>2</v>
      </c>
      <c r="C86" t="s">
        <v>23</v>
      </c>
      <c r="D86">
        <v>14</v>
      </c>
      <c r="E86">
        <v>75</v>
      </c>
    </row>
    <row r="87" spans="1:5">
      <c r="B87">
        <v>2</v>
      </c>
      <c r="C87" t="s">
        <v>23</v>
      </c>
      <c r="D87">
        <v>15</v>
      </c>
      <c r="E87">
        <v>52</v>
      </c>
    </row>
    <row r="88" spans="1:5">
      <c r="B88">
        <v>2</v>
      </c>
      <c r="C88" t="s">
        <v>23</v>
      </c>
      <c r="D88">
        <v>16</v>
      </c>
      <c r="E88">
        <v>30</v>
      </c>
    </row>
    <row r="89" spans="1:5">
      <c r="B89">
        <v>2</v>
      </c>
      <c r="C89" t="s">
        <v>23</v>
      </c>
      <c r="D89">
        <v>17</v>
      </c>
      <c r="E89">
        <v>11</v>
      </c>
    </row>
    <row r="90" spans="1:5">
      <c r="B90">
        <v>2</v>
      </c>
      <c r="C90" t="s">
        <v>21</v>
      </c>
      <c r="D90">
        <v>0</v>
      </c>
      <c r="E90">
        <v>37179</v>
      </c>
    </row>
    <row r="91" spans="1:5">
      <c r="B91">
        <v>2</v>
      </c>
      <c r="C91" t="s">
        <v>21</v>
      </c>
      <c r="D91">
        <v>1</v>
      </c>
      <c r="E91">
        <v>4656</v>
      </c>
    </row>
    <row r="92" spans="1:5">
      <c r="B92">
        <v>2</v>
      </c>
      <c r="C92" t="s">
        <v>21</v>
      </c>
      <c r="D92">
        <v>2</v>
      </c>
      <c r="E92">
        <v>2168</v>
      </c>
    </row>
    <row r="93" spans="1:5">
      <c r="B93">
        <v>2</v>
      </c>
      <c r="C93" t="s">
        <v>21</v>
      </c>
      <c r="D93">
        <v>3</v>
      </c>
      <c r="E93">
        <v>1414</v>
      </c>
    </row>
    <row r="94" spans="1:5">
      <c r="B94">
        <v>2</v>
      </c>
      <c r="C94" t="s">
        <v>21</v>
      </c>
      <c r="D94">
        <v>4</v>
      </c>
      <c r="E94">
        <v>1070</v>
      </c>
    </row>
    <row r="95" spans="1:5">
      <c r="B95">
        <v>2</v>
      </c>
      <c r="C95" t="s">
        <v>21</v>
      </c>
      <c r="D95">
        <v>5</v>
      </c>
      <c r="E95">
        <v>794</v>
      </c>
    </row>
    <row r="96" spans="1:5">
      <c r="B96">
        <v>2</v>
      </c>
      <c r="C96" t="s">
        <v>21</v>
      </c>
      <c r="D96">
        <v>6</v>
      </c>
      <c r="E96">
        <v>762</v>
      </c>
    </row>
    <row r="97" spans="2:5">
      <c r="B97">
        <v>2</v>
      </c>
      <c r="C97" t="s">
        <v>21</v>
      </c>
      <c r="D97">
        <v>7</v>
      </c>
      <c r="E97">
        <v>556</v>
      </c>
    </row>
    <row r="98" spans="2:5">
      <c r="B98">
        <v>2</v>
      </c>
      <c r="C98" t="s">
        <v>21</v>
      </c>
      <c r="D98">
        <v>8</v>
      </c>
      <c r="E98">
        <v>382</v>
      </c>
    </row>
    <row r="99" spans="2:5">
      <c r="B99">
        <v>2</v>
      </c>
      <c r="C99" t="s">
        <v>21</v>
      </c>
      <c r="D99">
        <v>9</v>
      </c>
      <c r="E99">
        <v>286</v>
      </c>
    </row>
    <row r="100" spans="2:5">
      <c r="B100">
        <v>2</v>
      </c>
      <c r="C100" t="s">
        <v>21</v>
      </c>
      <c r="D100">
        <v>10</v>
      </c>
      <c r="E100">
        <v>220</v>
      </c>
    </row>
    <row r="101" spans="2:5">
      <c r="B101">
        <v>2</v>
      </c>
      <c r="C101" t="s">
        <v>21</v>
      </c>
      <c r="D101">
        <v>11</v>
      </c>
      <c r="E101">
        <v>181</v>
      </c>
    </row>
    <row r="102" spans="2:5">
      <c r="B102">
        <v>2</v>
      </c>
      <c r="C102" t="s">
        <v>21</v>
      </c>
      <c r="D102">
        <v>12</v>
      </c>
      <c r="E102">
        <v>135</v>
      </c>
    </row>
    <row r="103" spans="2:5">
      <c r="B103">
        <v>2</v>
      </c>
      <c r="C103" t="s">
        <v>21</v>
      </c>
      <c r="D103">
        <v>13</v>
      </c>
      <c r="E103">
        <v>118</v>
      </c>
    </row>
    <row r="104" spans="2:5">
      <c r="B104">
        <v>2</v>
      </c>
      <c r="C104" t="s">
        <v>21</v>
      </c>
      <c r="D104">
        <v>14</v>
      </c>
      <c r="E104">
        <v>72</v>
      </c>
    </row>
    <row r="105" spans="2:5">
      <c r="B105">
        <v>2</v>
      </c>
      <c r="C105" t="s">
        <v>21</v>
      </c>
      <c r="D105">
        <v>15</v>
      </c>
      <c r="E105">
        <v>44</v>
      </c>
    </row>
    <row r="106" spans="2:5">
      <c r="B106">
        <v>2</v>
      </c>
      <c r="C106" t="s">
        <v>21</v>
      </c>
      <c r="D106">
        <v>16</v>
      </c>
      <c r="E106">
        <v>37</v>
      </c>
    </row>
    <row r="107" spans="2:5">
      <c r="B107">
        <v>2</v>
      </c>
      <c r="C107" t="s">
        <v>21</v>
      </c>
      <c r="D107">
        <v>17</v>
      </c>
      <c r="E107">
        <v>17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act 次留</vt:lpstr>
      <vt:lpstr>daily 收入 活跃与价值</vt:lpstr>
      <vt:lpstr>汇总</vt:lpstr>
      <vt:lpstr>4.24 更新收入</vt:lpstr>
      <vt:lpstr>4.28 更新收入</vt:lpstr>
      <vt:lpstr>美国</vt:lpstr>
      <vt:lpstr>累计保存次数用户占比</vt:lpstr>
      <vt:lpstr>Sheet7</vt:lpstr>
      <vt:lpstr>edit 累计数据</vt:lpstr>
      <vt:lpstr>限免次数的使用</vt:lpstr>
      <vt:lpstr>第N天使用完2次的用户数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2025-04-21T07:29:52Z</dcterms:created>
  <dcterms:modified xsi:type="dcterms:W3CDTF">2025-05-07T10:41:59Z</dcterms:modified>
</cp:coreProperties>
</file>