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74AB2A62-69E9-764A-961C-A74B94F535B3}" xr6:coauthVersionLast="38" xr6:coauthVersionMax="38" xr10:uidLastSave="{00000000-0000-0000-0000-000000000000}"/>
  <bookViews>
    <workbookView xWindow="360" yWindow="920" windowWidth="27360" windowHeight="16940" activeTab="4" xr2:uid="{75CAABDA-0BB5-1C42-8D83-11DC21FB99F1}"/>
  </bookViews>
  <sheets>
    <sheet name="次日留存率" sheetId="1" r:id="rId1"/>
    <sheet name="收入" sheetId="2" r:id="rId2"/>
    <sheet name="cpi" sheetId="4" r:id="rId3"/>
    <sheet name="分t123 收入和活跃天数" sheetId="3" r:id="rId4"/>
    <sheet name="新增收入+广告计算" sheetId="7" r:id="rId5"/>
    <sheet name="sub to paid bookings " sheetId="5" r:id="rId6"/>
    <sheet name="ads bookings" sheetId="6" r:id="rId7"/>
  </sheets>
  <calcPr calcId="179021"/>
  <pivotCaches>
    <pivotCache cacheId="18" r:id="rId8"/>
    <pivotCache cacheId="19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3" i="1" l="1"/>
  <c r="Z43" i="1"/>
  <c r="X43" i="1"/>
  <c r="AB40" i="1"/>
  <c r="Z40" i="1"/>
  <c r="X40" i="1"/>
  <c r="AB36" i="1"/>
  <c r="AB33" i="1"/>
  <c r="Z36" i="1"/>
  <c r="Z33" i="1"/>
  <c r="X36" i="1"/>
  <c r="X33" i="1"/>
  <c r="R49" i="1"/>
  <c r="R51" i="1"/>
  <c r="S51" i="1"/>
  <c r="Y70" i="1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3" i="7"/>
  <c r="Y51" i="1" l="1"/>
  <c r="W106" i="1"/>
  <c r="W107" i="1" s="1"/>
  <c r="V106" i="1"/>
  <c r="V107" i="1" s="1"/>
  <c r="AC92" i="1"/>
  <c r="AB92" i="1"/>
  <c r="AA92" i="1"/>
  <c r="M3" i="4" l="1"/>
  <c r="M4" i="4"/>
  <c r="M5" i="4"/>
  <c r="M15" i="4"/>
  <c r="M12" i="4"/>
  <c r="M13" i="4"/>
  <c r="M14" i="4"/>
  <c r="M6" i="4"/>
  <c r="BC25" i="2" l="1"/>
  <c r="BC24" i="2"/>
  <c r="BC23" i="2"/>
  <c r="BC22" i="2"/>
  <c r="BC21" i="2"/>
  <c r="BC20" i="2"/>
  <c r="BC19" i="2"/>
  <c r="BC18" i="2"/>
  <c r="BC11" i="2"/>
  <c r="BC12" i="2"/>
  <c r="BC13" i="2"/>
  <c r="BC9" i="2"/>
  <c r="BC10" i="2"/>
  <c r="BC7" i="2"/>
  <c r="BC8" i="2"/>
  <c r="BC6" i="2"/>
  <c r="AP22" i="2"/>
  <c r="AO22" i="2"/>
  <c r="AN22" i="2"/>
  <c r="AQ32" i="2"/>
  <c r="AP32" i="2"/>
  <c r="AO32" i="2"/>
  <c r="AN32" i="2"/>
  <c r="AQ31" i="2"/>
  <c r="AP31" i="2"/>
  <c r="AO31" i="2"/>
  <c r="AN31" i="2"/>
  <c r="AQ23" i="2"/>
  <c r="AP23" i="2"/>
  <c r="AO23" i="2"/>
  <c r="AN23" i="2"/>
  <c r="AQ22" i="2"/>
  <c r="AA89" i="1"/>
  <c r="M8" i="3"/>
  <c r="M7" i="3"/>
  <c r="M5" i="3"/>
  <c r="R98" i="1"/>
  <c r="R99" i="1"/>
  <c r="AD89" i="1"/>
  <c r="AC89" i="1"/>
  <c r="AB89" i="1"/>
  <c r="AD92" i="1"/>
  <c r="AA90" i="1" l="1"/>
  <c r="X99" i="1"/>
  <c r="X98" i="1" l="1"/>
  <c r="Y99" i="1" s="1"/>
  <c r="X103" i="1"/>
  <c r="X102" i="1"/>
  <c r="X101" i="1"/>
  <c r="X100" i="1"/>
  <c r="S100" i="1"/>
  <c r="AA91" i="1" s="1"/>
  <c r="S99" i="1"/>
  <c r="V103" i="1"/>
  <c r="V102" i="1"/>
  <c r="V101" i="1"/>
  <c r="V100" i="1"/>
  <c r="V99" i="1"/>
  <c r="V98" i="1"/>
  <c r="T103" i="1"/>
  <c r="T102" i="1"/>
  <c r="T101" i="1"/>
  <c r="U102" i="1" s="1"/>
  <c r="AB93" i="1" s="1"/>
  <c r="T100" i="1"/>
  <c r="T99" i="1"/>
  <c r="T98" i="1"/>
  <c r="R100" i="1"/>
  <c r="R101" i="1"/>
  <c r="R102" i="1"/>
  <c r="R103" i="1"/>
  <c r="Q12" i="3"/>
  <c r="Q9" i="3"/>
  <c r="Q10" i="3"/>
  <c r="Q11" i="3"/>
  <c r="M9" i="3"/>
  <c r="M10" i="3"/>
  <c r="M11" i="3"/>
  <c r="M12" i="3"/>
  <c r="Q6" i="3"/>
  <c r="Q7" i="3"/>
  <c r="Q8" i="3"/>
  <c r="Q5" i="3"/>
  <c r="M6" i="3"/>
  <c r="L24" i="3" l="1"/>
  <c r="K24" i="3"/>
  <c r="K30" i="3"/>
  <c r="L30" i="3"/>
  <c r="L27" i="3"/>
  <c r="K27" i="3"/>
  <c r="K29" i="3"/>
  <c r="L29" i="3"/>
  <c r="W100" i="1"/>
  <c r="L26" i="3"/>
  <c r="K26" i="3"/>
  <c r="L28" i="3"/>
  <c r="K28" i="3"/>
  <c r="U99" i="1"/>
  <c r="AB90" i="1" s="1"/>
  <c r="L25" i="3"/>
  <c r="K25" i="3"/>
  <c r="L31" i="3"/>
  <c r="K31" i="3"/>
  <c r="U100" i="1"/>
  <c r="AB91" i="1" s="1"/>
  <c r="Y100" i="1"/>
  <c r="AD91" i="1" s="1"/>
  <c r="W99" i="1"/>
  <c r="AC90" i="1" s="1"/>
  <c r="W102" i="1"/>
  <c r="AC93" i="1" s="1"/>
  <c r="S103" i="1"/>
  <c r="AA94" i="1" s="1"/>
  <c r="U103" i="1"/>
  <c r="AB94" i="1" s="1"/>
  <c r="W103" i="1"/>
  <c r="AC94" i="1" s="1"/>
  <c r="S102" i="1"/>
  <c r="AA93" i="1" s="1"/>
  <c r="AC91" i="1"/>
  <c r="Y102" i="1"/>
  <c r="AD93" i="1" s="1"/>
  <c r="Y103" i="1"/>
  <c r="AD94" i="1" s="1"/>
  <c r="AD90" i="1"/>
  <c r="Z73" i="1"/>
  <c r="AA73" i="1"/>
  <c r="Y73" i="1"/>
  <c r="AE73" i="1" s="1"/>
  <c r="Z72" i="1"/>
  <c r="Z75" i="1" s="1"/>
  <c r="AA72" i="1"/>
  <c r="Y72" i="1"/>
  <c r="AE72" i="1" s="1"/>
  <c r="Z71" i="1"/>
  <c r="AA71" i="1"/>
  <c r="AG71" i="1" s="1"/>
  <c r="Y71" i="1"/>
  <c r="Z70" i="1"/>
  <c r="AA70" i="1"/>
  <c r="Y75" i="1" l="1"/>
  <c r="AA75" i="1"/>
  <c r="AF75" i="1" s="1"/>
  <c r="AG72" i="1"/>
  <c r="AF73" i="1"/>
  <c r="AF72" i="1"/>
  <c r="AG73" i="1"/>
  <c r="Y76" i="1"/>
  <c r="Z76" i="1"/>
  <c r="AG75" i="1"/>
  <c r="AF71" i="1"/>
  <c r="AA76" i="1"/>
  <c r="AE71" i="1"/>
  <c r="K33" i="3"/>
  <c r="L33" i="3"/>
  <c r="AF70" i="1"/>
  <c r="AG70" i="1"/>
  <c r="AE70" i="1"/>
  <c r="V56" i="1"/>
  <c r="V57" i="1"/>
  <c r="V58" i="1"/>
  <c r="V59" i="1"/>
  <c r="V60" i="1"/>
  <c r="V55" i="1"/>
  <c r="T56" i="1"/>
  <c r="T57" i="1"/>
  <c r="T58" i="1"/>
  <c r="T59" i="1"/>
  <c r="U59" i="1" s="1"/>
  <c r="AA59" i="1" s="1"/>
  <c r="T60" i="1"/>
  <c r="U60" i="1" s="1"/>
  <c r="AA60" i="1" s="1"/>
  <c r="T55" i="1"/>
  <c r="R56" i="1"/>
  <c r="S56" i="1" s="1"/>
  <c r="Y56" i="1" s="1"/>
  <c r="R57" i="1"/>
  <c r="S57" i="1" s="1"/>
  <c r="Y57" i="1" s="1"/>
  <c r="R58" i="1"/>
  <c r="R59" i="1"/>
  <c r="S59" i="1" s="1"/>
  <c r="Y59" i="1" s="1"/>
  <c r="R60" i="1"/>
  <c r="S60" i="1" s="1"/>
  <c r="Y60" i="1" s="1"/>
  <c r="R55" i="1"/>
  <c r="V54" i="1"/>
  <c r="W54" i="1" s="1"/>
  <c r="AC54" i="1" s="1"/>
  <c r="V51" i="1"/>
  <c r="V49" i="1"/>
  <c r="V50" i="1"/>
  <c r="W50" i="1" s="1"/>
  <c r="AC50" i="1" s="1"/>
  <c r="V52" i="1"/>
  <c r="V53" i="1"/>
  <c r="W53" i="1" s="1"/>
  <c r="AC53" i="1" s="1"/>
  <c r="T49" i="1"/>
  <c r="T50" i="1"/>
  <c r="U50" i="1" s="1"/>
  <c r="AA50" i="1" s="1"/>
  <c r="T51" i="1"/>
  <c r="U51" i="1" s="1"/>
  <c r="AA51" i="1" s="1"/>
  <c r="T52" i="1"/>
  <c r="T53" i="1"/>
  <c r="T54" i="1"/>
  <c r="R50" i="1"/>
  <c r="S50" i="1" s="1"/>
  <c r="Y50" i="1" s="1"/>
  <c r="R52" i="1"/>
  <c r="R53" i="1"/>
  <c r="R54" i="1"/>
  <c r="S54" i="1" s="1"/>
  <c r="Y54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2" i="1"/>
  <c r="W51" i="1" l="1"/>
  <c r="AC51" i="1" s="1"/>
  <c r="W59" i="1"/>
  <c r="AC59" i="1" s="1"/>
  <c r="AG76" i="1"/>
  <c r="W57" i="1"/>
  <c r="AC57" i="1" s="1"/>
  <c r="W56" i="1"/>
  <c r="AC56" i="1" s="1"/>
  <c r="U57" i="1"/>
  <c r="AA57" i="1" s="1"/>
  <c r="U56" i="1"/>
  <c r="AA56" i="1" s="1"/>
  <c r="AE75" i="1"/>
  <c r="W60" i="1"/>
  <c r="AC60" i="1" s="1"/>
  <c r="U54" i="1"/>
  <c r="AA54" i="1" s="1"/>
  <c r="U53" i="1"/>
  <c r="AA53" i="1" s="1"/>
  <c r="S53" i="1"/>
  <c r="Y53" i="1" s="1"/>
  <c r="AF76" i="1"/>
  <c r="AE76" i="1"/>
</calcChain>
</file>

<file path=xl/sharedStrings.xml><?xml version="1.0" encoding="utf-8"?>
<sst xmlns="http://schemas.openxmlformats.org/spreadsheetml/2006/main" count="3996" uniqueCount="276">
  <si>
    <r>
      <t>WITH</t>
    </r>
    <r>
      <rPr>
        <sz val="12"/>
        <color rgb="FFD4D4D4"/>
        <rFont val="Menlo"/>
        <family val="2"/>
      </rPr>
      <t xml:space="preserve"> enter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(</t>
    </r>
  </si>
  <si>
    <r>
      <t>SELECT</t>
    </r>
    <r>
      <rPr>
        <sz val="12"/>
        <color rgb="FFD4D4D4"/>
        <rFont val="Menlo"/>
        <family val="2"/>
      </rPr>
      <t xml:space="preserve"> </t>
    </r>
  </si>
  <si>
    <r>
      <t>DISTINCT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DATE</t>
    </r>
    <r>
      <rPr>
        <sz val="12"/>
        <color rgb="FFD4D4D4"/>
        <rFont val="Menlo"/>
        <family val="2"/>
      </rPr>
      <t xml:space="preserve">(TIMESTAMP_MICROS(event_timestamp), </t>
    </r>
    <r>
      <rPr>
        <sz val="12"/>
        <color rgb="FFCE9178"/>
        <rFont val="Menlo"/>
        <family val="2"/>
      </rPr>
      <t>'Asia/Singapore'</t>
    </r>
    <r>
      <rPr>
        <sz val="12"/>
        <color rgb="FFD4D4D4"/>
        <rFont val="Menlo"/>
        <family val="2"/>
      </rPr>
      <t xml:space="preserve">)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event_date,</t>
    </r>
  </si>
  <si>
    <t>user_pseudo_id,</t>
  </si>
  <si>
    <r>
      <t xml:space="preserve">geo.country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country,</t>
    </r>
  </si>
  <si>
    <t>platform,</t>
  </si>
  <si>
    <r>
      <t xml:space="preserve">func.getUserprop(user_properties, </t>
    </r>
    <r>
      <rPr>
        <sz val="12"/>
        <color rgb="FFCE9178"/>
        <rFont val="Menlo"/>
        <family val="2"/>
      </rPr>
      <t>'device_id'</t>
    </r>
    <r>
      <rPr>
        <sz val="12"/>
        <color rgb="FFD4D4D4"/>
        <rFont val="Menlo"/>
        <family val="2"/>
      </rPr>
      <t xml:space="preserve">).string_value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device_id,</t>
    </r>
  </si>
  <si>
    <r>
      <t xml:space="preserve">func.getParams(event_params, </t>
    </r>
    <r>
      <rPr>
        <sz val="12"/>
        <color rgb="FFCE9178"/>
        <rFont val="Menlo"/>
        <family val="2"/>
      </rPr>
      <t>'current_abcode'</t>
    </r>
    <r>
      <rPr>
        <sz val="12"/>
        <color rgb="FFD4D4D4"/>
        <rFont val="Menlo"/>
        <family val="2"/>
      </rPr>
      <t xml:space="preserve">).string_value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abcode,</t>
    </r>
  </si>
  <si>
    <t>-- event_timestamp</t>
  </si>
  <si>
    <r>
      <t>FROM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`dataintegration-265403.analytics.dwd_dzp_events_function`</t>
    </r>
    <r>
      <rPr>
        <sz val="12"/>
        <color rgb="FFD4D4D4"/>
        <rFont val="Menlo"/>
        <family val="2"/>
      </rPr>
      <t>(</t>
    </r>
    <r>
      <rPr>
        <sz val="12"/>
        <color rgb="FFCE9178"/>
        <rFont val="Menlo"/>
        <family val="2"/>
      </rPr>
      <t>'2025-04-03'</t>
    </r>
    <r>
      <rPr>
        <sz val="12"/>
        <color rgb="FFD4D4D4"/>
        <rFont val="Menlo"/>
        <family val="2"/>
      </rPr>
      <t xml:space="preserve"> ,</t>
    </r>
    <r>
      <rPr>
        <sz val="12"/>
        <color rgb="FFCE9178"/>
        <rFont val="Menlo"/>
        <family val="2"/>
      </rPr>
      <t>'2025-04-20'</t>
    </r>
    <r>
      <rPr>
        <sz val="12"/>
        <color rgb="FFD4D4D4"/>
        <rFont val="Menlo"/>
        <family val="2"/>
      </rPr>
      <t>,</t>
    </r>
    <r>
      <rPr>
        <sz val="12"/>
        <color rgb="FFCE9178"/>
        <rFont val="Menlo"/>
        <family val="2"/>
      </rPr>
      <t>'airbrush'</t>
    </r>
    <r>
      <rPr>
        <sz val="12"/>
        <color rgb="FFD4D4D4"/>
        <rFont val="Menlo"/>
        <family val="2"/>
      </rPr>
      <t xml:space="preserve">, false) </t>
    </r>
    <r>
      <rPr>
        <sz val="12"/>
        <color rgb="FF6A9955"/>
        <rFont val="Menlo"/>
        <family val="2"/>
      </rPr>
      <t>-- 此处用false 速度会更快</t>
    </r>
  </si>
  <si>
    <r>
      <t>WHERE</t>
    </r>
    <r>
      <rPr>
        <sz val="12"/>
        <color rgb="FFD4D4D4"/>
        <rFont val="Menlo"/>
        <family val="2"/>
      </rPr>
      <t xml:space="preserve"> event_name = </t>
    </r>
    <r>
      <rPr>
        <sz val="12"/>
        <color rgb="FFCE9178"/>
        <rFont val="Menlo"/>
        <family val="2"/>
      </rPr>
      <t>'abcode_enter_test'</t>
    </r>
    <r>
      <rPr>
        <sz val="12"/>
        <color rgb="FFD4D4D4"/>
        <rFont val="Menlo"/>
        <family val="2"/>
      </rPr>
      <t xml:space="preserve"> </t>
    </r>
  </si>
  <si>
    <r>
      <t>AND</t>
    </r>
    <r>
      <rPr>
        <sz val="12"/>
        <color rgb="FFD4D4D4"/>
        <rFont val="Menlo"/>
        <family val="2"/>
      </rPr>
      <t xml:space="preserve"> func.getParams(event_params, </t>
    </r>
    <r>
      <rPr>
        <sz val="12"/>
        <color rgb="FFCE9178"/>
        <rFont val="Menlo"/>
        <family val="2"/>
      </rPr>
      <t>'current_abcode'</t>
    </r>
    <r>
      <rPr>
        <sz val="12"/>
        <color rgb="FFD4D4D4"/>
        <rFont val="Menlo"/>
        <family val="2"/>
      </rPr>
      <t xml:space="preserve">).string_value </t>
    </r>
    <r>
      <rPr>
        <sz val="12"/>
        <color rgb="FF569CD6"/>
        <rFont val="Menlo"/>
        <family val="2"/>
      </rPr>
      <t>IN</t>
    </r>
    <r>
      <rPr>
        <sz val="12"/>
        <color rgb="FFD4D4D4"/>
        <rFont val="Menlo"/>
        <family val="2"/>
      </rPr>
      <t xml:space="preserve"> (</t>
    </r>
    <r>
      <rPr>
        <sz val="12"/>
        <color rgb="FFCE9178"/>
        <rFont val="Menlo"/>
        <family val="2"/>
      </rPr>
      <t>'11072'</t>
    </r>
    <r>
      <rPr>
        <sz val="12"/>
        <color rgb="FFD4D4D4"/>
        <rFont val="Menlo"/>
        <family val="2"/>
      </rPr>
      <t>,</t>
    </r>
    <r>
      <rPr>
        <sz val="12"/>
        <color rgb="FFCE9178"/>
        <rFont val="Menlo"/>
        <family val="2"/>
      </rPr>
      <t>'11073'</t>
    </r>
    <r>
      <rPr>
        <sz val="12"/>
        <color rgb="FFD4D4D4"/>
        <rFont val="Menlo"/>
        <family val="2"/>
      </rPr>
      <t>,</t>
    </r>
    <r>
      <rPr>
        <sz val="12"/>
        <color rgb="FFCE9178"/>
        <rFont val="Menlo"/>
        <family val="2"/>
      </rPr>
      <t>'11074'</t>
    </r>
    <r>
      <rPr>
        <sz val="12"/>
        <color rgb="FFD4D4D4"/>
        <rFont val="Menlo"/>
        <family val="2"/>
      </rPr>
      <t>,</t>
    </r>
    <r>
      <rPr>
        <sz val="12"/>
        <color rgb="FFCE9178"/>
        <rFont val="Menlo"/>
        <family val="2"/>
      </rPr>
      <t>'11075'</t>
    </r>
    <r>
      <rPr>
        <sz val="12"/>
        <color rgb="FFD4D4D4"/>
        <rFont val="Menlo"/>
        <family val="2"/>
      </rPr>
      <t>,</t>
    </r>
    <r>
      <rPr>
        <sz val="12"/>
        <color rgb="FFCE9178"/>
        <rFont val="Menlo"/>
        <family val="2"/>
      </rPr>
      <t>'11076'</t>
    </r>
    <r>
      <rPr>
        <sz val="12"/>
        <color rgb="FFD4D4D4"/>
        <rFont val="Menlo"/>
        <family val="2"/>
      </rPr>
      <t>,</t>
    </r>
    <r>
      <rPr>
        <sz val="12"/>
        <color rgb="FFCE9178"/>
        <rFont val="Menlo"/>
        <family val="2"/>
      </rPr>
      <t>'11077'</t>
    </r>
    <r>
      <rPr>
        <sz val="12"/>
        <color rgb="FFD4D4D4"/>
        <rFont val="Menlo"/>
        <family val="2"/>
      </rPr>
      <t>)</t>
    </r>
  </si>
  <si>
    <t>)</t>
  </si>
  <si>
    <r>
      <t xml:space="preserve">,act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(</t>
    </r>
  </si>
  <si>
    <r>
      <t>select</t>
    </r>
    <r>
      <rPr>
        <sz val="12"/>
        <color rgb="FFD4D4D4"/>
        <rFont val="Menlo"/>
        <family val="2"/>
      </rPr>
      <t xml:space="preserve"> </t>
    </r>
  </si>
  <si>
    <t>event_date_hk, user_pseudo_id, platform,real_device_id device_id,is_new,tier</t>
  </si>
  <si>
    <r>
      <t>from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`dataintegration-265403.dwd.dwd_dzp_behavior_active_device`</t>
    </r>
    <r>
      <rPr>
        <sz val="12"/>
        <color rgb="FFD4D4D4"/>
        <rFont val="Menlo"/>
        <family val="2"/>
      </rPr>
      <t xml:space="preserve"> a</t>
    </r>
  </si>
  <si>
    <r>
      <t>left join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`dataintegration-265403.dim.dim_gs_ya_country_tier_info`</t>
    </r>
    <r>
      <rPr>
        <sz val="12"/>
        <color rgb="FFD4D4D4"/>
        <rFont val="Menlo"/>
        <family val="2"/>
      </rPr>
      <t xml:space="preserve"> b </t>
    </r>
    <r>
      <rPr>
        <sz val="12"/>
        <color rgb="FF569CD6"/>
        <rFont val="Menlo"/>
        <family val="2"/>
      </rPr>
      <t>on</t>
    </r>
    <r>
      <rPr>
        <sz val="12"/>
        <color rgb="FFD4D4D4"/>
        <rFont val="Menlo"/>
        <family val="2"/>
      </rPr>
      <t xml:space="preserve"> a.country = b.country </t>
    </r>
  </si>
  <si>
    <t>-- FROM `dataintegration-265403.stat.stat_active_advice_detail_d`</t>
  </si>
  <si>
    <r>
      <t>where</t>
    </r>
    <r>
      <rPr>
        <sz val="12"/>
        <color rgb="FFD4D4D4"/>
        <rFont val="Menlo"/>
        <family val="2"/>
      </rPr>
      <t xml:space="preserve"> </t>
    </r>
  </si>
  <si>
    <r>
      <t xml:space="preserve">event_date_hk </t>
    </r>
    <r>
      <rPr>
        <sz val="12"/>
        <color rgb="FF569CD6"/>
        <rFont val="Menlo"/>
        <family val="2"/>
      </rPr>
      <t>between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'2025-04-03'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and</t>
    </r>
    <r>
      <rPr>
        <sz val="12"/>
        <color rgb="FFCE9178"/>
        <rFont val="Menlo"/>
        <family val="2"/>
      </rPr>
      <t>'2025-04-22'</t>
    </r>
  </si>
  <si>
    <r>
      <t>and</t>
    </r>
    <r>
      <rPr>
        <sz val="12"/>
        <color rgb="FFD4D4D4"/>
        <rFont val="Menlo"/>
        <family val="2"/>
      </rPr>
      <t xml:space="preserve"> app_name = </t>
    </r>
    <r>
      <rPr>
        <sz val="12"/>
        <color rgb="FFCE9178"/>
        <rFont val="Menlo"/>
        <family val="2"/>
      </rPr>
      <t>'AirBrush'</t>
    </r>
  </si>
  <si>
    <r>
      <t xml:space="preserve">,rs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(</t>
    </r>
  </si>
  <si>
    <t>-- 取活跃用户中有进入实验的用户</t>
  </si>
  <si>
    <t>fa.*,abcode</t>
  </si>
  <si>
    <r>
      <t>from</t>
    </r>
    <r>
      <rPr>
        <sz val="12"/>
        <color rgb="FFD4D4D4"/>
        <rFont val="Menlo"/>
        <family val="2"/>
      </rPr>
      <t xml:space="preserve"> act fa</t>
    </r>
  </si>
  <si>
    <r>
      <t>join</t>
    </r>
    <r>
      <rPr>
        <sz val="12"/>
        <color rgb="FFD4D4D4"/>
        <rFont val="Menlo"/>
        <family val="2"/>
      </rPr>
      <t xml:space="preserve"> </t>
    </r>
  </si>
  <si>
    <r>
      <t xml:space="preserve">enter e </t>
    </r>
    <r>
      <rPr>
        <sz val="12"/>
        <color rgb="FF569CD6"/>
        <rFont val="Menlo"/>
        <family val="2"/>
      </rPr>
      <t>ON</t>
    </r>
    <r>
      <rPr>
        <sz val="12"/>
        <color rgb="FFD4D4D4"/>
        <rFont val="Menlo"/>
        <family val="2"/>
      </rPr>
      <t xml:space="preserve"> e.user_pseudo_id = fa.user_pseudo_id </t>
    </r>
    <r>
      <rPr>
        <sz val="12"/>
        <color rgb="FF569CD6"/>
        <rFont val="Menlo"/>
        <family val="2"/>
      </rPr>
      <t>and</t>
    </r>
    <r>
      <rPr>
        <sz val="12"/>
        <color rgb="FFD4D4D4"/>
        <rFont val="Menlo"/>
        <family val="2"/>
      </rPr>
      <t xml:space="preserve"> e.event_date &lt;= fa.event_date_hk </t>
    </r>
  </si>
  <si>
    <r>
      <t>where</t>
    </r>
    <r>
      <rPr>
        <sz val="12"/>
        <color rgb="FFD4D4D4"/>
        <rFont val="Menlo"/>
        <family val="2"/>
      </rPr>
      <t xml:space="preserve"> e.user_pseudo_id </t>
    </r>
    <r>
      <rPr>
        <sz val="12"/>
        <color rgb="FF569CD6"/>
        <rFont val="Menlo"/>
        <family val="2"/>
      </rPr>
      <t>is not null</t>
    </r>
    <r>
      <rPr>
        <sz val="12"/>
        <color rgb="FFD4D4D4"/>
        <rFont val="Menlo"/>
        <family val="2"/>
      </rPr>
      <t xml:space="preserve"> </t>
    </r>
  </si>
  <si>
    <t>o.platform,</t>
  </si>
  <si>
    <t>o.abcode,tier</t>
  </si>
  <si>
    <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o.is_new = 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'New user'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else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'Old user'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 xml:space="preserve"> is_new,</t>
    </r>
  </si>
  <si>
    <t>o.event_date_hk,</t>
  </si>
  <si>
    <r>
      <t>COUNT(</t>
    </r>
    <r>
      <rPr>
        <sz val="12"/>
        <color rgb="FF569CD6"/>
        <rFont val="Menlo"/>
        <family val="2"/>
      </rPr>
      <t>DISTINCT</t>
    </r>
    <r>
      <rPr>
        <sz val="12"/>
        <color rgb="FFD4D4D4"/>
        <rFont val="Menlo"/>
        <family val="2"/>
      </rPr>
      <t xml:space="preserve"> o.device_id)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enter_abtest_uv,</t>
    </r>
  </si>
  <si>
    <r>
      <t>COUNT(</t>
    </r>
    <r>
      <rPr>
        <sz val="12"/>
        <color rgb="FF569CD6"/>
        <rFont val="Menlo"/>
        <family val="2"/>
      </rPr>
      <t>DISTINCT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DATE_DIFF(a.event_date_hk, o.event_date_hk, </t>
    </r>
    <r>
      <rPr>
        <sz val="12"/>
        <color rgb="FF569CD6"/>
        <rFont val="Menlo"/>
        <family val="2"/>
      </rPr>
      <t>DAY</t>
    </r>
    <r>
      <rPr>
        <sz val="12"/>
        <color rgb="FFD4D4D4"/>
        <rFont val="Menlo"/>
        <family val="2"/>
      </rPr>
      <t xml:space="preserve">) = </t>
    </r>
    <r>
      <rPr>
        <sz val="12"/>
        <color rgb="FFB5CEA8"/>
        <rFont val="Menlo"/>
        <family val="2"/>
      </rPr>
      <t>0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o.device_id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 xml:space="preserve">)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re0,</t>
    </r>
  </si>
  <si>
    <r>
      <t>COUNT(</t>
    </r>
    <r>
      <rPr>
        <sz val="12"/>
        <color rgb="FF569CD6"/>
        <rFont val="Menlo"/>
        <family val="2"/>
      </rPr>
      <t>DISTINCT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CASE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WHEN</t>
    </r>
    <r>
      <rPr>
        <sz val="12"/>
        <color rgb="FFD4D4D4"/>
        <rFont val="Menlo"/>
        <family val="2"/>
      </rPr>
      <t xml:space="preserve"> DATE_DIFF(a.event_date_hk, o.event_date_hk, </t>
    </r>
    <r>
      <rPr>
        <sz val="12"/>
        <color rgb="FF569CD6"/>
        <rFont val="Menlo"/>
        <family val="2"/>
      </rPr>
      <t>DAY</t>
    </r>
    <r>
      <rPr>
        <sz val="12"/>
        <color rgb="FFD4D4D4"/>
        <rFont val="Menlo"/>
        <family val="2"/>
      </rPr>
      <t xml:space="preserve">) = 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THEN</t>
    </r>
    <r>
      <rPr>
        <sz val="12"/>
        <color rgb="FFD4D4D4"/>
        <rFont val="Menlo"/>
        <family val="2"/>
      </rPr>
      <t xml:space="preserve"> o.device_id </t>
    </r>
    <r>
      <rPr>
        <sz val="12"/>
        <color rgb="FF569CD6"/>
        <rFont val="Menlo"/>
        <family val="2"/>
      </rPr>
      <t>END</t>
    </r>
    <r>
      <rPr>
        <sz val="12"/>
        <color rgb="FFD4D4D4"/>
        <rFont val="Menlo"/>
        <family val="2"/>
      </rPr>
      <t xml:space="preserve">) </t>
    </r>
    <r>
      <rPr>
        <sz val="12"/>
        <color rgb="FF569CD6"/>
        <rFont val="Menlo"/>
        <family val="2"/>
      </rPr>
      <t>AS</t>
    </r>
    <r>
      <rPr>
        <sz val="12"/>
        <color rgb="FFD4D4D4"/>
        <rFont val="Menlo"/>
        <family val="2"/>
      </rPr>
      <t xml:space="preserve"> re1</t>
    </r>
  </si>
  <si>
    <r>
      <t>from</t>
    </r>
    <r>
      <rPr>
        <sz val="12"/>
        <color rgb="FFD4D4D4"/>
        <rFont val="Menlo"/>
        <family val="2"/>
      </rPr>
      <t xml:space="preserve"> rs o </t>
    </r>
    <r>
      <rPr>
        <sz val="12"/>
        <color rgb="FF6A9955"/>
        <rFont val="Menlo"/>
        <family val="2"/>
      </rPr>
      <t>-- 需要求留存的用户</t>
    </r>
  </si>
  <si>
    <r>
      <t>LEFT JOIN</t>
    </r>
    <r>
      <rPr>
        <sz val="12"/>
        <color rgb="FFD4D4D4"/>
        <rFont val="Menlo"/>
        <family val="2"/>
      </rPr>
      <t xml:space="preserve"> act a </t>
    </r>
    <r>
      <rPr>
        <sz val="12"/>
        <color rgb="FF569CD6"/>
        <rFont val="Menlo"/>
        <family val="2"/>
      </rPr>
      <t>ON</t>
    </r>
    <r>
      <rPr>
        <sz val="12"/>
        <color rgb="FFD4D4D4"/>
        <rFont val="Menlo"/>
        <family val="2"/>
      </rPr>
      <t xml:space="preserve"> o.device_id = a.device_id </t>
    </r>
    <r>
      <rPr>
        <sz val="12"/>
        <color rgb="FF569CD6"/>
        <rFont val="Menlo"/>
        <family val="2"/>
      </rPr>
      <t>AND</t>
    </r>
    <r>
      <rPr>
        <sz val="12"/>
        <color rgb="FFD4D4D4"/>
        <rFont val="Menlo"/>
        <family val="2"/>
      </rPr>
      <t xml:space="preserve"> a.event_date_hk &gt;= o.event_date_hk</t>
    </r>
  </si>
  <si>
    <r>
      <t>where</t>
    </r>
    <r>
      <rPr>
        <sz val="12"/>
        <color rgb="FFD4D4D4"/>
        <rFont val="Menlo"/>
        <family val="2"/>
      </rPr>
      <t xml:space="preserve"> o.event_date_hk </t>
    </r>
    <r>
      <rPr>
        <sz val="12"/>
        <color rgb="FF569CD6"/>
        <rFont val="Menlo"/>
        <family val="2"/>
      </rPr>
      <t>between</t>
    </r>
    <r>
      <rPr>
        <sz val="12"/>
        <color rgb="FFD4D4D4"/>
        <rFont val="Menlo"/>
        <family val="2"/>
      </rPr>
      <t xml:space="preserve"> </t>
    </r>
    <r>
      <rPr>
        <sz val="12"/>
        <color rgb="FFCE9178"/>
        <rFont val="Menlo"/>
        <family val="2"/>
      </rPr>
      <t>'2025-04-03'</t>
    </r>
    <r>
      <rPr>
        <sz val="12"/>
        <color rgb="FFD4D4D4"/>
        <rFont val="Menlo"/>
        <family val="2"/>
      </rPr>
      <t xml:space="preserve"> </t>
    </r>
    <r>
      <rPr>
        <sz val="12"/>
        <color rgb="FF569CD6"/>
        <rFont val="Menlo"/>
        <family val="2"/>
      </rPr>
      <t>and</t>
    </r>
    <r>
      <rPr>
        <sz val="12"/>
        <color rgb="FFCE9178"/>
        <rFont val="Menlo"/>
        <family val="2"/>
      </rPr>
      <t>'2025-04-20'</t>
    </r>
  </si>
  <si>
    <r>
      <t>GROUP BY</t>
    </r>
    <r>
      <rPr>
        <sz val="12"/>
        <color rgb="FFD4D4D4"/>
        <rFont val="Menlo"/>
        <family val="2"/>
      </rPr>
      <t xml:space="preserve"> 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2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3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4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5</t>
    </r>
  </si>
  <si>
    <r>
      <t>ORDER BY</t>
    </r>
    <r>
      <rPr>
        <sz val="12"/>
        <color rgb="FFD4D4D4"/>
        <rFont val="Menlo"/>
        <family val="2"/>
      </rPr>
      <t xml:space="preserve"> </t>
    </r>
    <r>
      <rPr>
        <sz val="12"/>
        <color rgb="FFB5CEA8"/>
        <rFont val="Menlo"/>
        <family val="2"/>
      </rPr>
      <t>1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2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3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4</t>
    </r>
    <r>
      <rPr>
        <sz val="12"/>
        <color rgb="FFD4D4D4"/>
        <rFont val="Menlo"/>
        <family val="2"/>
      </rPr>
      <t>,</t>
    </r>
    <r>
      <rPr>
        <sz val="12"/>
        <color rgb="FFB5CEA8"/>
        <rFont val="Menlo"/>
        <family val="2"/>
      </rPr>
      <t>5</t>
    </r>
  </si>
  <si>
    <t>platform</t>
  </si>
  <si>
    <t>abcode</t>
  </si>
  <si>
    <t>tier</t>
  </si>
  <si>
    <t>is_new</t>
  </si>
  <si>
    <t>event_date_hk</t>
  </si>
  <si>
    <t>enter_abtest_uv</t>
  </si>
  <si>
    <t>re0</t>
  </si>
  <si>
    <t>re1</t>
  </si>
  <si>
    <t>ANDROID</t>
  </si>
  <si>
    <t>New user</t>
  </si>
  <si>
    <t>Old user</t>
  </si>
  <si>
    <t>Tier 1</t>
  </si>
  <si>
    <t>Tier 2</t>
  </si>
  <si>
    <t>Tier 3</t>
  </si>
  <si>
    <t>IOS</t>
  </si>
  <si>
    <t>(全部)</t>
  </si>
  <si>
    <t>行标签</t>
  </si>
  <si>
    <t>总计</t>
  </si>
  <si>
    <t>R1</t>
    <phoneticPr fontId="8" type="noConversion"/>
  </si>
  <si>
    <t>列标签</t>
  </si>
  <si>
    <t>(多项)</t>
  </si>
  <si>
    <t>求和项:re0</t>
  </si>
  <si>
    <t>求和项:re0汇总</t>
  </si>
  <si>
    <t>求和项:re1汇总</t>
  </si>
  <si>
    <t>求和项:re1</t>
  </si>
  <si>
    <t>(空白)</t>
  </si>
  <si>
    <t>Old user</t>
    <phoneticPr fontId="8" type="noConversion"/>
  </si>
  <si>
    <t xml:space="preserve">New </t>
    <phoneticPr fontId="8" type="noConversion"/>
  </si>
  <si>
    <t>iOS</t>
  </si>
  <si>
    <t>对照组</t>
  </si>
  <si>
    <t>实验组A</t>
  </si>
  <si>
    <t>实验组B</t>
  </si>
  <si>
    <t>Android</t>
  </si>
  <si>
    <t>New user</t>
    <phoneticPr fontId="8" type="noConversion"/>
  </si>
  <si>
    <t xml:space="preserve">--天维度的收入 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</si>
  <si>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</si>
  <si>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</si>
  <si>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</si>
  <si>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</si>
  <si>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</si>
  <si>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'video_start_edit'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'enter'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</si>
  <si>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'save'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</si>
  <si>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</si>
  <si>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</si>
  <si>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</si>
  <si>
    <t>-- ,event_timestamp</t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</si>
  <si>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'source_module'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</si>
  <si>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'source_0'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</si>
  <si>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source_1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</si>
  <si>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'duration'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duration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</si>
  <si>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'SKU'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sku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</si>
  <si>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'order_id'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</si>
  <si>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</si>
  <si>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(*)</t>
    </r>
    <r>
      <rPr>
        <sz val="12"/>
        <color rgb="FF000000"/>
        <rFont val="Menlo"/>
        <family val="2"/>
      </rPr>
      <t>pv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</si>
  <si>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`airbrush-1324.analytics_152810936.events_*`</t>
    </r>
    <r>
      <rPr>
        <sz val="12"/>
        <color rgb="FF202124"/>
        <rFont val="Menlo"/>
        <family val="2"/>
      </rPr>
      <t xml:space="preserve"> </t>
    </r>
  </si>
  <si>
    <t xml:space="preserve">-- `dataintegration-265403.analytics.dwd_dzp_events_function`('2025-02-28','2025-03-16','airbrush',false) -- 这个表跑不动 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</si>
  <si>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</si>
  <si>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'w_subscription_enter'</t>
    </r>
  </si>
  <si>
    <r>
      <t>,</t>
    </r>
    <r>
      <rPr>
        <sz val="12"/>
        <color rgb="FF188038"/>
        <rFont val="Menlo"/>
        <family val="2"/>
      </rPr>
      <t>'w_subscription_click'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</si>
  <si>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</si>
  <si>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</si>
  <si>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13</t>
    </r>
  </si>
  <si>
    <r>
      <t>,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</si>
  <si>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distinct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</si>
  <si>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</si>
  <si>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</si>
  <si>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</si>
  <si>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</si>
  <si>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</si>
  <si>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t>--- `dataintegration-265403.analytics.dwd_dzp_events_function`('2025-02-28','2025-03-16','airbrush',false)</t>
  </si>
  <si>
    <t>where</t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</si>
  <si>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</si>
  <si>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</si>
  <si>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</si>
  <si>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)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</si>
  <si>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限制进入实验的人,且实验触发日期在进入实验之后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</si>
  <si>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1967D2"/>
        <rFont val="Menlo"/>
        <family val="2"/>
      </rPr>
      <t>except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ab_code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b.ab_code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tier</t>
    </r>
  </si>
  <si>
    <t>from</t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</si>
  <si>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</si>
  <si>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&lt;&gt;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</si>
  <si>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)</t>
    </r>
    <r>
      <rPr>
        <sz val="12"/>
        <color rgb="FF000000"/>
        <rFont val="Menlo"/>
        <family val="2"/>
      </rPr>
      <t>a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</si>
  <si>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b.user_pseudo_id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</si>
  <si>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`dataintegration-265403.dim.dim_gs_ya_country_tier_info`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a.country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c.country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</si>
  <si>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事件发生的日期均 &gt;= 进入实验日期</t>
    </r>
  </si>
  <si>
    <r>
      <t>,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</si>
  <si>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</si>
  <si>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standard_order_date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payment_price_usd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subscription_period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</si>
  <si>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</si>
  <si>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payment_price_usd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</si>
  <si>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`dataintegration-265403.subscription.dwd_trial_subscription_retention_daily_temp`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</si>
  <si>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app_id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</si>
  <si>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'2025-04-02'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</si>
  <si>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</si>
  <si>
    <r>
      <t>a.tier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</si>
  <si>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</si>
  <si>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</si>
  <si>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</si>
  <si>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c.payment_price_usd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</si>
  <si>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c.next_payment_price_usd</t>
    </r>
    <r>
      <rPr>
        <sz val="12"/>
        <color rgb="FF202124"/>
        <rFont val="Menlo"/>
        <family val="2"/>
      </rPr>
      <t xml:space="preserve"> 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</si>
  <si>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sub_success_to_paid_gmv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</si>
  <si>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</si>
  <si>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</si>
  <si>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</si>
  <si>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b.standard_order_date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b.original_order_id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b.sku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b.order_status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</si>
  <si>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b.payment_price_usd</t>
    </r>
  </si>
  <si>
    <r>
      <t>,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</si>
  <si>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</si>
  <si>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</si>
  <si>
    <t>(</t>
  </si>
  <si>
    <t>*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</si>
  <si>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</si>
  <si>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</si>
  <si>
    <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</si>
  <si>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a.order_id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b.order_id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b.sku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</si>
  <si>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a.sku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</si>
  <si>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</si>
  <si>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</si>
  <si>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'save'</t>
    </r>
    <phoneticPr fontId="8" type="noConversion"/>
  </si>
  <si>
    <t>ab_code</t>
  </si>
  <si>
    <t>sub_success_uv</t>
  </si>
  <si>
    <t>sub_success_to_paid_uv</t>
  </si>
  <si>
    <t>sub_success_to_paid_gmv</t>
  </si>
  <si>
    <t>求和项:enter_abtest_uv</t>
  </si>
  <si>
    <t>Android</t>
    <phoneticPr fontId="8" type="noConversion"/>
  </si>
  <si>
    <t>iOS</t>
    <phoneticPr fontId="8" type="noConversion"/>
  </si>
  <si>
    <t>\</t>
    <phoneticPr fontId="8" type="noConversion"/>
  </si>
  <si>
    <t>bookings</t>
  </si>
  <si>
    <t>others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</si>
  <si>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`dataintegration-265403.revenue.ads_dz_pix_revenue_report_view`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</si>
  <si>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`dataintegration-265403.dim.dim_gs_ya_country_tier_info`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a.country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b.country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</si>
  <si>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report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'monthly'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</si>
  <si>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</si>
  <si>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t>f0_</t>
  </si>
  <si>
    <t>f1_</t>
  </si>
  <si>
    <r>
      <t>(</t>
    </r>
    <r>
      <rPr>
        <sz val="12"/>
        <color rgb="FF1967D2"/>
        <rFont val="Menlo"/>
        <family val="2"/>
      </rPr>
      <t>select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</si>
  <si>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days</t>
    </r>
  </si>
  <si>
    <r>
      <t>`dataintegration-265403.stat.stat_active_advice_detail_d`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</si>
  <si>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>=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</si>
  <si>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'2024-01-01'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'2024-12-31'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</si>
  <si>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</si>
  <si>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t>活跃</t>
    <phoneticPr fontId="8" type="noConversion"/>
  </si>
  <si>
    <t>收入</t>
    <phoneticPr fontId="8" type="noConversion"/>
  </si>
  <si>
    <t>累计人数</t>
    <phoneticPr fontId="8" type="noConversion"/>
  </si>
  <si>
    <t>ads_bookings</t>
  </si>
  <si>
    <t>单日单用户ARPU</t>
    <phoneticPr fontId="8" type="noConversion"/>
  </si>
  <si>
    <t>累计每人天数</t>
    <phoneticPr fontId="8" type="noConversion"/>
  </si>
  <si>
    <t>实验组A</t>
    <phoneticPr fontId="8" type="noConversion"/>
  </si>
  <si>
    <t>2024单用户活跃天数</t>
    <phoneticPr fontId="8" type="noConversion"/>
  </si>
  <si>
    <t>实验组A 1年内活跃价值</t>
    <phoneticPr fontId="8" type="noConversion"/>
  </si>
  <si>
    <t>实验组B 1年内活跃价值</t>
    <phoneticPr fontId="8" type="noConversion"/>
  </si>
  <si>
    <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'others'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max_revenue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ads_bookings</t>
    </r>
  </si>
  <si>
    <r>
      <t>`dataintegration-265403.view.dws_dz_advertisement_max_dashboard_ads`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</si>
  <si>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data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'Overview'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</si>
  <si>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'2024-12-31'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</si>
  <si>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</t>
    </r>
  </si>
  <si>
    <t>广告</t>
    <phoneticPr fontId="8" type="noConversion"/>
  </si>
  <si>
    <r>
      <t>tier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days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</si>
  <si>
    <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'others'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</si>
  <si>
    <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'others'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gmv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bookings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</si>
  <si>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'2024-01-01'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'2024-12-31'</t>
    </r>
  </si>
  <si>
    <t>T1 r1</t>
    <phoneticPr fontId="8" type="noConversion"/>
  </si>
  <si>
    <t>T2 r1</t>
    <phoneticPr fontId="8" type="noConversion"/>
  </si>
  <si>
    <t>T3 r1</t>
    <phoneticPr fontId="8" type="noConversion"/>
  </si>
  <si>
    <t>实验组A 影响人数</t>
    <phoneticPr fontId="8" type="noConversion"/>
  </si>
  <si>
    <t>实验组B 影响人数</t>
  </si>
  <si>
    <t>实验组B 影响人数</t>
    <phoneticPr fontId="8" type="noConversion"/>
  </si>
  <si>
    <t>T1</t>
    <phoneticPr fontId="8" type="noConversion"/>
  </si>
  <si>
    <t>T2</t>
    <phoneticPr fontId="8" type="noConversion"/>
  </si>
  <si>
    <t>T3</t>
    <phoneticPr fontId="8" type="noConversion"/>
  </si>
  <si>
    <t>other</t>
    <phoneticPr fontId="8" type="noConversion"/>
  </si>
  <si>
    <t>Android. 组r0人数</t>
    <phoneticPr fontId="8" type="noConversion"/>
  </si>
  <si>
    <t>ios 各组r0人数</t>
    <phoneticPr fontId="8" type="noConversion"/>
  </si>
  <si>
    <t>ios 4.4~ 4.20</t>
    <phoneticPr fontId="8" type="noConversion"/>
  </si>
  <si>
    <t>Android 4.7~ 4.20</t>
    <phoneticPr fontId="8" type="noConversion"/>
  </si>
  <si>
    <r>
      <t>a.date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a.tier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a.ab_code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</si>
  <si>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</si>
  <si>
    <t>date</t>
  </si>
  <si>
    <t>求和项:sub_success_to_paid_gmv</t>
  </si>
  <si>
    <t>4.4~4.20</t>
    <phoneticPr fontId="8" type="noConversion"/>
  </si>
  <si>
    <t>4.7~4.20</t>
    <phoneticPr fontId="8" type="noConversion"/>
  </si>
  <si>
    <t>17天</t>
    <phoneticPr fontId="8" type="noConversion"/>
  </si>
  <si>
    <t>14天</t>
    <phoneticPr fontId="8" type="noConversion"/>
  </si>
  <si>
    <t>平均每天</t>
    <phoneticPr fontId="8" type="noConversion"/>
  </si>
  <si>
    <t>17tian</t>
    <phoneticPr fontId="8" type="noConversion"/>
  </si>
  <si>
    <t>14tian</t>
    <phoneticPr fontId="8" type="noConversion"/>
  </si>
  <si>
    <t>日均</t>
    <phoneticPr fontId="8" type="noConversion"/>
  </si>
  <si>
    <t>实验组A 日均收入</t>
    <phoneticPr fontId="8" type="noConversion"/>
  </si>
  <si>
    <t>实验组B 日均收入</t>
    <phoneticPr fontId="8" type="noConversion"/>
  </si>
  <si>
    <t>5.6日数据更新</t>
    <phoneticPr fontId="8" type="noConversion"/>
  </si>
  <si>
    <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install_uv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dnu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amount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cost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</si>
  <si>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`dataintegration-265403.view.dws_dz_roas_dashboard_daily_v6`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</si>
  <si>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`dataintegration-265403.dim.dim_gs_ya_country_tier_info`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a.first_country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b.country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</si>
  <si>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</t>
    </r>
    <r>
      <rPr>
        <sz val="12"/>
        <color rgb="FF202124"/>
        <rFont val="Menlo"/>
        <family val="2"/>
      </rPr>
      <t>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</si>
  <si>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is_app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</si>
  <si>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attributed_id_type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'new'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</si>
  <si>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attributed_date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</si>
  <si>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look_date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'2025-04-01'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</si>
  <si>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</si>
  <si>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t>dnu</t>
  </si>
  <si>
    <t>cost</t>
  </si>
  <si>
    <t>New CPI</t>
    <phoneticPr fontId="8" type="noConversion"/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</si>
  <si>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`dataintegration-265403.subscription.dwd_trial_subscription_retention_daily_temp`</t>
    </r>
    <r>
      <rPr>
        <sz val="12"/>
        <color rgb="FF202124"/>
        <rFont val="Menlo"/>
        <family val="2"/>
      </rPr>
      <t xml:space="preserve"> </t>
    </r>
    <phoneticPr fontId="8" type="noConversion"/>
  </si>
  <si>
    <t>33% 流量</t>
    <phoneticPr fontId="8" type="noConversion"/>
  </si>
  <si>
    <t>100%流量</t>
    <phoneticPr fontId="8" type="noConversion"/>
  </si>
  <si>
    <t xml:space="preserve">cost </t>
    <phoneticPr fontId="8" type="noConversion"/>
  </si>
  <si>
    <t>new cpi</t>
    <phoneticPr fontId="8" type="noConversion"/>
  </si>
  <si>
    <t>新增收入</t>
    <phoneticPr fontId="8" type="noConversion"/>
  </si>
  <si>
    <t>分new old</t>
    <phoneticPr fontId="8" type="noConversion"/>
  </si>
  <si>
    <t>活跃天数</t>
    <phoneticPr fontId="8" type="noConversion"/>
  </si>
  <si>
    <t>ads</t>
    <phoneticPr fontId="8" type="noConversion"/>
  </si>
  <si>
    <t>分新老</t>
    <phoneticPr fontId="8" type="noConversion"/>
  </si>
  <si>
    <t>影响人数</t>
    <phoneticPr fontId="8" type="noConversion"/>
  </si>
  <si>
    <t>分端</t>
    <phoneticPr fontId="8" type="noConversion"/>
  </si>
  <si>
    <t>单用户一年活跃天数</t>
    <phoneticPr fontId="8" type="noConversion"/>
  </si>
  <si>
    <t>sub_to_paid_bookings</t>
  </si>
  <si>
    <t>New</t>
  </si>
  <si>
    <t>other</t>
  </si>
  <si>
    <t>Old</t>
  </si>
  <si>
    <r>
      <t>is_new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'other'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sub_to_paid_revenue</t>
    </r>
    <r>
      <rPr>
        <sz val="12"/>
        <color rgb="FF3C4043"/>
        <rFont val="Menlo"/>
        <family val="2"/>
      </rPr>
      <t>)/</t>
    </r>
    <r>
      <rPr>
        <sz val="12"/>
        <color rgb="FFB06000"/>
        <rFont val="Menlo"/>
        <family val="2"/>
      </rPr>
      <t>31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sub_to_paid_bookings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</si>
  <si>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`airbrush-1324.stat.dws_airbrush_subscription_overview_view`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</si>
  <si>
    <r>
      <t>event_date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</si>
  <si>
    <r>
      <t>is_new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'others'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max_revenue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)/</t>
    </r>
    <r>
      <rPr>
        <sz val="12"/>
        <color rgb="FFB06000"/>
        <rFont val="Menlo"/>
        <family val="2"/>
      </rPr>
      <t>31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ads_bookings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</si>
  <si>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</si>
  <si>
    <t>DAU</t>
    <phoneticPr fontId="8" type="noConversion"/>
  </si>
  <si>
    <t>ARPU</t>
    <phoneticPr fontId="8" type="noConversion"/>
  </si>
  <si>
    <r>
      <t>platform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'others'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tier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DAU</t>
    </r>
    <r>
      <rPr>
        <sz val="12"/>
        <color rgb="FF3C4043"/>
        <rFont val="Menlo"/>
        <family val="2"/>
      </rPr>
      <t>)/</t>
    </r>
    <r>
      <rPr>
        <sz val="12"/>
        <color rgb="FFB06000"/>
        <rFont val="Menlo"/>
        <family val="2"/>
      </rPr>
      <t>31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DAU</t>
    </r>
    <r>
      <rPr>
        <sz val="12"/>
        <color rgb="FF202124"/>
        <rFont val="Menlo"/>
        <family val="2"/>
      </rP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DNU</t>
    </r>
    <r>
      <rPr>
        <sz val="12"/>
        <color rgb="FF3C4043"/>
        <rFont val="Menlo"/>
        <family val="2"/>
      </rPr>
      <t>)/</t>
    </r>
    <r>
      <rPr>
        <sz val="12"/>
        <color rgb="FFB06000"/>
        <rFont val="Menlo"/>
        <family val="2"/>
      </rPr>
      <t>31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DNU</t>
    </r>
  </si>
  <si>
    <r>
      <t>from</t>
    </r>
    <r>
      <rPr>
        <sz val="12"/>
        <color rgb="FF188038"/>
        <rFont val="Menlo"/>
        <family val="2"/>
      </rPr>
      <t>`dataintegration-265403.subscription.ads_subscription_overview_daily`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</si>
  <si>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'2025-03-01'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'2025-03-31'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</si>
  <si>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app</t>
    </r>
    <r>
      <rPr>
        <sz val="12"/>
        <color rgb="FF202124"/>
        <rFont val="Menlo"/>
        <family val="2"/>
      </rPr>
      <t>=</t>
    </r>
    <r>
      <rPr>
        <sz val="12"/>
        <color rgb="FF188038"/>
        <rFont val="Menlo"/>
        <family val="2"/>
      </rPr>
      <t>'AirBrush'</t>
    </r>
  </si>
  <si>
    <t>活跃人数</t>
    <phoneticPr fontId="8" type="noConversion"/>
  </si>
  <si>
    <t>活跃价值  = 活跃天数 * arpu  * 影响人数</t>
    <phoneticPr fontId="8" type="noConversion"/>
  </si>
  <si>
    <t>实验组A影响人数</t>
    <phoneticPr fontId="8" type="noConversion"/>
  </si>
  <si>
    <t>实验组B影响人数</t>
    <phoneticPr fontId="8" type="noConversion"/>
  </si>
  <si>
    <t>每个端和用户类型的日均进入人数</t>
    <phoneticPr fontId="8" type="noConversion"/>
  </si>
  <si>
    <t xml:space="preserve">实验组a和b 影响的收入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</si>
</sst>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0.0%"/>
    <numFmt numFmtId="177" formatCode="0.000%"/>
    <numFmt numFmtId="178" formatCode="0.000"/>
    <numFmt numFmtId="179" formatCode="_(* #,##0_);_(* \(#,##0\);_(* &quot;-&quot;??_);_(@_)"/>
    <numFmt numFmtId="180" formatCode="_(* #,##0.00000_);_(* \(#,##0.00000\);_(* &quot;-&quot;??_);_(@_)"/>
    <numFmt numFmtId="187" formatCode="_(* #,##0.0000_);_(* \(#,##0.0000\);_(* &quot;-&quot;??_);_(@_)"/>
  </numFmts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rgb="FFD4D4D4"/>
      <name val="Menlo"/>
      <family val="2"/>
    </font>
    <font>
      <sz val="12"/>
      <color rgb="FF6A9955"/>
      <name val="Menlo"/>
      <family val="2"/>
    </font>
    <font>
      <sz val="12"/>
      <color rgb="FF569CD6"/>
      <name val="Menlo"/>
      <family val="2"/>
    </font>
    <font>
      <sz val="12"/>
      <color rgb="FFCE9178"/>
      <name val="Menlo"/>
      <family val="2"/>
    </font>
    <font>
      <sz val="12"/>
      <color rgb="FFB5CEA8"/>
      <name val="Menlo"/>
      <family val="2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b/>
      <sz val="12"/>
      <color theme="1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2"/>
      <color rgb="FF202124"/>
      <name val="Menlo"/>
      <family val="2"/>
    </font>
    <font>
      <sz val="12"/>
      <color rgb="FFB80672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06000"/>
      <name val="Menlo"/>
      <family val="2"/>
    </font>
    <font>
      <sz val="12"/>
      <color rgb="FF1967D2"/>
      <name val="等线"/>
      <family val="2"/>
      <charset val="134"/>
    </font>
    <font>
      <sz val="12"/>
      <color rgb="FFFF0000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sz val="10"/>
      <color rgb="FF1F2329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/>
      <bottom style="thin">
        <color rgb="FF1F2329"/>
      </bottom>
      <diagonal/>
    </border>
    <border>
      <left/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DEE0E3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14" fontId="0" fillId="0" borderId="0" xfId="0" applyNumberFormat="1">
      <alignment vertical="center"/>
    </xf>
    <xf numFmtId="14" fontId="9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2" applyNumberFormat="1" applyFont="1">
      <alignment vertical="center"/>
    </xf>
    <xf numFmtId="177" fontId="0" fillId="0" borderId="0" xfId="2" applyNumberFormat="1" applyFont="1">
      <alignment vertical="center"/>
    </xf>
    <xf numFmtId="9" fontId="0" fillId="0" borderId="0" xfId="2" applyNumberFormat="1" applyFont="1">
      <alignment vertical="center"/>
    </xf>
    <xf numFmtId="0" fontId="17" fillId="0" borderId="0" xfId="0" applyFont="1">
      <alignment vertical="center"/>
    </xf>
    <xf numFmtId="0" fontId="19" fillId="0" borderId="0" xfId="0" applyFont="1">
      <alignment vertical="center"/>
    </xf>
    <xf numFmtId="0" fontId="2" fillId="2" borderId="0" xfId="0" applyFont="1" applyFill="1" applyBorder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1" fontId="0" fillId="0" borderId="0" xfId="0" applyNumberFormat="1">
      <alignment vertical="center"/>
    </xf>
    <xf numFmtId="43" fontId="0" fillId="0" borderId="0" xfId="1" applyFont="1">
      <alignment vertical="center"/>
    </xf>
    <xf numFmtId="179" fontId="0" fillId="0" borderId="0" xfId="1" applyNumberFormat="1" applyFont="1">
      <alignment vertical="center"/>
    </xf>
    <xf numFmtId="179" fontId="0" fillId="0" borderId="0" xfId="1" applyNumberFormat="1" applyFont="1" applyAlignment="1">
      <alignment vertical="center" wrapText="1"/>
    </xf>
    <xf numFmtId="179" fontId="0" fillId="0" borderId="0" xfId="0" applyNumberFormat="1">
      <alignment vertical="center"/>
    </xf>
    <xf numFmtId="0" fontId="20" fillId="0" borderId="0" xfId="0" applyFont="1">
      <alignment vertical="center"/>
    </xf>
    <xf numFmtId="179" fontId="20" fillId="0" borderId="0" xfId="1" applyNumberFormat="1" applyFont="1">
      <alignment vertical="center"/>
    </xf>
    <xf numFmtId="180" fontId="0" fillId="0" borderId="0" xfId="1" applyNumberFormat="1" applyFont="1">
      <alignment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21" fillId="0" borderId="2" xfId="0" applyFont="1" applyBorder="1">
      <alignment vertical="center"/>
    </xf>
    <xf numFmtId="0" fontId="22" fillId="4" borderId="11" xfId="0" applyFont="1" applyFill="1" applyBorder="1" applyAlignment="1">
      <alignment horizontal="right" vertical="center"/>
    </xf>
    <xf numFmtId="3" fontId="22" fillId="4" borderId="2" xfId="0" applyNumberFormat="1" applyFont="1" applyFill="1" applyBorder="1">
      <alignment vertical="center"/>
    </xf>
    <xf numFmtId="0" fontId="22" fillId="4" borderId="2" xfId="0" applyFont="1" applyFill="1" applyBorder="1">
      <alignment vertical="center"/>
    </xf>
    <xf numFmtId="3" fontId="22" fillId="4" borderId="6" xfId="0" applyNumberFormat="1" applyFont="1" applyFill="1" applyBorder="1">
      <alignment vertical="center"/>
    </xf>
    <xf numFmtId="0" fontId="22" fillId="4" borderId="8" xfId="0" applyFont="1" applyFill="1" applyBorder="1">
      <alignment vertical="center"/>
    </xf>
    <xf numFmtId="43" fontId="0" fillId="0" borderId="0" xfId="1" applyFont="1" applyAlignment="1">
      <alignment vertical="center" wrapText="1"/>
    </xf>
    <xf numFmtId="43" fontId="9" fillId="0" borderId="0" xfId="1" applyFont="1">
      <alignment vertical="center"/>
    </xf>
    <xf numFmtId="43" fontId="0" fillId="0" borderId="0" xfId="0" applyNumberFormat="1">
      <alignment vertical="center"/>
    </xf>
    <xf numFmtId="187" fontId="0" fillId="0" borderId="0" xfId="0" applyNumberFormat="1">
      <alignment vertical="center"/>
    </xf>
    <xf numFmtId="0" fontId="0" fillId="5" borderId="0" xfId="0" applyFill="1">
      <alignment vertical="center"/>
    </xf>
    <xf numFmtId="179" fontId="0" fillId="5" borderId="0" xfId="1" applyNumberFormat="1" applyFont="1" applyFill="1">
      <alignment vertical="center"/>
    </xf>
    <xf numFmtId="43" fontId="9" fillId="5" borderId="0" xfId="1" applyFont="1" applyFill="1">
      <alignment vertical="center"/>
    </xf>
    <xf numFmtId="187" fontId="0" fillId="5" borderId="0" xfId="0" applyNumberFormat="1" applyFill="1">
      <alignment vertical="center"/>
    </xf>
    <xf numFmtId="43" fontId="0" fillId="5" borderId="0" xfId="1" applyFont="1" applyFill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7.473963773147" createdVersion="6" refreshedVersion="6" minRefreshableVersion="3" recordCount="858" xr:uid="{7EB57AC5-4686-164A-8602-D5B56A706968}">
  <cacheSource type="worksheet">
    <worksheetSource ref="F1:N859" sheet="次日留存率"/>
  </cacheSource>
  <cacheFields count="9">
    <cacheField name="platform" numFmtId="0">
      <sharedItems count="2">
        <s v="ANDROID"/>
        <s v="IOS"/>
      </sharedItems>
    </cacheField>
    <cacheField name="abcode" numFmtId="0">
      <sharedItems containsSemiMixedTypes="0" containsString="0" containsNumber="1" containsInteger="1" minValue="11072" maxValue="11077" count="6">
        <n v="11075"/>
        <n v="11076"/>
        <n v="11077"/>
        <n v="11072"/>
        <n v="11073"/>
        <n v="11074"/>
      </sharedItems>
    </cacheField>
    <cacheField name="tier" numFmtId="0">
      <sharedItems containsBlank="1" count="4">
        <m/>
        <s v="Tier 1"/>
        <s v="Tier 2"/>
        <s v="Tier 3"/>
      </sharedItems>
    </cacheField>
    <cacheField name="is_new" numFmtId="0">
      <sharedItems count="2">
        <s v="New user"/>
        <s v="Old user"/>
      </sharedItems>
    </cacheField>
    <cacheField name="event_date_hk" numFmtId="14">
      <sharedItems containsSemiMixedTypes="0" containsNonDate="0" containsDate="1" containsString="0" minDate="2025-04-03T00:00:00" maxDate="2025-04-21T00:00:00" count="18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</sharedItems>
    </cacheField>
    <cacheField name="enter_abtest_uv" numFmtId="0">
      <sharedItems containsSemiMixedTypes="0" containsString="0" containsNumber="1" containsInteger="1" minValue="1" maxValue="6107"/>
    </cacheField>
    <cacheField name="re0" numFmtId="0">
      <sharedItems containsSemiMixedTypes="0" containsString="0" containsNumber="1" containsInteger="1" minValue="1" maxValue="6107"/>
    </cacheField>
    <cacheField name="re1" numFmtId="0">
      <sharedItems containsSemiMixedTypes="0" containsString="0" containsNumber="1" containsInteger="1" minValue="0" maxValue="1615"/>
    </cacheField>
    <cacheField name="R1" numFmtId="0">
      <sharedItems containsSemiMixedTypes="0" containsString="0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83.622904282405" createdVersion="6" refreshedVersion="6" minRefreshableVersion="3" recordCount="432" xr:uid="{C3682C52-A072-644F-94EC-CE0E8E8B478F}">
  <cacheSource type="worksheet">
    <worksheetSource ref="Y1:AE433" sheet="收入"/>
  </cacheSource>
  <cacheFields count="7">
    <cacheField name="date" numFmtId="14">
      <sharedItems containsSemiMixedTypes="0" containsNonDate="0" containsDate="1" containsString="0" minDate="2025-04-03T00:00:00" maxDate="2025-04-21T00:00:00" count="18"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</sharedItems>
    </cacheField>
    <cacheField name="tier" numFmtId="0">
      <sharedItems containsBlank="1" count="4">
        <m/>
        <s v="Tier 1"/>
        <s v="Tier 2"/>
        <s v="Tier 3"/>
      </sharedItems>
    </cacheField>
    <cacheField name="platform" numFmtId="0">
      <sharedItems count="2">
        <s v="ANDROID"/>
        <s v="IOS"/>
      </sharedItems>
    </cacheField>
    <cacheField name="ab_code" numFmtId="0">
      <sharedItems containsSemiMixedTypes="0" containsString="0" containsNumber="1" containsInteger="1" minValue="11072" maxValue="11077" count="6">
        <n v="11077"/>
        <n v="11076"/>
        <n v="11075"/>
        <n v="11073"/>
        <n v="11074"/>
        <n v="11072"/>
      </sharedItems>
    </cacheField>
    <cacheField name="sub_success_uv" numFmtId="0">
      <sharedItems containsSemiMixedTypes="0" containsString="0" containsNumber="1" containsInteger="1" minValue="0" maxValue="813"/>
    </cacheField>
    <cacheField name="sub_success_to_paid_uv" numFmtId="0">
      <sharedItems containsSemiMixedTypes="0" containsString="0" containsNumber="1" containsInteger="1" minValue="0" maxValue="242"/>
    </cacheField>
    <cacheField name="sub_success_to_paid_gmv" numFmtId="0">
      <sharedItems containsSemiMixedTypes="0" containsString="0" containsNumber="1" minValue="0" maxValue="9857.0574221001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">
  <r>
    <x v="0"/>
    <x v="0"/>
    <x v="0"/>
    <x v="0"/>
    <x v="0"/>
    <n v="4"/>
    <n v="4"/>
    <n v="1"/>
    <n v="0.25"/>
  </r>
  <r>
    <x v="0"/>
    <x v="0"/>
    <x v="0"/>
    <x v="0"/>
    <x v="1"/>
    <n v="5"/>
    <n v="5"/>
    <n v="0"/>
    <n v="0"/>
  </r>
  <r>
    <x v="0"/>
    <x v="0"/>
    <x v="0"/>
    <x v="0"/>
    <x v="2"/>
    <n v="6"/>
    <n v="6"/>
    <n v="1"/>
    <n v="0.16666666666666666"/>
  </r>
  <r>
    <x v="0"/>
    <x v="0"/>
    <x v="0"/>
    <x v="0"/>
    <x v="3"/>
    <n v="6"/>
    <n v="6"/>
    <n v="1"/>
    <n v="0.16666666666666666"/>
  </r>
  <r>
    <x v="0"/>
    <x v="0"/>
    <x v="0"/>
    <x v="0"/>
    <x v="4"/>
    <n v="20"/>
    <n v="20"/>
    <n v="4"/>
    <n v="0.2"/>
  </r>
  <r>
    <x v="0"/>
    <x v="0"/>
    <x v="0"/>
    <x v="0"/>
    <x v="5"/>
    <n v="15"/>
    <n v="15"/>
    <n v="7"/>
    <n v="0.46666666666666667"/>
  </r>
  <r>
    <x v="0"/>
    <x v="0"/>
    <x v="0"/>
    <x v="0"/>
    <x v="6"/>
    <n v="22"/>
    <n v="22"/>
    <n v="5"/>
    <n v="0.22727272727272727"/>
  </r>
  <r>
    <x v="0"/>
    <x v="0"/>
    <x v="0"/>
    <x v="0"/>
    <x v="7"/>
    <n v="25"/>
    <n v="25"/>
    <n v="4"/>
    <n v="0.16"/>
  </r>
  <r>
    <x v="0"/>
    <x v="0"/>
    <x v="0"/>
    <x v="0"/>
    <x v="8"/>
    <n v="24"/>
    <n v="24"/>
    <n v="5"/>
    <n v="0.20833333333333334"/>
  </r>
  <r>
    <x v="0"/>
    <x v="0"/>
    <x v="0"/>
    <x v="0"/>
    <x v="9"/>
    <n v="15"/>
    <n v="15"/>
    <n v="3"/>
    <n v="0.2"/>
  </r>
  <r>
    <x v="0"/>
    <x v="0"/>
    <x v="0"/>
    <x v="0"/>
    <x v="10"/>
    <n v="30"/>
    <n v="30"/>
    <n v="6"/>
    <n v="0.2"/>
  </r>
  <r>
    <x v="0"/>
    <x v="0"/>
    <x v="0"/>
    <x v="0"/>
    <x v="11"/>
    <n v="24"/>
    <n v="24"/>
    <n v="2"/>
    <n v="8.3333333333333329E-2"/>
  </r>
  <r>
    <x v="0"/>
    <x v="0"/>
    <x v="0"/>
    <x v="0"/>
    <x v="12"/>
    <n v="16"/>
    <n v="16"/>
    <n v="5"/>
    <n v="0.3125"/>
  </r>
  <r>
    <x v="0"/>
    <x v="0"/>
    <x v="0"/>
    <x v="0"/>
    <x v="13"/>
    <n v="26"/>
    <n v="26"/>
    <n v="3"/>
    <n v="0.11538461538461539"/>
  </r>
  <r>
    <x v="0"/>
    <x v="0"/>
    <x v="0"/>
    <x v="0"/>
    <x v="14"/>
    <n v="19"/>
    <n v="19"/>
    <n v="5"/>
    <n v="0.26315789473684209"/>
  </r>
  <r>
    <x v="0"/>
    <x v="0"/>
    <x v="0"/>
    <x v="0"/>
    <x v="15"/>
    <n v="44"/>
    <n v="44"/>
    <n v="9"/>
    <n v="0.20454545454545456"/>
  </r>
  <r>
    <x v="0"/>
    <x v="0"/>
    <x v="0"/>
    <x v="0"/>
    <x v="16"/>
    <n v="30"/>
    <n v="30"/>
    <n v="10"/>
    <n v="0.33333333333333331"/>
  </r>
  <r>
    <x v="0"/>
    <x v="0"/>
    <x v="0"/>
    <x v="0"/>
    <x v="17"/>
    <n v="37"/>
    <n v="37"/>
    <n v="9"/>
    <n v="0.24324324324324326"/>
  </r>
  <r>
    <x v="0"/>
    <x v="0"/>
    <x v="0"/>
    <x v="1"/>
    <x v="1"/>
    <n v="1"/>
    <n v="1"/>
    <n v="0"/>
    <n v="0"/>
  </r>
  <r>
    <x v="0"/>
    <x v="0"/>
    <x v="0"/>
    <x v="1"/>
    <x v="2"/>
    <n v="1"/>
    <n v="1"/>
    <n v="0"/>
    <n v="0"/>
  </r>
  <r>
    <x v="0"/>
    <x v="0"/>
    <x v="0"/>
    <x v="1"/>
    <x v="3"/>
    <n v="5"/>
    <n v="5"/>
    <n v="2"/>
    <n v="0.4"/>
  </r>
  <r>
    <x v="0"/>
    <x v="0"/>
    <x v="0"/>
    <x v="1"/>
    <x v="4"/>
    <n v="10"/>
    <n v="10"/>
    <n v="2"/>
    <n v="0.2"/>
  </r>
  <r>
    <x v="0"/>
    <x v="0"/>
    <x v="0"/>
    <x v="1"/>
    <x v="5"/>
    <n v="20"/>
    <n v="20"/>
    <n v="11"/>
    <n v="0.55000000000000004"/>
  </r>
  <r>
    <x v="0"/>
    <x v="0"/>
    <x v="0"/>
    <x v="1"/>
    <x v="6"/>
    <n v="25"/>
    <n v="25"/>
    <n v="10"/>
    <n v="0.4"/>
  </r>
  <r>
    <x v="0"/>
    <x v="0"/>
    <x v="0"/>
    <x v="1"/>
    <x v="7"/>
    <n v="36"/>
    <n v="36"/>
    <n v="10"/>
    <n v="0.27777777777777779"/>
  </r>
  <r>
    <x v="0"/>
    <x v="0"/>
    <x v="0"/>
    <x v="1"/>
    <x v="8"/>
    <n v="36"/>
    <n v="36"/>
    <n v="14"/>
    <n v="0.3888888888888889"/>
  </r>
  <r>
    <x v="0"/>
    <x v="0"/>
    <x v="0"/>
    <x v="1"/>
    <x v="9"/>
    <n v="38"/>
    <n v="38"/>
    <n v="13"/>
    <n v="0.34210526315789475"/>
  </r>
  <r>
    <x v="0"/>
    <x v="0"/>
    <x v="0"/>
    <x v="1"/>
    <x v="10"/>
    <n v="46"/>
    <n v="46"/>
    <n v="17"/>
    <n v="0.36956521739130432"/>
  </r>
  <r>
    <x v="0"/>
    <x v="0"/>
    <x v="0"/>
    <x v="1"/>
    <x v="11"/>
    <n v="42"/>
    <n v="42"/>
    <n v="14"/>
    <n v="0.33333333333333331"/>
  </r>
  <r>
    <x v="0"/>
    <x v="0"/>
    <x v="0"/>
    <x v="1"/>
    <x v="12"/>
    <n v="43"/>
    <n v="43"/>
    <n v="13"/>
    <n v="0.30232558139534882"/>
  </r>
  <r>
    <x v="0"/>
    <x v="0"/>
    <x v="0"/>
    <x v="1"/>
    <x v="13"/>
    <n v="52"/>
    <n v="52"/>
    <n v="18"/>
    <n v="0.34615384615384615"/>
  </r>
  <r>
    <x v="0"/>
    <x v="0"/>
    <x v="0"/>
    <x v="1"/>
    <x v="14"/>
    <n v="59"/>
    <n v="59"/>
    <n v="24"/>
    <n v="0.40677966101694918"/>
  </r>
  <r>
    <x v="0"/>
    <x v="0"/>
    <x v="0"/>
    <x v="1"/>
    <x v="15"/>
    <n v="59"/>
    <n v="59"/>
    <n v="17"/>
    <n v="0.28813559322033899"/>
  </r>
  <r>
    <x v="0"/>
    <x v="0"/>
    <x v="0"/>
    <x v="1"/>
    <x v="16"/>
    <n v="60"/>
    <n v="60"/>
    <n v="22"/>
    <n v="0.36666666666666664"/>
  </r>
  <r>
    <x v="0"/>
    <x v="0"/>
    <x v="0"/>
    <x v="1"/>
    <x v="17"/>
    <n v="71"/>
    <n v="71"/>
    <n v="22"/>
    <n v="0.30985915492957744"/>
  </r>
  <r>
    <x v="0"/>
    <x v="0"/>
    <x v="1"/>
    <x v="0"/>
    <x v="0"/>
    <n v="6"/>
    <n v="6"/>
    <n v="1"/>
    <n v="0.16666666666666666"/>
  </r>
  <r>
    <x v="0"/>
    <x v="0"/>
    <x v="1"/>
    <x v="0"/>
    <x v="1"/>
    <n v="48"/>
    <n v="48"/>
    <n v="16"/>
    <n v="0.33333333333333331"/>
  </r>
  <r>
    <x v="0"/>
    <x v="0"/>
    <x v="1"/>
    <x v="0"/>
    <x v="2"/>
    <n v="66"/>
    <n v="66"/>
    <n v="12"/>
    <n v="0.18181818181818182"/>
  </r>
  <r>
    <x v="0"/>
    <x v="0"/>
    <x v="1"/>
    <x v="0"/>
    <x v="3"/>
    <n v="102"/>
    <n v="102"/>
    <n v="13"/>
    <n v="0.12745098039215685"/>
  </r>
  <r>
    <x v="0"/>
    <x v="0"/>
    <x v="1"/>
    <x v="0"/>
    <x v="4"/>
    <n v="138"/>
    <n v="138"/>
    <n v="31"/>
    <n v="0.22463768115942029"/>
  </r>
  <r>
    <x v="0"/>
    <x v="0"/>
    <x v="1"/>
    <x v="0"/>
    <x v="5"/>
    <n v="203"/>
    <n v="203"/>
    <n v="28"/>
    <n v="0.13793103448275862"/>
  </r>
  <r>
    <x v="0"/>
    <x v="0"/>
    <x v="1"/>
    <x v="0"/>
    <x v="6"/>
    <n v="208"/>
    <n v="208"/>
    <n v="29"/>
    <n v="0.13942307692307693"/>
  </r>
  <r>
    <x v="0"/>
    <x v="0"/>
    <x v="1"/>
    <x v="0"/>
    <x v="7"/>
    <n v="211"/>
    <n v="211"/>
    <n v="31"/>
    <n v="0.14691943127962084"/>
  </r>
  <r>
    <x v="0"/>
    <x v="0"/>
    <x v="1"/>
    <x v="0"/>
    <x v="8"/>
    <n v="207"/>
    <n v="207"/>
    <n v="30"/>
    <n v="0.14492753623188406"/>
  </r>
  <r>
    <x v="0"/>
    <x v="0"/>
    <x v="1"/>
    <x v="0"/>
    <x v="9"/>
    <n v="230"/>
    <n v="230"/>
    <n v="40"/>
    <n v="0.17391304347826086"/>
  </r>
  <r>
    <x v="0"/>
    <x v="0"/>
    <x v="1"/>
    <x v="0"/>
    <x v="10"/>
    <n v="290"/>
    <n v="290"/>
    <n v="46"/>
    <n v="0.15862068965517243"/>
  </r>
  <r>
    <x v="0"/>
    <x v="0"/>
    <x v="1"/>
    <x v="0"/>
    <x v="11"/>
    <n v="251"/>
    <n v="251"/>
    <n v="34"/>
    <n v="0.13545816733067728"/>
  </r>
  <r>
    <x v="0"/>
    <x v="0"/>
    <x v="1"/>
    <x v="0"/>
    <x v="12"/>
    <n v="184"/>
    <n v="184"/>
    <n v="23"/>
    <n v="0.125"/>
  </r>
  <r>
    <x v="0"/>
    <x v="0"/>
    <x v="1"/>
    <x v="0"/>
    <x v="13"/>
    <n v="187"/>
    <n v="187"/>
    <n v="29"/>
    <n v="0.15508021390374332"/>
  </r>
  <r>
    <x v="0"/>
    <x v="0"/>
    <x v="1"/>
    <x v="0"/>
    <x v="14"/>
    <n v="217"/>
    <n v="217"/>
    <n v="26"/>
    <n v="0.11981566820276497"/>
  </r>
  <r>
    <x v="0"/>
    <x v="0"/>
    <x v="1"/>
    <x v="0"/>
    <x v="15"/>
    <n v="214"/>
    <n v="214"/>
    <n v="29"/>
    <n v="0.13551401869158877"/>
  </r>
  <r>
    <x v="0"/>
    <x v="0"/>
    <x v="1"/>
    <x v="0"/>
    <x v="16"/>
    <n v="256"/>
    <n v="256"/>
    <n v="41"/>
    <n v="0.16015625"/>
  </r>
  <r>
    <x v="0"/>
    <x v="0"/>
    <x v="1"/>
    <x v="0"/>
    <x v="17"/>
    <n v="262"/>
    <n v="262"/>
    <n v="33"/>
    <n v="0.12595419847328243"/>
  </r>
  <r>
    <x v="0"/>
    <x v="0"/>
    <x v="1"/>
    <x v="1"/>
    <x v="1"/>
    <n v="12"/>
    <n v="12"/>
    <n v="3"/>
    <n v="0.25"/>
  </r>
  <r>
    <x v="0"/>
    <x v="0"/>
    <x v="1"/>
    <x v="1"/>
    <x v="2"/>
    <n v="36"/>
    <n v="36"/>
    <n v="9"/>
    <n v="0.25"/>
  </r>
  <r>
    <x v="0"/>
    <x v="0"/>
    <x v="1"/>
    <x v="1"/>
    <x v="3"/>
    <n v="58"/>
    <n v="58"/>
    <n v="15"/>
    <n v="0.25862068965517243"/>
  </r>
  <r>
    <x v="0"/>
    <x v="0"/>
    <x v="1"/>
    <x v="1"/>
    <x v="4"/>
    <n v="75"/>
    <n v="75"/>
    <n v="22"/>
    <n v="0.29333333333333333"/>
  </r>
  <r>
    <x v="0"/>
    <x v="0"/>
    <x v="1"/>
    <x v="1"/>
    <x v="5"/>
    <n v="116"/>
    <n v="116"/>
    <n v="32"/>
    <n v="0.27586206896551724"/>
  </r>
  <r>
    <x v="0"/>
    <x v="0"/>
    <x v="1"/>
    <x v="1"/>
    <x v="6"/>
    <n v="160"/>
    <n v="160"/>
    <n v="53"/>
    <n v="0.33124999999999999"/>
  </r>
  <r>
    <x v="0"/>
    <x v="0"/>
    <x v="1"/>
    <x v="1"/>
    <x v="7"/>
    <n v="186"/>
    <n v="186"/>
    <n v="44"/>
    <n v="0.23655913978494625"/>
  </r>
  <r>
    <x v="0"/>
    <x v="0"/>
    <x v="1"/>
    <x v="1"/>
    <x v="8"/>
    <n v="178"/>
    <n v="178"/>
    <n v="52"/>
    <n v="0.29213483146067415"/>
  </r>
  <r>
    <x v="0"/>
    <x v="0"/>
    <x v="1"/>
    <x v="1"/>
    <x v="9"/>
    <n v="215"/>
    <n v="215"/>
    <n v="61"/>
    <n v="0.28372093023255812"/>
  </r>
  <r>
    <x v="0"/>
    <x v="0"/>
    <x v="1"/>
    <x v="1"/>
    <x v="10"/>
    <n v="277"/>
    <n v="277"/>
    <n v="73"/>
    <n v="0.26353790613718414"/>
  </r>
  <r>
    <x v="0"/>
    <x v="0"/>
    <x v="1"/>
    <x v="1"/>
    <x v="11"/>
    <n v="262"/>
    <n v="262"/>
    <n v="69"/>
    <n v="0.26335877862595419"/>
  </r>
  <r>
    <x v="0"/>
    <x v="0"/>
    <x v="1"/>
    <x v="1"/>
    <x v="12"/>
    <n v="243"/>
    <n v="243"/>
    <n v="75"/>
    <n v="0.30864197530864196"/>
  </r>
  <r>
    <x v="0"/>
    <x v="0"/>
    <x v="1"/>
    <x v="1"/>
    <x v="13"/>
    <n v="255"/>
    <n v="255"/>
    <n v="70"/>
    <n v="0.27450980392156865"/>
  </r>
  <r>
    <x v="0"/>
    <x v="0"/>
    <x v="1"/>
    <x v="1"/>
    <x v="14"/>
    <n v="266"/>
    <n v="266"/>
    <n v="71"/>
    <n v="0.26691729323308272"/>
  </r>
  <r>
    <x v="0"/>
    <x v="0"/>
    <x v="1"/>
    <x v="1"/>
    <x v="15"/>
    <n v="255"/>
    <n v="255"/>
    <n v="71"/>
    <n v="0.27843137254901962"/>
  </r>
  <r>
    <x v="0"/>
    <x v="0"/>
    <x v="1"/>
    <x v="1"/>
    <x v="16"/>
    <n v="296"/>
    <n v="296"/>
    <n v="94"/>
    <n v="0.31756756756756754"/>
  </r>
  <r>
    <x v="0"/>
    <x v="0"/>
    <x v="1"/>
    <x v="1"/>
    <x v="17"/>
    <n v="367"/>
    <n v="367"/>
    <n v="114"/>
    <n v="0.31062670299727518"/>
  </r>
  <r>
    <x v="0"/>
    <x v="0"/>
    <x v="2"/>
    <x v="0"/>
    <x v="0"/>
    <n v="16"/>
    <n v="16"/>
    <n v="3"/>
    <n v="0.1875"/>
  </r>
  <r>
    <x v="0"/>
    <x v="0"/>
    <x v="2"/>
    <x v="0"/>
    <x v="1"/>
    <n v="141"/>
    <n v="141"/>
    <n v="13"/>
    <n v="9.2198581560283682E-2"/>
  </r>
  <r>
    <x v="0"/>
    <x v="0"/>
    <x v="2"/>
    <x v="0"/>
    <x v="2"/>
    <n v="230"/>
    <n v="230"/>
    <n v="23"/>
    <n v="0.1"/>
  </r>
  <r>
    <x v="0"/>
    <x v="0"/>
    <x v="2"/>
    <x v="0"/>
    <x v="3"/>
    <n v="283"/>
    <n v="283"/>
    <n v="25"/>
    <n v="8.8339222614840993E-2"/>
  </r>
  <r>
    <x v="0"/>
    <x v="0"/>
    <x v="2"/>
    <x v="0"/>
    <x v="4"/>
    <n v="438"/>
    <n v="438"/>
    <n v="61"/>
    <n v="0.13926940639269406"/>
  </r>
  <r>
    <x v="0"/>
    <x v="0"/>
    <x v="2"/>
    <x v="0"/>
    <x v="5"/>
    <n v="510"/>
    <n v="510"/>
    <n v="77"/>
    <n v="0.15098039215686274"/>
  </r>
  <r>
    <x v="0"/>
    <x v="0"/>
    <x v="2"/>
    <x v="0"/>
    <x v="6"/>
    <n v="478"/>
    <n v="478"/>
    <n v="53"/>
    <n v="0.11087866108786611"/>
  </r>
  <r>
    <x v="0"/>
    <x v="0"/>
    <x v="2"/>
    <x v="0"/>
    <x v="7"/>
    <n v="480"/>
    <n v="480"/>
    <n v="66"/>
    <n v="0.13750000000000001"/>
  </r>
  <r>
    <x v="0"/>
    <x v="0"/>
    <x v="2"/>
    <x v="0"/>
    <x v="8"/>
    <n v="518"/>
    <n v="518"/>
    <n v="60"/>
    <n v="0.11583011583011583"/>
  </r>
  <r>
    <x v="0"/>
    <x v="0"/>
    <x v="2"/>
    <x v="0"/>
    <x v="9"/>
    <n v="366"/>
    <n v="366"/>
    <n v="59"/>
    <n v="0.16120218579234974"/>
  </r>
  <r>
    <x v="0"/>
    <x v="0"/>
    <x v="2"/>
    <x v="0"/>
    <x v="10"/>
    <n v="400"/>
    <n v="400"/>
    <n v="54"/>
    <n v="0.13500000000000001"/>
  </r>
  <r>
    <x v="0"/>
    <x v="0"/>
    <x v="2"/>
    <x v="0"/>
    <x v="11"/>
    <n v="331"/>
    <n v="331"/>
    <n v="47"/>
    <n v="0.1419939577039275"/>
  </r>
  <r>
    <x v="0"/>
    <x v="0"/>
    <x v="2"/>
    <x v="0"/>
    <x v="12"/>
    <n v="355"/>
    <n v="355"/>
    <n v="58"/>
    <n v="0.16338028169014085"/>
  </r>
  <r>
    <x v="0"/>
    <x v="0"/>
    <x v="2"/>
    <x v="0"/>
    <x v="13"/>
    <n v="296"/>
    <n v="296"/>
    <n v="43"/>
    <n v="0.14527027027027026"/>
  </r>
  <r>
    <x v="0"/>
    <x v="0"/>
    <x v="2"/>
    <x v="0"/>
    <x v="14"/>
    <n v="382"/>
    <n v="382"/>
    <n v="51"/>
    <n v="0.13350785340314136"/>
  </r>
  <r>
    <x v="0"/>
    <x v="0"/>
    <x v="2"/>
    <x v="0"/>
    <x v="15"/>
    <n v="399"/>
    <n v="399"/>
    <n v="54"/>
    <n v="0.13533834586466165"/>
  </r>
  <r>
    <x v="0"/>
    <x v="0"/>
    <x v="2"/>
    <x v="0"/>
    <x v="16"/>
    <n v="401"/>
    <n v="401"/>
    <n v="68"/>
    <n v="0.16957605985037408"/>
  </r>
  <r>
    <x v="0"/>
    <x v="0"/>
    <x v="2"/>
    <x v="0"/>
    <x v="17"/>
    <n v="501"/>
    <n v="501"/>
    <n v="74"/>
    <n v="0.14770459081836326"/>
  </r>
  <r>
    <x v="0"/>
    <x v="0"/>
    <x v="2"/>
    <x v="1"/>
    <x v="1"/>
    <n v="15"/>
    <n v="15"/>
    <n v="6"/>
    <n v="0.4"/>
  </r>
  <r>
    <x v="0"/>
    <x v="0"/>
    <x v="2"/>
    <x v="1"/>
    <x v="2"/>
    <n v="50"/>
    <n v="50"/>
    <n v="10"/>
    <n v="0.2"/>
  </r>
  <r>
    <x v="0"/>
    <x v="0"/>
    <x v="2"/>
    <x v="1"/>
    <x v="3"/>
    <n v="83"/>
    <n v="83"/>
    <n v="17"/>
    <n v="0.20481927710843373"/>
  </r>
  <r>
    <x v="0"/>
    <x v="0"/>
    <x v="2"/>
    <x v="1"/>
    <x v="4"/>
    <n v="131"/>
    <n v="131"/>
    <n v="36"/>
    <n v="0.27480916030534353"/>
  </r>
  <r>
    <x v="0"/>
    <x v="0"/>
    <x v="2"/>
    <x v="1"/>
    <x v="5"/>
    <n v="217"/>
    <n v="217"/>
    <n v="50"/>
    <n v="0.2304147465437788"/>
  </r>
  <r>
    <x v="0"/>
    <x v="0"/>
    <x v="2"/>
    <x v="1"/>
    <x v="6"/>
    <n v="275"/>
    <n v="275"/>
    <n v="68"/>
    <n v="0.24727272727272728"/>
  </r>
  <r>
    <x v="0"/>
    <x v="0"/>
    <x v="2"/>
    <x v="1"/>
    <x v="7"/>
    <n v="304"/>
    <n v="304"/>
    <n v="81"/>
    <n v="0.26644736842105265"/>
  </r>
  <r>
    <x v="0"/>
    <x v="0"/>
    <x v="2"/>
    <x v="1"/>
    <x v="8"/>
    <n v="336"/>
    <n v="336"/>
    <n v="86"/>
    <n v="0.25595238095238093"/>
  </r>
  <r>
    <x v="0"/>
    <x v="0"/>
    <x v="2"/>
    <x v="1"/>
    <x v="9"/>
    <n v="330"/>
    <n v="330"/>
    <n v="95"/>
    <n v="0.2878787878787879"/>
  </r>
  <r>
    <x v="0"/>
    <x v="0"/>
    <x v="2"/>
    <x v="1"/>
    <x v="10"/>
    <n v="370"/>
    <n v="370"/>
    <n v="105"/>
    <n v="0.28378378378378377"/>
  </r>
  <r>
    <x v="0"/>
    <x v="0"/>
    <x v="2"/>
    <x v="1"/>
    <x v="11"/>
    <n v="378"/>
    <n v="378"/>
    <n v="100"/>
    <n v="0.26455026455026454"/>
  </r>
  <r>
    <x v="0"/>
    <x v="0"/>
    <x v="2"/>
    <x v="1"/>
    <x v="12"/>
    <n v="357"/>
    <n v="357"/>
    <n v="112"/>
    <n v="0.31372549019607843"/>
  </r>
  <r>
    <x v="0"/>
    <x v="0"/>
    <x v="2"/>
    <x v="1"/>
    <x v="13"/>
    <n v="371"/>
    <n v="371"/>
    <n v="100"/>
    <n v="0.26954177897574122"/>
  </r>
  <r>
    <x v="0"/>
    <x v="0"/>
    <x v="2"/>
    <x v="1"/>
    <x v="14"/>
    <n v="359"/>
    <n v="359"/>
    <n v="101"/>
    <n v="0.28133704735376047"/>
  </r>
  <r>
    <x v="0"/>
    <x v="0"/>
    <x v="2"/>
    <x v="1"/>
    <x v="15"/>
    <n v="389"/>
    <n v="389"/>
    <n v="110"/>
    <n v="0.28277634961439591"/>
  </r>
  <r>
    <x v="0"/>
    <x v="0"/>
    <x v="2"/>
    <x v="1"/>
    <x v="16"/>
    <n v="425"/>
    <n v="425"/>
    <n v="136"/>
    <n v="0.32"/>
  </r>
  <r>
    <x v="0"/>
    <x v="0"/>
    <x v="2"/>
    <x v="1"/>
    <x v="17"/>
    <n v="502"/>
    <n v="502"/>
    <n v="138"/>
    <n v="0.27490039840637448"/>
  </r>
  <r>
    <x v="0"/>
    <x v="0"/>
    <x v="3"/>
    <x v="0"/>
    <x v="0"/>
    <n v="108"/>
    <n v="108"/>
    <n v="12"/>
    <n v="0.1111111111111111"/>
  </r>
  <r>
    <x v="0"/>
    <x v="0"/>
    <x v="3"/>
    <x v="0"/>
    <x v="1"/>
    <n v="673"/>
    <n v="673"/>
    <n v="75"/>
    <n v="0.11144130757800892"/>
  </r>
  <r>
    <x v="0"/>
    <x v="0"/>
    <x v="3"/>
    <x v="0"/>
    <x v="2"/>
    <n v="924"/>
    <n v="924"/>
    <n v="108"/>
    <n v="0.11688311688311688"/>
  </r>
  <r>
    <x v="0"/>
    <x v="0"/>
    <x v="3"/>
    <x v="0"/>
    <x v="3"/>
    <n v="1209"/>
    <n v="1209"/>
    <n v="157"/>
    <n v="0.12985938792390406"/>
  </r>
  <r>
    <x v="0"/>
    <x v="0"/>
    <x v="3"/>
    <x v="0"/>
    <x v="4"/>
    <n v="2002"/>
    <n v="2002"/>
    <n v="245"/>
    <n v="0.12237762237762238"/>
  </r>
  <r>
    <x v="0"/>
    <x v="0"/>
    <x v="3"/>
    <x v="0"/>
    <x v="5"/>
    <n v="2430"/>
    <n v="2430"/>
    <n v="276"/>
    <n v="0.11358024691358025"/>
  </r>
  <r>
    <x v="0"/>
    <x v="0"/>
    <x v="3"/>
    <x v="0"/>
    <x v="6"/>
    <n v="2297"/>
    <n v="2297"/>
    <n v="284"/>
    <n v="0.12363952982150632"/>
  </r>
  <r>
    <x v="0"/>
    <x v="0"/>
    <x v="3"/>
    <x v="0"/>
    <x v="7"/>
    <n v="2511"/>
    <n v="2511"/>
    <n v="286"/>
    <n v="0.11389884508164078"/>
  </r>
  <r>
    <x v="0"/>
    <x v="0"/>
    <x v="3"/>
    <x v="0"/>
    <x v="8"/>
    <n v="2438"/>
    <n v="2438"/>
    <n v="316"/>
    <n v="0.12961443806398687"/>
  </r>
  <r>
    <x v="0"/>
    <x v="0"/>
    <x v="3"/>
    <x v="0"/>
    <x v="9"/>
    <n v="2258"/>
    <n v="2258"/>
    <n v="292"/>
    <n v="0.12931798051372898"/>
  </r>
  <r>
    <x v="0"/>
    <x v="0"/>
    <x v="3"/>
    <x v="0"/>
    <x v="10"/>
    <n v="2752"/>
    <n v="2752"/>
    <n v="389"/>
    <n v="0.14135174418604651"/>
  </r>
  <r>
    <x v="0"/>
    <x v="0"/>
    <x v="3"/>
    <x v="0"/>
    <x v="11"/>
    <n v="2865"/>
    <n v="2865"/>
    <n v="350"/>
    <n v="0.12216404886561955"/>
  </r>
  <r>
    <x v="0"/>
    <x v="0"/>
    <x v="3"/>
    <x v="0"/>
    <x v="12"/>
    <n v="2395"/>
    <n v="2395"/>
    <n v="294"/>
    <n v="0.12275574112734865"/>
  </r>
  <r>
    <x v="0"/>
    <x v="0"/>
    <x v="3"/>
    <x v="0"/>
    <x v="13"/>
    <n v="2237"/>
    <n v="2237"/>
    <n v="291"/>
    <n v="0.13008493518104605"/>
  </r>
  <r>
    <x v="0"/>
    <x v="0"/>
    <x v="3"/>
    <x v="0"/>
    <x v="14"/>
    <n v="2408"/>
    <n v="2408"/>
    <n v="300"/>
    <n v="0.12458471760797342"/>
  </r>
  <r>
    <x v="0"/>
    <x v="0"/>
    <x v="3"/>
    <x v="0"/>
    <x v="15"/>
    <n v="2452"/>
    <n v="2452"/>
    <n v="330"/>
    <n v="0.13458401305057097"/>
  </r>
  <r>
    <x v="0"/>
    <x v="0"/>
    <x v="3"/>
    <x v="0"/>
    <x v="16"/>
    <n v="2940"/>
    <n v="2940"/>
    <n v="411"/>
    <n v="0.13979591836734695"/>
  </r>
  <r>
    <x v="0"/>
    <x v="0"/>
    <x v="3"/>
    <x v="0"/>
    <x v="17"/>
    <n v="3050"/>
    <n v="3050"/>
    <n v="432"/>
    <n v="0.14163934426229507"/>
  </r>
  <r>
    <x v="0"/>
    <x v="0"/>
    <x v="3"/>
    <x v="1"/>
    <x v="0"/>
    <n v="4"/>
    <n v="4"/>
    <n v="2"/>
    <n v="0.5"/>
  </r>
  <r>
    <x v="0"/>
    <x v="0"/>
    <x v="3"/>
    <x v="1"/>
    <x v="1"/>
    <n v="86"/>
    <n v="86"/>
    <n v="15"/>
    <n v="0.1744186046511628"/>
  </r>
  <r>
    <x v="0"/>
    <x v="0"/>
    <x v="3"/>
    <x v="1"/>
    <x v="2"/>
    <n v="247"/>
    <n v="247"/>
    <n v="53"/>
    <n v="0.2145748987854251"/>
  </r>
  <r>
    <x v="0"/>
    <x v="0"/>
    <x v="3"/>
    <x v="1"/>
    <x v="3"/>
    <n v="390"/>
    <n v="390"/>
    <n v="94"/>
    <n v="0.24102564102564103"/>
  </r>
  <r>
    <x v="0"/>
    <x v="0"/>
    <x v="3"/>
    <x v="1"/>
    <x v="4"/>
    <n v="690"/>
    <n v="690"/>
    <n v="156"/>
    <n v="0.22608695652173913"/>
  </r>
  <r>
    <x v="0"/>
    <x v="0"/>
    <x v="3"/>
    <x v="1"/>
    <x v="5"/>
    <n v="1020"/>
    <n v="1020"/>
    <n v="238"/>
    <n v="0.23333333333333334"/>
  </r>
  <r>
    <x v="0"/>
    <x v="0"/>
    <x v="3"/>
    <x v="1"/>
    <x v="6"/>
    <n v="1220"/>
    <n v="1220"/>
    <n v="309"/>
    <n v="0.25327868852459018"/>
  </r>
  <r>
    <x v="0"/>
    <x v="0"/>
    <x v="3"/>
    <x v="1"/>
    <x v="7"/>
    <n v="1490"/>
    <n v="1490"/>
    <n v="380"/>
    <n v="0.25503355704697989"/>
  </r>
  <r>
    <x v="0"/>
    <x v="0"/>
    <x v="3"/>
    <x v="1"/>
    <x v="8"/>
    <n v="1547"/>
    <n v="1547"/>
    <n v="418"/>
    <n v="0.27020038784744665"/>
  </r>
  <r>
    <x v="0"/>
    <x v="0"/>
    <x v="3"/>
    <x v="1"/>
    <x v="9"/>
    <n v="1626"/>
    <n v="1626"/>
    <n v="444"/>
    <n v="0.27306273062730629"/>
  </r>
  <r>
    <x v="0"/>
    <x v="0"/>
    <x v="3"/>
    <x v="1"/>
    <x v="10"/>
    <n v="1929"/>
    <n v="1929"/>
    <n v="570"/>
    <n v="0.29548989113530327"/>
  </r>
  <r>
    <x v="0"/>
    <x v="0"/>
    <x v="3"/>
    <x v="1"/>
    <x v="11"/>
    <n v="2072"/>
    <n v="2072"/>
    <n v="546"/>
    <n v="0.26351351351351349"/>
  </r>
  <r>
    <x v="0"/>
    <x v="0"/>
    <x v="3"/>
    <x v="1"/>
    <x v="12"/>
    <n v="1998"/>
    <n v="1998"/>
    <n v="526"/>
    <n v="0.26326326326326327"/>
  </r>
  <r>
    <x v="0"/>
    <x v="0"/>
    <x v="3"/>
    <x v="1"/>
    <x v="13"/>
    <n v="2020"/>
    <n v="2020"/>
    <n v="563"/>
    <n v="0.27871287128712874"/>
  </r>
  <r>
    <x v="0"/>
    <x v="0"/>
    <x v="3"/>
    <x v="1"/>
    <x v="14"/>
    <n v="2151"/>
    <n v="2151"/>
    <n v="567"/>
    <n v="0.26359832635983266"/>
  </r>
  <r>
    <x v="0"/>
    <x v="0"/>
    <x v="3"/>
    <x v="1"/>
    <x v="15"/>
    <n v="2241"/>
    <n v="2241"/>
    <n v="634"/>
    <n v="0.28290941543953591"/>
  </r>
  <r>
    <x v="0"/>
    <x v="0"/>
    <x v="3"/>
    <x v="1"/>
    <x v="16"/>
    <n v="2520"/>
    <n v="2520"/>
    <n v="777"/>
    <n v="0.30833333333333335"/>
  </r>
  <r>
    <x v="0"/>
    <x v="0"/>
    <x v="3"/>
    <x v="1"/>
    <x v="17"/>
    <n v="2949"/>
    <n v="2949"/>
    <n v="846"/>
    <n v="0.28687690742624616"/>
  </r>
  <r>
    <x v="0"/>
    <x v="1"/>
    <x v="0"/>
    <x v="0"/>
    <x v="0"/>
    <n v="1"/>
    <n v="1"/>
    <n v="1"/>
    <n v="1"/>
  </r>
  <r>
    <x v="0"/>
    <x v="1"/>
    <x v="0"/>
    <x v="0"/>
    <x v="1"/>
    <n v="9"/>
    <n v="9"/>
    <n v="2"/>
    <n v="0.22222222222222221"/>
  </r>
  <r>
    <x v="0"/>
    <x v="1"/>
    <x v="0"/>
    <x v="0"/>
    <x v="2"/>
    <n v="8"/>
    <n v="8"/>
    <n v="1"/>
    <n v="0.125"/>
  </r>
  <r>
    <x v="0"/>
    <x v="1"/>
    <x v="0"/>
    <x v="0"/>
    <x v="3"/>
    <n v="8"/>
    <n v="8"/>
    <n v="1"/>
    <n v="0.125"/>
  </r>
  <r>
    <x v="0"/>
    <x v="1"/>
    <x v="0"/>
    <x v="0"/>
    <x v="4"/>
    <n v="21"/>
    <n v="21"/>
    <n v="7"/>
    <n v="0.33333333333333331"/>
  </r>
  <r>
    <x v="0"/>
    <x v="1"/>
    <x v="0"/>
    <x v="0"/>
    <x v="5"/>
    <n v="23"/>
    <n v="23"/>
    <n v="10"/>
    <n v="0.43478260869565216"/>
  </r>
  <r>
    <x v="0"/>
    <x v="1"/>
    <x v="0"/>
    <x v="0"/>
    <x v="6"/>
    <n v="25"/>
    <n v="25"/>
    <n v="6"/>
    <n v="0.24"/>
  </r>
  <r>
    <x v="0"/>
    <x v="1"/>
    <x v="0"/>
    <x v="0"/>
    <x v="7"/>
    <n v="18"/>
    <n v="18"/>
    <n v="5"/>
    <n v="0.27777777777777779"/>
  </r>
  <r>
    <x v="0"/>
    <x v="1"/>
    <x v="0"/>
    <x v="0"/>
    <x v="8"/>
    <n v="21"/>
    <n v="21"/>
    <n v="8"/>
    <n v="0.38095238095238093"/>
  </r>
  <r>
    <x v="0"/>
    <x v="1"/>
    <x v="0"/>
    <x v="0"/>
    <x v="9"/>
    <n v="19"/>
    <n v="19"/>
    <n v="6"/>
    <n v="0.31578947368421051"/>
  </r>
  <r>
    <x v="0"/>
    <x v="1"/>
    <x v="0"/>
    <x v="0"/>
    <x v="10"/>
    <n v="28"/>
    <n v="28"/>
    <n v="8"/>
    <n v="0.2857142857142857"/>
  </r>
  <r>
    <x v="0"/>
    <x v="1"/>
    <x v="0"/>
    <x v="0"/>
    <x v="11"/>
    <n v="26"/>
    <n v="26"/>
    <n v="7"/>
    <n v="0.26923076923076922"/>
  </r>
  <r>
    <x v="0"/>
    <x v="1"/>
    <x v="0"/>
    <x v="0"/>
    <x v="12"/>
    <n v="17"/>
    <n v="17"/>
    <n v="2"/>
    <n v="0.11764705882352941"/>
  </r>
  <r>
    <x v="0"/>
    <x v="1"/>
    <x v="0"/>
    <x v="0"/>
    <x v="13"/>
    <n v="27"/>
    <n v="27"/>
    <n v="9"/>
    <n v="0.33333333333333331"/>
  </r>
  <r>
    <x v="0"/>
    <x v="1"/>
    <x v="0"/>
    <x v="0"/>
    <x v="14"/>
    <n v="30"/>
    <n v="30"/>
    <n v="4"/>
    <n v="0.13333333333333333"/>
  </r>
  <r>
    <x v="0"/>
    <x v="1"/>
    <x v="0"/>
    <x v="0"/>
    <x v="15"/>
    <n v="44"/>
    <n v="44"/>
    <n v="15"/>
    <n v="0.34090909090909088"/>
  </r>
  <r>
    <x v="0"/>
    <x v="1"/>
    <x v="0"/>
    <x v="0"/>
    <x v="16"/>
    <n v="29"/>
    <n v="29"/>
    <n v="8"/>
    <n v="0.27586206896551724"/>
  </r>
  <r>
    <x v="0"/>
    <x v="1"/>
    <x v="0"/>
    <x v="0"/>
    <x v="17"/>
    <n v="30"/>
    <n v="30"/>
    <n v="7"/>
    <n v="0.23333333333333334"/>
  </r>
  <r>
    <x v="0"/>
    <x v="1"/>
    <x v="0"/>
    <x v="1"/>
    <x v="1"/>
    <n v="3"/>
    <n v="3"/>
    <n v="1"/>
    <n v="0.33333333333333331"/>
  </r>
  <r>
    <x v="0"/>
    <x v="1"/>
    <x v="0"/>
    <x v="1"/>
    <x v="2"/>
    <n v="7"/>
    <n v="7"/>
    <n v="1"/>
    <n v="0.14285714285714285"/>
  </r>
  <r>
    <x v="0"/>
    <x v="1"/>
    <x v="0"/>
    <x v="1"/>
    <x v="3"/>
    <n v="6"/>
    <n v="6"/>
    <n v="2"/>
    <n v="0.33333333333333331"/>
  </r>
  <r>
    <x v="0"/>
    <x v="1"/>
    <x v="0"/>
    <x v="1"/>
    <x v="4"/>
    <n v="11"/>
    <n v="11"/>
    <n v="3"/>
    <n v="0.27272727272727271"/>
  </r>
  <r>
    <x v="0"/>
    <x v="1"/>
    <x v="0"/>
    <x v="1"/>
    <x v="5"/>
    <n v="22"/>
    <n v="22"/>
    <n v="10"/>
    <n v="0.45454545454545453"/>
  </r>
  <r>
    <x v="0"/>
    <x v="1"/>
    <x v="0"/>
    <x v="1"/>
    <x v="6"/>
    <n v="35"/>
    <n v="35"/>
    <n v="16"/>
    <n v="0.45714285714285713"/>
  </r>
  <r>
    <x v="0"/>
    <x v="1"/>
    <x v="0"/>
    <x v="1"/>
    <x v="7"/>
    <n v="56"/>
    <n v="56"/>
    <n v="13"/>
    <n v="0.23214285714285715"/>
  </r>
  <r>
    <x v="0"/>
    <x v="1"/>
    <x v="0"/>
    <x v="1"/>
    <x v="8"/>
    <n v="36"/>
    <n v="36"/>
    <n v="15"/>
    <n v="0.41666666666666669"/>
  </r>
  <r>
    <x v="0"/>
    <x v="1"/>
    <x v="0"/>
    <x v="1"/>
    <x v="9"/>
    <n v="65"/>
    <n v="65"/>
    <n v="18"/>
    <n v="0.27692307692307694"/>
  </r>
  <r>
    <x v="0"/>
    <x v="1"/>
    <x v="0"/>
    <x v="1"/>
    <x v="10"/>
    <n v="56"/>
    <n v="56"/>
    <n v="20"/>
    <n v="0.35714285714285715"/>
  </r>
  <r>
    <x v="0"/>
    <x v="1"/>
    <x v="0"/>
    <x v="1"/>
    <x v="11"/>
    <n v="58"/>
    <n v="58"/>
    <n v="17"/>
    <n v="0.29310344827586204"/>
  </r>
  <r>
    <x v="0"/>
    <x v="1"/>
    <x v="0"/>
    <x v="1"/>
    <x v="12"/>
    <n v="56"/>
    <n v="56"/>
    <n v="15"/>
    <n v="0.26785714285714285"/>
  </r>
  <r>
    <x v="0"/>
    <x v="1"/>
    <x v="0"/>
    <x v="1"/>
    <x v="13"/>
    <n v="52"/>
    <n v="52"/>
    <n v="18"/>
    <n v="0.34615384615384615"/>
  </r>
  <r>
    <x v="0"/>
    <x v="1"/>
    <x v="0"/>
    <x v="1"/>
    <x v="14"/>
    <n v="65"/>
    <n v="65"/>
    <n v="19"/>
    <n v="0.29230769230769232"/>
  </r>
  <r>
    <x v="0"/>
    <x v="1"/>
    <x v="0"/>
    <x v="1"/>
    <x v="15"/>
    <n v="73"/>
    <n v="73"/>
    <n v="23"/>
    <n v="0.31506849315068491"/>
  </r>
  <r>
    <x v="0"/>
    <x v="1"/>
    <x v="0"/>
    <x v="1"/>
    <x v="16"/>
    <n v="92"/>
    <n v="92"/>
    <n v="25"/>
    <n v="0.27173913043478259"/>
  </r>
  <r>
    <x v="0"/>
    <x v="1"/>
    <x v="0"/>
    <x v="1"/>
    <x v="17"/>
    <n v="96"/>
    <n v="96"/>
    <n v="26"/>
    <n v="0.27083333333333331"/>
  </r>
  <r>
    <x v="0"/>
    <x v="1"/>
    <x v="1"/>
    <x v="0"/>
    <x v="0"/>
    <n v="4"/>
    <n v="4"/>
    <n v="0"/>
    <n v="0"/>
  </r>
  <r>
    <x v="0"/>
    <x v="1"/>
    <x v="1"/>
    <x v="0"/>
    <x v="1"/>
    <n v="48"/>
    <n v="48"/>
    <n v="7"/>
    <n v="0.14583333333333334"/>
  </r>
  <r>
    <x v="0"/>
    <x v="1"/>
    <x v="1"/>
    <x v="0"/>
    <x v="2"/>
    <n v="61"/>
    <n v="61"/>
    <n v="15"/>
    <n v="0.24590163934426229"/>
  </r>
  <r>
    <x v="0"/>
    <x v="1"/>
    <x v="1"/>
    <x v="0"/>
    <x v="3"/>
    <n v="97"/>
    <n v="97"/>
    <n v="15"/>
    <n v="0.15463917525773196"/>
  </r>
  <r>
    <x v="0"/>
    <x v="1"/>
    <x v="1"/>
    <x v="0"/>
    <x v="4"/>
    <n v="149"/>
    <n v="149"/>
    <n v="22"/>
    <n v="0.1476510067114094"/>
  </r>
  <r>
    <x v="0"/>
    <x v="1"/>
    <x v="1"/>
    <x v="0"/>
    <x v="5"/>
    <n v="189"/>
    <n v="189"/>
    <n v="29"/>
    <n v="0.15343915343915343"/>
  </r>
  <r>
    <x v="0"/>
    <x v="1"/>
    <x v="1"/>
    <x v="0"/>
    <x v="6"/>
    <n v="185"/>
    <n v="185"/>
    <n v="33"/>
    <n v="0.17837837837837839"/>
  </r>
  <r>
    <x v="0"/>
    <x v="1"/>
    <x v="1"/>
    <x v="0"/>
    <x v="7"/>
    <n v="189"/>
    <n v="189"/>
    <n v="26"/>
    <n v="0.13756613756613756"/>
  </r>
  <r>
    <x v="0"/>
    <x v="1"/>
    <x v="1"/>
    <x v="0"/>
    <x v="8"/>
    <n v="225"/>
    <n v="225"/>
    <n v="42"/>
    <n v="0.18666666666666668"/>
  </r>
  <r>
    <x v="0"/>
    <x v="1"/>
    <x v="1"/>
    <x v="0"/>
    <x v="9"/>
    <n v="215"/>
    <n v="215"/>
    <n v="39"/>
    <n v="0.18139534883720931"/>
  </r>
  <r>
    <x v="0"/>
    <x v="1"/>
    <x v="1"/>
    <x v="0"/>
    <x v="10"/>
    <n v="266"/>
    <n v="266"/>
    <n v="46"/>
    <n v="0.17293233082706766"/>
  </r>
  <r>
    <x v="0"/>
    <x v="1"/>
    <x v="1"/>
    <x v="0"/>
    <x v="11"/>
    <n v="259"/>
    <n v="259"/>
    <n v="49"/>
    <n v="0.1891891891891892"/>
  </r>
  <r>
    <x v="0"/>
    <x v="1"/>
    <x v="1"/>
    <x v="0"/>
    <x v="12"/>
    <n v="202"/>
    <n v="202"/>
    <n v="35"/>
    <n v="0.17326732673267325"/>
  </r>
  <r>
    <x v="0"/>
    <x v="1"/>
    <x v="1"/>
    <x v="0"/>
    <x v="13"/>
    <n v="214"/>
    <n v="214"/>
    <n v="35"/>
    <n v="0.16355140186915887"/>
  </r>
  <r>
    <x v="0"/>
    <x v="1"/>
    <x v="1"/>
    <x v="0"/>
    <x v="14"/>
    <n v="199"/>
    <n v="199"/>
    <n v="38"/>
    <n v="0.19095477386934673"/>
  </r>
  <r>
    <x v="0"/>
    <x v="1"/>
    <x v="1"/>
    <x v="0"/>
    <x v="15"/>
    <n v="200"/>
    <n v="200"/>
    <n v="47"/>
    <n v="0.23499999999999999"/>
  </r>
  <r>
    <x v="0"/>
    <x v="1"/>
    <x v="1"/>
    <x v="0"/>
    <x v="16"/>
    <n v="218"/>
    <n v="218"/>
    <n v="43"/>
    <n v="0.19724770642201836"/>
  </r>
  <r>
    <x v="0"/>
    <x v="1"/>
    <x v="1"/>
    <x v="0"/>
    <x v="17"/>
    <n v="301"/>
    <n v="301"/>
    <n v="59"/>
    <n v="0.19601328903654486"/>
  </r>
  <r>
    <x v="0"/>
    <x v="1"/>
    <x v="1"/>
    <x v="1"/>
    <x v="0"/>
    <n v="1"/>
    <n v="1"/>
    <n v="1"/>
    <n v="1"/>
  </r>
  <r>
    <x v="0"/>
    <x v="1"/>
    <x v="1"/>
    <x v="1"/>
    <x v="1"/>
    <n v="6"/>
    <n v="6"/>
    <n v="1"/>
    <n v="0.16666666666666666"/>
  </r>
  <r>
    <x v="0"/>
    <x v="1"/>
    <x v="1"/>
    <x v="1"/>
    <x v="2"/>
    <n v="29"/>
    <n v="29"/>
    <n v="7"/>
    <n v="0.2413793103448276"/>
  </r>
  <r>
    <x v="0"/>
    <x v="1"/>
    <x v="1"/>
    <x v="1"/>
    <x v="3"/>
    <n v="58"/>
    <n v="58"/>
    <n v="17"/>
    <n v="0.29310344827586204"/>
  </r>
  <r>
    <x v="0"/>
    <x v="1"/>
    <x v="1"/>
    <x v="1"/>
    <x v="4"/>
    <n v="83"/>
    <n v="83"/>
    <n v="23"/>
    <n v="0.27710843373493976"/>
  </r>
  <r>
    <x v="0"/>
    <x v="1"/>
    <x v="1"/>
    <x v="1"/>
    <x v="5"/>
    <n v="113"/>
    <n v="113"/>
    <n v="27"/>
    <n v="0.23893805309734514"/>
  </r>
  <r>
    <x v="0"/>
    <x v="1"/>
    <x v="1"/>
    <x v="1"/>
    <x v="6"/>
    <n v="143"/>
    <n v="143"/>
    <n v="32"/>
    <n v="0.22377622377622378"/>
  </r>
  <r>
    <x v="0"/>
    <x v="1"/>
    <x v="1"/>
    <x v="1"/>
    <x v="7"/>
    <n v="169"/>
    <n v="169"/>
    <n v="42"/>
    <n v="0.24852071005917159"/>
  </r>
  <r>
    <x v="0"/>
    <x v="1"/>
    <x v="1"/>
    <x v="1"/>
    <x v="8"/>
    <n v="191"/>
    <n v="191"/>
    <n v="55"/>
    <n v="0.2879581151832461"/>
  </r>
  <r>
    <x v="0"/>
    <x v="1"/>
    <x v="1"/>
    <x v="1"/>
    <x v="9"/>
    <n v="247"/>
    <n v="247"/>
    <n v="65"/>
    <n v="0.26315789473684209"/>
  </r>
  <r>
    <x v="0"/>
    <x v="1"/>
    <x v="1"/>
    <x v="1"/>
    <x v="10"/>
    <n v="287"/>
    <n v="287"/>
    <n v="70"/>
    <n v="0.24390243902439024"/>
  </r>
  <r>
    <x v="0"/>
    <x v="1"/>
    <x v="1"/>
    <x v="1"/>
    <x v="11"/>
    <n v="270"/>
    <n v="270"/>
    <n v="83"/>
    <n v="0.30740740740740741"/>
  </r>
  <r>
    <x v="0"/>
    <x v="1"/>
    <x v="1"/>
    <x v="1"/>
    <x v="12"/>
    <n v="272"/>
    <n v="272"/>
    <n v="76"/>
    <n v="0.27941176470588236"/>
  </r>
  <r>
    <x v="0"/>
    <x v="1"/>
    <x v="1"/>
    <x v="1"/>
    <x v="13"/>
    <n v="282"/>
    <n v="282"/>
    <n v="61"/>
    <n v="0.21631205673758866"/>
  </r>
  <r>
    <x v="0"/>
    <x v="1"/>
    <x v="1"/>
    <x v="1"/>
    <x v="14"/>
    <n v="282"/>
    <n v="282"/>
    <n v="68"/>
    <n v="0.24113475177304963"/>
  </r>
  <r>
    <x v="0"/>
    <x v="1"/>
    <x v="1"/>
    <x v="1"/>
    <x v="15"/>
    <n v="290"/>
    <n v="290"/>
    <n v="77"/>
    <n v="0.26551724137931032"/>
  </r>
  <r>
    <x v="0"/>
    <x v="1"/>
    <x v="1"/>
    <x v="1"/>
    <x v="16"/>
    <n v="316"/>
    <n v="316"/>
    <n v="96"/>
    <n v="0.30379746835443039"/>
  </r>
  <r>
    <x v="0"/>
    <x v="1"/>
    <x v="1"/>
    <x v="1"/>
    <x v="17"/>
    <n v="390"/>
    <n v="390"/>
    <n v="109"/>
    <n v="0.27948717948717949"/>
  </r>
  <r>
    <x v="0"/>
    <x v="1"/>
    <x v="2"/>
    <x v="0"/>
    <x v="0"/>
    <n v="18"/>
    <n v="18"/>
    <n v="7"/>
    <n v="0.3888888888888889"/>
  </r>
  <r>
    <x v="0"/>
    <x v="1"/>
    <x v="2"/>
    <x v="0"/>
    <x v="1"/>
    <n v="151"/>
    <n v="151"/>
    <n v="24"/>
    <n v="0.15894039735099338"/>
  </r>
  <r>
    <x v="0"/>
    <x v="1"/>
    <x v="2"/>
    <x v="0"/>
    <x v="2"/>
    <n v="251"/>
    <n v="251"/>
    <n v="33"/>
    <n v="0.13147410358565736"/>
  </r>
  <r>
    <x v="0"/>
    <x v="1"/>
    <x v="2"/>
    <x v="0"/>
    <x v="3"/>
    <n v="297"/>
    <n v="297"/>
    <n v="39"/>
    <n v="0.13131313131313133"/>
  </r>
  <r>
    <x v="0"/>
    <x v="1"/>
    <x v="2"/>
    <x v="0"/>
    <x v="4"/>
    <n v="463"/>
    <n v="463"/>
    <n v="71"/>
    <n v="0.15334773218142547"/>
  </r>
  <r>
    <x v="0"/>
    <x v="1"/>
    <x v="2"/>
    <x v="0"/>
    <x v="5"/>
    <n v="537"/>
    <n v="537"/>
    <n v="82"/>
    <n v="0.1527001862197393"/>
  </r>
  <r>
    <x v="0"/>
    <x v="1"/>
    <x v="2"/>
    <x v="0"/>
    <x v="6"/>
    <n v="463"/>
    <n v="463"/>
    <n v="77"/>
    <n v="0.16630669546436286"/>
  </r>
  <r>
    <x v="0"/>
    <x v="1"/>
    <x v="2"/>
    <x v="0"/>
    <x v="7"/>
    <n v="493"/>
    <n v="493"/>
    <n v="66"/>
    <n v="0.13387423935091278"/>
  </r>
  <r>
    <x v="0"/>
    <x v="1"/>
    <x v="2"/>
    <x v="0"/>
    <x v="8"/>
    <n v="500"/>
    <n v="500"/>
    <n v="75"/>
    <n v="0.15"/>
  </r>
  <r>
    <x v="0"/>
    <x v="1"/>
    <x v="2"/>
    <x v="0"/>
    <x v="9"/>
    <n v="349"/>
    <n v="349"/>
    <n v="59"/>
    <n v="0.16905444126074498"/>
  </r>
  <r>
    <x v="0"/>
    <x v="1"/>
    <x v="2"/>
    <x v="0"/>
    <x v="10"/>
    <n v="361"/>
    <n v="361"/>
    <n v="62"/>
    <n v="0.17174515235457063"/>
  </r>
  <r>
    <x v="0"/>
    <x v="1"/>
    <x v="2"/>
    <x v="0"/>
    <x v="11"/>
    <n v="366"/>
    <n v="366"/>
    <n v="56"/>
    <n v="0.15300546448087432"/>
  </r>
  <r>
    <x v="0"/>
    <x v="1"/>
    <x v="2"/>
    <x v="0"/>
    <x v="12"/>
    <n v="319"/>
    <n v="319"/>
    <n v="51"/>
    <n v="0.15987460815047022"/>
  </r>
  <r>
    <x v="0"/>
    <x v="1"/>
    <x v="2"/>
    <x v="0"/>
    <x v="13"/>
    <n v="357"/>
    <n v="357"/>
    <n v="45"/>
    <n v="0.12605042016806722"/>
  </r>
  <r>
    <x v="0"/>
    <x v="1"/>
    <x v="2"/>
    <x v="0"/>
    <x v="14"/>
    <n v="364"/>
    <n v="364"/>
    <n v="62"/>
    <n v="0.17032967032967034"/>
  </r>
  <r>
    <x v="0"/>
    <x v="1"/>
    <x v="2"/>
    <x v="0"/>
    <x v="15"/>
    <n v="385"/>
    <n v="385"/>
    <n v="58"/>
    <n v="0.15064935064935064"/>
  </r>
  <r>
    <x v="0"/>
    <x v="1"/>
    <x v="2"/>
    <x v="0"/>
    <x v="16"/>
    <n v="391"/>
    <n v="391"/>
    <n v="57"/>
    <n v="0.14578005115089515"/>
  </r>
  <r>
    <x v="0"/>
    <x v="1"/>
    <x v="2"/>
    <x v="0"/>
    <x v="17"/>
    <n v="546"/>
    <n v="546"/>
    <n v="71"/>
    <n v="0.13003663003663005"/>
  </r>
  <r>
    <x v="0"/>
    <x v="1"/>
    <x v="2"/>
    <x v="1"/>
    <x v="0"/>
    <n v="1"/>
    <n v="1"/>
    <n v="0"/>
    <n v="0"/>
  </r>
  <r>
    <x v="0"/>
    <x v="1"/>
    <x v="2"/>
    <x v="1"/>
    <x v="1"/>
    <n v="22"/>
    <n v="22"/>
    <n v="7"/>
    <n v="0.31818181818181818"/>
  </r>
  <r>
    <x v="0"/>
    <x v="1"/>
    <x v="2"/>
    <x v="1"/>
    <x v="2"/>
    <n v="65"/>
    <n v="65"/>
    <n v="21"/>
    <n v="0.32307692307692309"/>
  </r>
  <r>
    <x v="0"/>
    <x v="1"/>
    <x v="2"/>
    <x v="1"/>
    <x v="3"/>
    <n v="117"/>
    <n v="117"/>
    <n v="27"/>
    <n v="0.23076923076923078"/>
  </r>
  <r>
    <x v="0"/>
    <x v="1"/>
    <x v="2"/>
    <x v="1"/>
    <x v="4"/>
    <n v="150"/>
    <n v="150"/>
    <n v="45"/>
    <n v="0.3"/>
  </r>
  <r>
    <x v="0"/>
    <x v="1"/>
    <x v="2"/>
    <x v="1"/>
    <x v="5"/>
    <n v="270"/>
    <n v="270"/>
    <n v="78"/>
    <n v="0.28888888888888886"/>
  </r>
  <r>
    <x v="0"/>
    <x v="1"/>
    <x v="2"/>
    <x v="1"/>
    <x v="6"/>
    <n v="342"/>
    <n v="342"/>
    <n v="96"/>
    <n v="0.2807017543859649"/>
  </r>
  <r>
    <x v="0"/>
    <x v="1"/>
    <x v="2"/>
    <x v="1"/>
    <x v="7"/>
    <n v="377"/>
    <n v="377"/>
    <n v="89"/>
    <n v="0.23607427055702918"/>
  </r>
  <r>
    <x v="0"/>
    <x v="1"/>
    <x v="2"/>
    <x v="1"/>
    <x v="8"/>
    <n v="361"/>
    <n v="361"/>
    <n v="95"/>
    <n v="0.26315789473684209"/>
  </r>
  <r>
    <x v="0"/>
    <x v="1"/>
    <x v="2"/>
    <x v="1"/>
    <x v="9"/>
    <n v="391"/>
    <n v="391"/>
    <n v="124"/>
    <n v="0.31713554987212278"/>
  </r>
  <r>
    <x v="0"/>
    <x v="1"/>
    <x v="2"/>
    <x v="1"/>
    <x v="10"/>
    <n v="459"/>
    <n v="459"/>
    <n v="126"/>
    <n v="0.27450980392156865"/>
  </r>
  <r>
    <x v="0"/>
    <x v="1"/>
    <x v="2"/>
    <x v="1"/>
    <x v="11"/>
    <n v="440"/>
    <n v="440"/>
    <n v="114"/>
    <n v="0.25909090909090909"/>
  </r>
  <r>
    <x v="0"/>
    <x v="1"/>
    <x v="2"/>
    <x v="1"/>
    <x v="12"/>
    <n v="400"/>
    <n v="400"/>
    <n v="106"/>
    <n v="0.26500000000000001"/>
  </r>
  <r>
    <x v="0"/>
    <x v="1"/>
    <x v="2"/>
    <x v="1"/>
    <x v="13"/>
    <n v="422"/>
    <n v="422"/>
    <n v="118"/>
    <n v="0.27962085308056872"/>
  </r>
  <r>
    <x v="0"/>
    <x v="1"/>
    <x v="2"/>
    <x v="1"/>
    <x v="14"/>
    <n v="428"/>
    <n v="428"/>
    <n v="123"/>
    <n v="0.28738317757009346"/>
  </r>
  <r>
    <x v="0"/>
    <x v="1"/>
    <x v="2"/>
    <x v="1"/>
    <x v="15"/>
    <n v="459"/>
    <n v="459"/>
    <n v="127"/>
    <n v="0.27668845315904139"/>
  </r>
  <r>
    <x v="0"/>
    <x v="1"/>
    <x v="2"/>
    <x v="1"/>
    <x v="16"/>
    <n v="483"/>
    <n v="483"/>
    <n v="155"/>
    <n v="0.32091097308488614"/>
  </r>
  <r>
    <x v="0"/>
    <x v="1"/>
    <x v="2"/>
    <x v="1"/>
    <x v="17"/>
    <n v="571"/>
    <n v="571"/>
    <n v="148"/>
    <n v="0.25919439579684761"/>
  </r>
  <r>
    <x v="0"/>
    <x v="1"/>
    <x v="3"/>
    <x v="0"/>
    <x v="0"/>
    <n v="116"/>
    <n v="116"/>
    <n v="25"/>
    <n v="0.21551724137931033"/>
  </r>
  <r>
    <x v="0"/>
    <x v="1"/>
    <x v="3"/>
    <x v="0"/>
    <x v="1"/>
    <n v="700"/>
    <n v="700"/>
    <n v="107"/>
    <n v="0.15285714285714286"/>
  </r>
  <r>
    <x v="0"/>
    <x v="1"/>
    <x v="3"/>
    <x v="0"/>
    <x v="2"/>
    <n v="853"/>
    <n v="853"/>
    <n v="134"/>
    <n v="0.15709261430246191"/>
  </r>
  <r>
    <x v="0"/>
    <x v="1"/>
    <x v="3"/>
    <x v="0"/>
    <x v="3"/>
    <n v="1194"/>
    <n v="1194"/>
    <n v="192"/>
    <n v="0.16080402010050251"/>
  </r>
  <r>
    <x v="0"/>
    <x v="1"/>
    <x v="3"/>
    <x v="0"/>
    <x v="4"/>
    <n v="2084"/>
    <n v="2084"/>
    <n v="335"/>
    <n v="0.16074856046065258"/>
  </r>
  <r>
    <x v="0"/>
    <x v="1"/>
    <x v="3"/>
    <x v="0"/>
    <x v="5"/>
    <n v="2452"/>
    <n v="2452"/>
    <n v="368"/>
    <n v="0.1500815660685155"/>
  </r>
  <r>
    <x v="0"/>
    <x v="1"/>
    <x v="3"/>
    <x v="0"/>
    <x v="6"/>
    <n v="2224"/>
    <n v="2224"/>
    <n v="355"/>
    <n v="0.15962230215827339"/>
  </r>
  <r>
    <x v="0"/>
    <x v="1"/>
    <x v="3"/>
    <x v="0"/>
    <x v="7"/>
    <n v="2434"/>
    <n v="2434"/>
    <n v="372"/>
    <n v="0.15283483976992604"/>
  </r>
  <r>
    <x v="0"/>
    <x v="1"/>
    <x v="3"/>
    <x v="0"/>
    <x v="8"/>
    <n v="2263"/>
    <n v="2263"/>
    <n v="342"/>
    <n v="0.15112682280159082"/>
  </r>
  <r>
    <x v="0"/>
    <x v="1"/>
    <x v="3"/>
    <x v="0"/>
    <x v="9"/>
    <n v="2305"/>
    <n v="2305"/>
    <n v="362"/>
    <n v="0.15704989154013016"/>
  </r>
  <r>
    <x v="0"/>
    <x v="1"/>
    <x v="3"/>
    <x v="0"/>
    <x v="10"/>
    <n v="2646"/>
    <n v="2646"/>
    <n v="442"/>
    <n v="0.16704459561602419"/>
  </r>
  <r>
    <x v="0"/>
    <x v="1"/>
    <x v="3"/>
    <x v="0"/>
    <x v="11"/>
    <n v="2940"/>
    <n v="2940"/>
    <n v="398"/>
    <n v="0.13537414965986394"/>
  </r>
  <r>
    <x v="0"/>
    <x v="1"/>
    <x v="3"/>
    <x v="0"/>
    <x v="12"/>
    <n v="2415"/>
    <n v="2415"/>
    <n v="386"/>
    <n v="0.1598343685300207"/>
  </r>
  <r>
    <x v="0"/>
    <x v="1"/>
    <x v="3"/>
    <x v="0"/>
    <x v="13"/>
    <n v="2228"/>
    <n v="2228"/>
    <n v="380"/>
    <n v="0.17055655296229802"/>
  </r>
  <r>
    <x v="0"/>
    <x v="1"/>
    <x v="3"/>
    <x v="0"/>
    <x v="14"/>
    <n v="2388"/>
    <n v="2388"/>
    <n v="352"/>
    <n v="0.14740368509212731"/>
  </r>
  <r>
    <x v="0"/>
    <x v="1"/>
    <x v="3"/>
    <x v="0"/>
    <x v="15"/>
    <n v="2367"/>
    <n v="2367"/>
    <n v="395"/>
    <n v="0.16687790452049006"/>
  </r>
  <r>
    <x v="0"/>
    <x v="1"/>
    <x v="3"/>
    <x v="0"/>
    <x v="16"/>
    <n v="2876"/>
    <n v="2876"/>
    <n v="433"/>
    <n v="0.15055632823365786"/>
  </r>
  <r>
    <x v="0"/>
    <x v="1"/>
    <x v="3"/>
    <x v="0"/>
    <x v="17"/>
    <n v="3112"/>
    <n v="3112"/>
    <n v="559"/>
    <n v="0.17962724935732649"/>
  </r>
  <r>
    <x v="0"/>
    <x v="1"/>
    <x v="3"/>
    <x v="1"/>
    <x v="0"/>
    <n v="10"/>
    <n v="10"/>
    <n v="3"/>
    <n v="0.3"/>
  </r>
  <r>
    <x v="0"/>
    <x v="1"/>
    <x v="3"/>
    <x v="1"/>
    <x v="1"/>
    <n v="99"/>
    <n v="99"/>
    <n v="29"/>
    <n v="0.29292929292929293"/>
  </r>
  <r>
    <x v="0"/>
    <x v="1"/>
    <x v="3"/>
    <x v="1"/>
    <x v="2"/>
    <n v="329"/>
    <n v="329"/>
    <n v="99"/>
    <n v="0.30091185410334348"/>
  </r>
  <r>
    <x v="0"/>
    <x v="1"/>
    <x v="3"/>
    <x v="1"/>
    <x v="3"/>
    <n v="488"/>
    <n v="488"/>
    <n v="140"/>
    <n v="0.28688524590163933"/>
  </r>
  <r>
    <x v="0"/>
    <x v="1"/>
    <x v="3"/>
    <x v="1"/>
    <x v="4"/>
    <n v="776"/>
    <n v="776"/>
    <n v="195"/>
    <n v="0.25128865979381443"/>
  </r>
  <r>
    <x v="0"/>
    <x v="1"/>
    <x v="3"/>
    <x v="1"/>
    <x v="5"/>
    <n v="1124"/>
    <n v="1124"/>
    <n v="270"/>
    <n v="0.2402135231316726"/>
  </r>
  <r>
    <x v="0"/>
    <x v="1"/>
    <x v="3"/>
    <x v="1"/>
    <x v="6"/>
    <n v="1429"/>
    <n v="1429"/>
    <n v="372"/>
    <n v="0.26032190342897132"/>
  </r>
  <r>
    <x v="0"/>
    <x v="1"/>
    <x v="3"/>
    <x v="1"/>
    <x v="7"/>
    <n v="1588"/>
    <n v="1588"/>
    <n v="425"/>
    <n v="0.26763224181360201"/>
  </r>
  <r>
    <x v="0"/>
    <x v="1"/>
    <x v="3"/>
    <x v="1"/>
    <x v="8"/>
    <n v="1760"/>
    <n v="1760"/>
    <n v="462"/>
    <n v="0.26250000000000001"/>
  </r>
  <r>
    <x v="0"/>
    <x v="1"/>
    <x v="3"/>
    <x v="1"/>
    <x v="9"/>
    <n v="1834"/>
    <n v="1834"/>
    <n v="533"/>
    <n v="0.29062159214830968"/>
  </r>
  <r>
    <x v="0"/>
    <x v="1"/>
    <x v="3"/>
    <x v="1"/>
    <x v="10"/>
    <n v="2131"/>
    <n v="2131"/>
    <n v="608"/>
    <n v="0.28531206006569687"/>
  </r>
  <r>
    <x v="0"/>
    <x v="1"/>
    <x v="3"/>
    <x v="1"/>
    <x v="11"/>
    <n v="2335"/>
    <n v="2335"/>
    <n v="632"/>
    <n v="0.27066381156316915"/>
  </r>
  <r>
    <x v="0"/>
    <x v="1"/>
    <x v="3"/>
    <x v="1"/>
    <x v="12"/>
    <n v="2247"/>
    <n v="2247"/>
    <n v="631"/>
    <n v="0.28081886960391633"/>
  </r>
  <r>
    <x v="0"/>
    <x v="1"/>
    <x v="3"/>
    <x v="1"/>
    <x v="13"/>
    <n v="2326"/>
    <n v="2326"/>
    <n v="675"/>
    <n v="0.29019776440240758"/>
  </r>
  <r>
    <x v="0"/>
    <x v="1"/>
    <x v="3"/>
    <x v="1"/>
    <x v="14"/>
    <n v="2476"/>
    <n v="2476"/>
    <n v="677"/>
    <n v="0.27342487883683358"/>
  </r>
  <r>
    <x v="0"/>
    <x v="1"/>
    <x v="3"/>
    <x v="1"/>
    <x v="15"/>
    <n v="2566"/>
    <n v="2566"/>
    <n v="753"/>
    <n v="0.29345284489477785"/>
  </r>
  <r>
    <x v="0"/>
    <x v="1"/>
    <x v="3"/>
    <x v="1"/>
    <x v="16"/>
    <n v="2735"/>
    <n v="2735"/>
    <n v="813"/>
    <n v="0.29725776965265083"/>
  </r>
  <r>
    <x v="0"/>
    <x v="1"/>
    <x v="3"/>
    <x v="1"/>
    <x v="17"/>
    <n v="3075"/>
    <n v="3075"/>
    <n v="912"/>
    <n v="0.29658536585365852"/>
  </r>
  <r>
    <x v="0"/>
    <x v="2"/>
    <x v="0"/>
    <x v="0"/>
    <x v="0"/>
    <n v="2"/>
    <n v="2"/>
    <n v="1"/>
    <n v="0.5"/>
  </r>
  <r>
    <x v="0"/>
    <x v="2"/>
    <x v="0"/>
    <x v="0"/>
    <x v="1"/>
    <n v="3"/>
    <n v="3"/>
    <n v="1"/>
    <n v="0.33333333333333331"/>
  </r>
  <r>
    <x v="0"/>
    <x v="2"/>
    <x v="0"/>
    <x v="0"/>
    <x v="2"/>
    <n v="11"/>
    <n v="11"/>
    <n v="1"/>
    <n v="9.0909090909090912E-2"/>
  </r>
  <r>
    <x v="0"/>
    <x v="2"/>
    <x v="0"/>
    <x v="0"/>
    <x v="3"/>
    <n v="8"/>
    <n v="8"/>
    <n v="1"/>
    <n v="0.125"/>
  </r>
  <r>
    <x v="0"/>
    <x v="2"/>
    <x v="0"/>
    <x v="0"/>
    <x v="4"/>
    <n v="18"/>
    <n v="18"/>
    <n v="5"/>
    <n v="0.27777777777777779"/>
  </r>
  <r>
    <x v="0"/>
    <x v="2"/>
    <x v="0"/>
    <x v="0"/>
    <x v="5"/>
    <n v="22"/>
    <n v="22"/>
    <n v="8"/>
    <n v="0.36363636363636365"/>
  </r>
  <r>
    <x v="0"/>
    <x v="2"/>
    <x v="0"/>
    <x v="0"/>
    <x v="6"/>
    <n v="21"/>
    <n v="21"/>
    <n v="7"/>
    <n v="0.33333333333333331"/>
  </r>
  <r>
    <x v="0"/>
    <x v="2"/>
    <x v="0"/>
    <x v="0"/>
    <x v="7"/>
    <n v="18"/>
    <n v="18"/>
    <n v="4"/>
    <n v="0.22222222222222221"/>
  </r>
  <r>
    <x v="0"/>
    <x v="2"/>
    <x v="0"/>
    <x v="0"/>
    <x v="8"/>
    <n v="18"/>
    <n v="18"/>
    <n v="5"/>
    <n v="0.27777777777777779"/>
  </r>
  <r>
    <x v="0"/>
    <x v="2"/>
    <x v="0"/>
    <x v="0"/>
    <x v="9"/>
    <n v="33"/>
    <n v="33"/>
    <n v="12"/>
    <n v="0.36363636363636365"/>
  </r>
  <r>
    <x v="0"/>
    <x v="2"/>
    <x v="0"/>
    <x v="0"/>
    <x v="10"/>
    <n v="30"/>
    <n v="30"/>
    <n v="6"/>
    <n v="0.2"/>
  </r>
  <r>
    <x v="0"/>
    <x v="2"/>
    <x v="0"/>
    <x v="0"/>
    <x v="11"/>
    <n v="22"/>
    <n v="22"/>
    <n v="7"/>
    <n v="0.31818181818181818"/>
  </r>
  <r>
    <x v="0"/>
    <x v="2"/>
    <x v="0"/>
    <x v="0"/>
    <x v="12"/>
    <n v="27"/>
    <n v="27"/>
    <n v="8"/>
    <n v="0.29629629629629628"/>
  </r>
  <r>
    <x v="0"/>
    <x v="2"/>
    <x v="0"/>
    <x v="0"/>
    <x v="13"/>
    <n v="20"/>
    <n v="20"/>
    <n v="6"/>
    <n v="0.3"/>
  </r>
  <r>
    <x v="0"/>
    <x v="2"/>
    <x v="0"/>
    <x v="0"/>
    <x v="14"/>
    <n v="18"/>
    <n v="18"/>
    <n v="4"/>
    <n v="0.22222222222222221"/>
  </r>
  <r>
    <x v="0"/>
    <x v="2"/>
    <x v="0"/>
    <x v="0"/>
    <x v="15"/>
    <n v="36"/>
    <n v="36"/>
    <n v="8"/>
    <n v="0.22222222222222221"/>
  </r>
  <r>
    <x v="0"/>
    <x v="2"/>
    <x v="0"/>
    <x v="0"/>
    <x v="16"/>
    <n v="39"/>
    <n v="39"/>
    <n v="10"/>
    <n v="0.25641025641025639"/>
  </r>
  <r>
    <x v="0"/>
    <x v="2"/>
    <x v="0"/>
    <x v="0"/>
    <x v="17"/>
    <n v="24"/>
    <n v="24"/>
    <n v="7"/>
    <n v="0.29166666666666669"/>
  </r>
  <r>
    <x v="0"/>
    <x v="2"/>
    <x v="0"/>
    <x v="1"/>
    <x v="1"/>
    <n v="1"/>
    <n v="1"/>
    <n v="1"/>
    <n v="1"/>
  </r>
  <r>
    <x v="0"/>
    <x v="2"/>
    <x v="0"/>
    <x v="1"/>
    <x v="2"/>
    <n v="7"/>
    <n v="7"/>
    <n v="5"/>
    <n v="0.7142857142857143"/>
  </r>
  <r>
    <x v="0"/>
    <x v="2"/>
    <x v="0"/>
    <x v="1"/>
    <x v="3"/>
    <n v="8"/>
    <n v="8"/>
    <n v="1"/>
    <n v="0.125"/>
  </r>
  <r>
    <x v="0"/>
    <x v="2"/>
    <x v="0"/>
    <x v="1"/>
    <x v="4"/>
    <n v="13"/>
    <n v="13"/>
    <n v="3"/>
    <n v="0.23076923076923078"/>
  </r>
  <r>
    <x v="0"/>
    <x v="2"/>
    <x v="0"/>
    <x v="1"/>
    <x v="5"/>
    <n v="17"/>
    <n v="17"/>
    <n v="5"/>
    <n v="0.29411764705882354"/>
  </r>
  <r>
    <x v="0"/>
    <x v="2"/>
    <x v="0"/>
    <x v="1"/>
    <x v="6"/>
    <n v="29"/>
    <n v="29"/>
    <n v="7"/>
    <n v="0.2413793103448276"/>
  </r>
  <r>
    <x v="0"/>
    <x v="2"/>
    <x v="0"/>
    <x v="1"/>
    <x v="7"/>
    <n v="36"/>
    <n v="36"/>
    <n v="11"/>
    <n v="0.30555555555555558"/>
  </r>
  <r>
    <x v="0"/>
    <x v="2"/>
    <x v="0"/>
    <x v="1"/>
    <x v="8"/>
    <n v="36"/>
    <n v="36"/>
    <n v="11"/>
    <n v="0.30555555555555558"/>
  </r>
  <r>
    <x v="0"/>
    <x v="2"/>
    <x v="0"/>
    <x v="1"/>
    <x v="9"/>
    <n v="48"/>
    <n v="48"/>
    <n v="16"/>
    <n v="0.33333333333333331"/>
  </r>
  <r>
    <x v="0"/>
    <x v="2"/>
    <x v="0"/>
    <x v="1"/>
    <x v="10"/>
    <n v="45"/>
    <n v="45"/>
    <n v="13"/>
    <n v="0.28888888888888886"/>
  </r>
  <r>
    <x v="0"/>
    <x v="2"/>
    <x v="0"/>
    <x v="1"/>
    <x v="11"/>
    <n v="46"/>
    <n v="46"/>
    <n v="17"/>
    <n v="0.36956521739130432"/>
  </r>
  <r>
    <x v="0"/>
    <x v="2"/>
    <x v="0"/>
    <x v="1"/>
    <x v="12"/>
    <n v="64"/>
    <n v="64"/>
    <n v="23"/>
    <n v="0.359375"/>
  </r>
  <r>
    <x v="0"/>
    <x v="2"/>
    <x v="0"/>
    <x v="1"/>
    <x v="13"/>
    <n v="63"/>
    <n v="63"/>
    <n v="16"/>
    <n v="0.25396825396825395"/>
  </r>
  <r>
    <x v="0"/>
    <x v="2"/>
    <x v="0"/>
    <x v="1"/>
    <x v="14"/>
    <n v="62"/>
    <n v="62"/>
    <n v="12"/>
    <n v="0.19354838709677419"/>
  </r>
  <r>
    <x v="0"/>
    <x v="2"/>
    <x v="0"/>
    <x v="1"/>
    <x v="15"/>
    <n v="57"/>
    <n v="57"/>
    <n v="22"/>
    <n v="0.38596491228070173"/>
  </r>
  <r>
    <x v="0"/>
    <x v="2"/>
    <x v="0"/>
    <x v="1"/>
    <x v="16"/>
    <n v="79"/>
    <n v="79"/>
    <n v="27"/>
    <n v="0.34177215189873417"/>
  </r>
  <r>
    <x v="0"/>
    <x v="2"/>
    <x v="0"/>
    <x v="1"/>
    <x v="17"/>
    <n v="80"/>
    <n v="80"/>
    <n v="27"/>
    <n v="0.33750000000000002"/>
  </r>
  <r>
    <x v="0"/>
    <x v="2"/>
    <x v="1"/>
    <x v="0"/>
    <x v="0"/>
    <n v="9"/>
    <n v="9"/>
    <n v="1"/>
    <n v="0.1111111111111111"/>
  </r>
  <r>
    <x v="0"/>
    <x v="2"/>
    <x v="1"/>
    <x v="0"/>
    <x v="1"/>
    <n v="28"/>
    <n v="28"/>
    <n v="2"/>
    <n v="7.1428571428571425E-2"/>
  </r>
  <r>
    <x v="0"/>
    <x v="2"/>
    <x v="1"/>
    <x v="0"/>
    <x v="2"/>
    <n v="58"/>
    <n v="58"/>
    <n v="10"/>
    <n v="0.17241379310344829"/>
  </r>
  <r>
    <x v="0"/>
    <x v="2"/>
    <x v="1"/>
    <x v="0"/>
    <x v="3"/>
    <n v="83"/>
    <n v="83"/>
    <n v="21"/>
    <n v="0.25301204819277107"/>
  </r>
  <r>
    <x v="0"/>
    <x v="2"/>
    <x v="1"/>
    <x v="0"/>
    <x v="4"/>
    <n v="157"/>
    <n v="157"/>
    <n v="25"/>
    <n v="0.15923566878980891"/>
  </r>
  <r>
    <x v="0"/>
    <x v="2"/>
    <x v="1"/>
    <x v="0"/>
    <x v="5"/>
    <n v="216"/>
    <n v="216"/>
    <n v="35"/>
    <n v="0.16203703703703703"/>
  </r>
  <r>
    <x v="0"/>
    <x v="2"/>
    <x v="1"/>
    <x v="0"/>
    <x v="6"/>
    <n v="199"/>
    <n v="199"/>
    <n v="30"/>
    <n v="0.15075376884422109"/>
  </r>
  <r>
    <x v="0"/>
    <x v="2"/>
    <x v="1"/>
    <x v="0"/>
    <x v="7"/>
    <n v="211"/>
    <n v="211"/>
    <n v="32"/>
    <n v="0.15165876777251186"/>
  </r>
  <r>
    <x v="0"/>
    <x v="2"/>
    <x v="1"/>
    <x v="0"/>
    <x v="8"/>
    <n v="208"/>
    <n v="208"/>
    <n v="42"/>
    <n v="0.20192307692307693"/>
  </r>
  <r>
    <x v="0"/>
    <x v="2"/>
    <x v="1"/>
    <x v="0"/>
    <x v="9"/>
    <n v="202"/>
    <n v="202"/>
    <n v="36"/>
    <n v="0.17821782178217821"/>
  </r>
  <r>
    <x v="0"/>
    <x v="2"/>
    <x v="1"/>
    <x v="0"/>
    <x v="10"/>
    <n v="279"/>
    <n v="279"/>
    <n v="52"/>
    <n v="0.1863799283154122"/>
  </r>
  <r>
    <x v="0"/>
    <x v="2"/>
    <x v="1"/>
    <x v="0"/>
    <x v="11"/>
    <n v="218"/>
    <n v="218"/>
    <n v="35"/>
    <n v="0.16055045871559634"/>
  </r>
  <r>
    <x v="0"/>
    <x v="2"/>
    <x v="1"/>
    <x v="0"/>
    <x v="12"/>
    <n v="204"/>
    <n v="204"/>
    <n v="32"/>
    <n v="0.15686274509803921"/>
  </r>
  <r>
    <x v="0"/>
    <x v="2"/>
    <x v="1"/>
    <x v="0"/>
    <x v="13"/>
    <n v="205"/>
    <n v="205"/>
    <n v="35"/>
    <n v="0.17073170731707318"/>
  </r>
  <r>
    <x v="0"/>
    <x v="2"/>
    <x v="1"/>
    <x v="0"/>
    <x v="14"/>
    <n v="217"/>
    <n v="217"/>
    <n v="33"/>
    <n v="0.15207373271889402"/>
  </r>
  <r>
    <x v="0"/>
    <x v="2"/>
    <x v="1"/>
    <x v="0"/>
    <x v="15"/>
    <n v="216"/>
    <n v="216"/>
    <n v="48"/>
    <n v="0.22222222222222221"/>
  </r>
  <r>
    <x v="0"/>
    <x v="2"/>
    <x v="1"/>
    <x v="0"/>
    <x v="16"/>
    <n v="218"/>
    <n v="218"/>
    <n v="44"/>
    <n v="0.20183486238532111"/>
  </r>
  <r>
    <x v="0"/>
    <x v="2"/>
    <x v="1"/>
    <x v="0"/>
    <x v="17"/>
    <n v="282"/>
    <n v="282"/>
    <n v="44"/>
    <n v="0.15602836879432624"/>
  </r>
  <r>
    <x v="0"/>
    <x v="2"/>
    <x v="1"/>
    <x v="1"/>
    <x v="1"/>
    <n v="12"/>
    <n v="12"/>
    <n v="3"/>
    <n v="0.25"/>
  </r>
  <r>
    <x v="0"/>
    <x v="2"/>
    <x v="1"/>
    <x v="1"/>
    <x v="2"/>
    <n v="28"/>
    <n v="28"/>
    <n v="6"/>
    <n v="0.21428571428571427"/>
  </r>
  <r>
    <x v="0"/>
    <x v="2"/>
    <x v="1"/>
    <x v="1"/>
    <x v="3"/>
    <n v="42"/>
    <n v="42"/>
    <n v="11"/>
    <n v="0.26190476190476192"/>
  </r>
  <r>
    <x v="0"/>
    <x v="2"/>
    <x v="1"/>
    <x v="1"/>
    <x v="4"/>
    <n v="66"/>
    <n v="66"/>
    <n v="16"/>
    <n v="0.24242424242424243"/>
  </r>
  <r>
    <x v="0"/>
    <x v="2"/>
    <x v="1"/>
    <x v="1"/>
    <x v="5"/>
    <n v="110"/>
    <n v="110"/>
    <n v="27"/>
    <n v="0.24545454545454545"/>
  </r>
  <r>
    <x v="0"/>
    <x v="2"/>
    <x v="1"/>
    <x v="1"/>
    <x v="6"/>
    <n v="154"/>
    <n v="154"/>
    <n v="35"/>
    <n v="0.22727272727272727"/>
  </r>
  <r>
    <x v="0"/>
    <x v="2"/>
    <x v="1"/>
    <x v="1"/>
    <x v="7"/>
    <n v="167"/>
    <n v="167"/>
    <n v="38"/>
    <n v="0.22754491017964071"/>
  </r>
  <r>
    <x v="0"/>
    <x v="2"/>
    <x v="1"/>
    <x v="1"/>
    <x v="8"/>
    <n v="188"/>
    <n v="188"/>
    <n v="57"/>
    <n v="0.30319148936170215"/>
  </r>
  <r>
    <x v="0"/>
    <x v="2"/>
    <x v="1"/>
    <x v="1"/>
    <x v="9"/>
    <n v="226"/>
    <n v="226"/>
    <n v="61"/>
    <n v="0.26991150442477874"/>
  </r>
  <r>
    <x v="0"/>
    <x v="2"/>
    <x v="1"/>
    <x v="1"/>
    <x v="10"/>
    <n v="258"/>
    <n v="258"/>
    <n v="58"/>
    <n v="0.22480620155038761"/>
  </r>
  <r>
    <x v="0"/>
    <x v="2"/>
    <x v="1"/>
    <x v="1"/>
    <x v="11"/>
    <n v="268"/>
    <n v="268"/>
    <n v="72"/>
    <n v="0.26865671641791045"/>
  </r>
  <r>
    <x v="0"/>
    <x v="2"/>
    <x v="1"/>
    <x v="1"/>
    <x v="12"/>
    <n v="279"/>
    <n v="279"/>
    <n v="56"/>
    <n v="0.20071684587813621"/>
  </r>
  <r>
    <x v="0"/>
    <x v="2"/>
    <x v="1"/>
    <x v="1"/>
    <x v="13"/>
    <n v="226"/>
    <n v="226"/>
    <n v="72"/>
    <n v="0.31858407079646017"/>
  </r>
  <r>
    <x v="0"/>
    <x v="2"/>
    <x v="1"/>
    <x v="1"/>
    <x v="14"/>
    <n v="269"/>
    <n v="269"/>
    <n v="84"/>
    <n v="0.31226765799256506"/>
  </r>
  <r>
    <x v="0"/>
    <x v="2"/>
    <x v="1"/>
    <x v="1"/>
    <x v="15"/>
    <n v="286"/>
    <n v="286"/>
    <n v="81"/>
    <n v="0.28321678321678323"/>
  </r>
  <r>
    <x v="0"/>
    <x v="2"/>
    <x v="1"/>
    <x v="1"/>
    <x v="16"/>
    <n v="308"/>
    <n v="308"/>
    <n v="89"/>
    <n v="0.28896103896103897"/>
  </r>
  <r>
    <x v="0"/>
    <x v="2"/>
    <x v="1"/>
    <x v="1"/>
    <x v="17"/>
    <n v="379"/>
    <n v="379"/>
    <n v="100"/>
    <n v="0.26385224274406333"/>
  </r>
  <r>
    <x v="0"/>
    <x v="2"/>
    <x v="2"/>
    <x v="0"/>
    <x v="0"/>
    <n v="18"/>
    <n v="18"/>
    <n v="2"/>
    <n v="0.1111111111111111"/>
  </r>
  <r>
    <x v="0"/>
    <x v="2"/>
    <x v="2"/>
    <x v="0"/>
    <x v="1"/>
    <n v="148"/>
    <n v="148"/>
    <n v="16"/>
    <n v="0.10810810810810811"/>
  </r>
  <r>
    <x v="0"/>
    <x v="2"/>
    <x v="2"/>
    <x v="0"/>
    <x v="2"/>
    <n v="239"/>
    <n v="239"/>
    <n v="28"/>
    <n v="0.11715481171548117"/>
  </r>
  <r>
    <x v="0"/>
    <x v="2"/>
    <x v="2"/>
    <x v="0"/>
    <x v="3"/>
    <n v="293"/>
    <n v="293"/>
    <n v="35"/>
    <n v="0.11945392491467577"/>
  </r>
  <r>
    <x v="0"/>
    <x v="2"/>
    <x v="2"/>
    <x v="0"/>
    <x v="4"/>
    <n v="463"/>
    <n v="463"/>
    <n v="64"/>
    <n v="0.13822894168466524"/>
  </r>
  <r>
    <x v="0"/>
    <x v="2"/>
    <x v="2"/>
    <x v="0"/>
    <x v="5"/>
    <n v="511"/>
    <n v="511"/>
    <n v="68"/>
    <n v="0.13307240704500978"/>
  </r>
  <r>
    <x v="0"/>
    <x v="2"/>
    <x v="2"/>
    <x v="0"/>
    <x v="6"/>
    <n v="442"/>
    <n v="442"/>
    <n v="63"/>
    <n v="0.1425339366515837"/>
  </r>
  <r>
    <x v="0"/>
    <x v="2"/>
    <x v="2"/>
    <x v="0"/>
    <x v="7"/>
    <n v="497"/>
    <n v="497"/>
    <n v="81"/>
    <n v="0.16297786720321933"/>
  </r>
  <r>
    <x v="0"/>
    <x v="2"/>
    <x v="2"/>
    <x v="0"/>
    <x v="8"/>
    <n v="498"/>
    <n v="498"/>
    <n v="77"/>
    <n v="0.15461847389558234"/>
  </r>
  <r>
    <x v="0"/>
    <x v="2"/>
    <x v="2"/>
    <x v="0"/>
    <x v="9"/>
    <n v="328"/>
    <n v="328"/>
    <n v="64"/>
    <n v="0.1951219512195122"/>
  </r>
  <r>
    <x v="0"/>
    <x v="2"/>
    <x v="2"/>
    <x v="0"/>
    <x v="10"/>
    <n v="419"/>
    <n v="419"/>
    <n v="59"/>
    <n v="0.14081145584725538"/>
  </r>
  <r>
    <x v="0"/>
    <x v="2"/>
    <x v="2"/>
    <x v="0"/>
    <x v="11"/>
    <n v="370"/>
    <n v="370"/>
    <n v="58"/>
    <n v="0.15675675675675677"/>
  </r>
  <r>
    <x v="0"/>
    <x v="2"/>
    <x v="2"/>
    <x v="0"/>
    <x v="12"/>
    <n v="343"/>
    <n v="343"/>
    <n v="53"/>
    <n v="0.15451895043731778"/>
  </r>
  <r>
    <x v="0"/>
    <x v="2"/>
    <x v="2"/>
    <x v="0"/>
    <x v="13"/>
    <n v="315"/>
    <n v="315"/>
    <n v="58"/>
    <n v="0.18412698412698414"/>
  </r>
  <r>
    <x v="0"/>
    <x v="2"/>
    <x v="2"/>
    <x v="0"/>
    <x v="14"/>
    <n v="339"/>
    <n v="339"/>
    <n v="53"/>
    <n v="0.15634218289085547"/>
  </r>
  <r>
    <x v="0"/>
    <x v="2"/>
    <x v="2"/>
    <x v="0"/>
    <x v="15"/>
    <n v="384"/>
    <n v="384"/>
    <n v="55"/>
    <n v="0.14322916666666666"/>
  </r>
  <r>
    <x v="0"/>
    <x v="2"/>
    <x v="2"/>
    <x v="0"/>
    <x v="16"/>
    <n v="444"/>
    <n v="444"/>
    <n v="68"/>
    <n v="0.15315315315315314"/>
  </r>
  <r>
    <x v="0"/>
    <x v="2"/>
    <x v="2"/>
    <x v="0"/>
    <x v="17"/>
    <n v="520"/>
    <n v="520"/>
    <n v="82"/>
    <n v="0.15769230769230769"/>
  </r>
  <r>
    <x v="0"/>
    <x v="2"/>
    <x v="2"/>
    <x v="1"/>
    <x v="0"/>
    <n v="8"/>
    <n v="8"/>
    <n v="7"/>
    <n v="0.875"/>
  </r>
  <r>
    <x v="0"/>
    <x v="2"/>
    <x v="2"/>
    <x v="1"/>
    <x v="1"/>
    <n v="24"/>
    <n v="24"/>
    <n v="13"/>
    <n v="0.54166666666666663"/>
  </r>
  <r>
    <x v="0"/>
    <x v="2"/>
    <x v="2"/>
    <x v="1"/>
    <x v="2"/>
    <n v="67"/>
    <n v="67"/>
    <n v="31"/>
    <n v="0.46268656716417911"/>
  </r>
  <r>
    <x v="0"/>
    <x v="2"/>
    <x v="2"/>
    <x v="1"/>
    <x v="3"/>
    <n v="121"/>
    <n v="121"/>
    <n v="33"/>
    <n v="0.27272727272727271"/>
  </r>
  <r>
    <x v="0"/>
    <x v="2"/>
    <x v="2"/>
    <x v="1"/>
    <x v="4"/>
    <n v="160"/>
    <n v="160"/>
    <n v="42"/>
    <n v="0.26250000000000001"/>
  </r>
  <r>
    <x v="0"/>
    <x v="2"/>
    <x v="2"/>
    <x v="1"/>
    <x v="5"/>
    <n v="249"/>
    <n v="249"/>
    <n v="64"/>
    <n v="0.25702811244979917"/>
  </r>
  <r>
    <x v="0"/>
    <x v="2"/>
    <x v="2"/>
    <x v="1"/>
    <x v="6"/>
    <n v="298"/>
    <n v="298"/>
    <n v="72"/>
    <n v="0.24161073825503357"/>
  </r>
  <r>
    <x v="0"/>
    <x v="2"/>
    <x v="2"/>
    <x v="1"/>
    <x v="7"/>
    <n v="331"/>
    <n v="331"/>
    <n v="80"/>
    <n v="0.24169184290030213"/>
  </r>
  <r>
    <x v="0"/>
    <x v="2"/>
    <x v="2"/>
    <x v="1"/>
    <x v="8"/>
    <n v="382"/>
    <n v="382"/>
    <n v="100"/>
    <n v="0.26178010471204188"/>
  </r>
  <r>
    <x v="0"/>
    <x v="2"/>
    <x v="2"/>
    <x v="1"/>
    <x v="9"/>
    <n v="385"/>
    <n v="385"/>
    <n v="95"/>
    <n v="0.24675324675324675"/>
  </r>
  <r>
    <x v="0"/>
    <x v="2"/>
    <x v="2"/>
    <x v="1"/>
    <x v="10"/>
    <n v="387"/>
    <n v="387"/>
    <n v="109"/>
    <n v="0.28165374677002586"/>
  </r>
  <r>
    <x v="0"/>
    <x v="2"/>
    <x v="2"/>
    <x v="1"/>
    <x v="11"/>
    <n v="402"/>
    <n v="402"/>
    <n v="105"/>
    <n v="0.26119402985074625"/>
  </r>
  <r>
    <x v="0"/>
    <x v="2"/>
    <x v="2"/>
    <x v="1"/>
    <x v="12"/>
    <n v="388"/>
    <n v="388"/>
    <n v="108"/>
    <n v="0.27835051546391754"/>
  </r>
  <r>
    <x v="0"/>
    <x v="2"/>
    <x v="2"/>
    <x v="1"/>
    <x v="13"/>
    <n v="386"/>
    <n v="386"/>
    <n v="111"/>
    <n v="0.28756476683937826"/>
  </r>
  <r>
    <x v="0"/>
    <x v="2"/>
    <x v="2"/>
    <x v="1"/>
    <x v="14"/>
    <n v="391"/>
    <n v="391"/>
    <n v="122"/>
    <n v="0.31202046035805625"/>
  </r>
  <r>
    <x v="0"/>
    <x v="2"/>
    <x v="2"/>
    <x v="1"/>
    <x v="15"/>
    <n v="410"/>
    <n v="410"/>
    <n v="139"/>
    <n v="0.33902439024390246"/>
  </r>
  <r>
    <x v="0"/>
    <x v="2"/>
    <x v="2"/>
    <x v="1"/>
    <x v="16"/>
    <n v="454"/>
    <n v="454"/>
    <n v="138"/>
    <n v="0.30396475770925108"/>
  </r>
  <r>
    <x v="0"/>
    <x v="2"/>
    <x v="2"/>
    <x v="1"/>
    <x v="17"/>
    <n v="512"/>
    <n v="512"/>
    <n v="170"/>
    <n v="0.33203125"/>
  </r>
  <r>
    <x v="0"/>
    <x v="2"/>
    <x v="3"/>
    <x v="0"/>
    <x v="0"/>
    <n v="125"/>
    <n v="125"/>
    <n v="28"/>
    <n v="0.224"/>
  </r>
  <r>
    <x v="0"/>
    <x v="2"/>
    <x v="3"/>
    <x v="0"/>
    <x v="1"/>
    <n v="666"/>
    <n v="666"/>
    <n v="102"/>
    <n v="0.15315315315315314"/>
  </r>
  <r>
    <x v="0"/>
    <x v="2"/>
    <x v="3"/>
    <x v="0"/>
    <x v="2"/>
    <n v="884"/>
    <n v="884"/>
    <n v="109"/>
    <n v="0.12330316742081449"/>
  </r>
  <r>
    <x v="0"/>
    <x v="2"/>
    <x v="3"/>
    <x v="0"/>
    <x v="3"/>
    <n v="1248"/>
    <n v="1248"/>
    <n v="181"/>
    <n v="0.14503205128205129"/>
  </r>
  <r>
    <x v="0"/>
    <x v="2"/>
    <x v="3"/>
    <x v="0"/>
    <x v="4"/>
    <n v="1988"/>
    <n v="1988"/>
    <n v="277"/>
    <n v="0.13933601609657947"/>
  </r>
  <r>
    <x v="0"/>
    <x v="2"/>
    <x v="3"/>
    <x v="0"/>
    <x v="5"/>
    <n v="2398"/>
    <n v="2398"/>
    <n v="321"/>
    <n v="0.13386155129274396"/>
  </r>
  <r>
    <x v="0"/>
    <x v="2"/>
    <x v="3"/>
    <x v="0"/>
    <x v="6"/>
    <n v="2192"/>
    <n v="2192"/>
    <n v="353"/>
    <n v="0.16104014598540145"/>
  </r>
  <r>
    <x v="0"/>
    <x v="2"/>
    <x v="3"/>
    <x v="0"/>
    <x v="7"/>
    <n v="2533"/>
    <n v="2533"/>
    <n v="288"/>
    <n v="0.1136991709435452"/>
  </r>
  <r>
    <x v="0"/>
    <x v="2"/>
    <x v="3"/>
    <x v="0"/>
    <x v="8"/>
    <n v="2299"/>
    <n v="2299"/>
    <n v="315"/>
    <n v="0.137016093953893"/>
  </r>
  <r>
    <x v="0"/>
    <x v="2"/>
    <x v="3"/>
    <x v="0"/>
    <x v="9"/>
    <n v="2257"/>
    <n v="2257"/>
    <n v="360"/>
    <n v="0.15950376606114311"/>
  </r>
  <r>
    <x v="0"/>
    <x v="2"/>
    <x v="3"/>
    <x v="0"/>
    <x v="10"/>
    <n v="2760"/>
    <n v="2760"/>
    <n v="420"/>
    <n v="0.15217391304347827"/>
  </r>
  <r>
    <x v="0"/>
    <x v="2"/>
    <x v="3"/>
    <x v="0"/>
    <x v="11"/>
    <n v="2896"/>
    <n v="2896"/>
    <n v="390"/>
    <n v="0.13466850828729282"/>
  </r>
  <r>
    <x v="0"/>
    <x v="2"/>
    <x v="3"/>
    <x v="0"/>
    <x v="12"/>
    <n v="2352"/>
    <n v="2352"/>
    <n v="316"/>
    <n v="0.13435374149659865"/>
  </r>
  <r>
    <x v="0"/>
    <x v="2"/>
    <x v="3"/>
    <x v="0"/>
    <x v="13"/>
    <n v="2187"/>
    <n v="2187"/>
    <n v="310"/>
    <n v="0.14174668495656151"/>
  </r>
  <r>
    <x v="0"/>
    <x v="2"/>
    <x v="3"/>
    <x v="0"/>
    <x v="14"/>
    <n v="2440"/>
    <n v="2440"/>
    <n v="361"/>
    <n v="0.14795081967213114"/>
  </r>
  <r>
    <x v="0"/>
    <x v="2"/>
    <x v="3"/>
    <x v="0"/>
    <x v="15"/>
    <n v="2410"/>
    <n v="2410"/>
    <n v="361"/>
    <n v="0.14979253112033195"/>
  </r>
  <r>
    <x v="0"/>
    <x v="2"/>
    <x v="3"/>
    <x v="0"/>
    <x v="16"/>
    <n v="2865"/>
    <n v="2865"/>
    <n v="490"/>
    <n v="0.17102966841186737"/>
  </r>
  <r>
    <x v="0"/>
    <x v="2"/>
    <x v="3"/>
    <x v="0"/>
    <x v="17"/>
    <n v="3056"/>
    <n v="3056"/>
    <n v="513"/>
    <n v="0.16786649214659685"/>
  </r>
  <r>
    <x v="0"/>
    <x v="2"/>
    <x v="3"/>
    <x v="1"/>
    <x v="0"/>
    <n v="3"/>
    <n v="3"/>
    <n v="0"/>
    <n v="0"/>
  </r>
  <r>
    <x v="0"/>
    <x v="2"/>
    <x v="3"/>
    <x v="1"/>
    <x v="1"/>
    <n v="93"/>
    <n v="93"/>
    <n v="32"/>
    <n v="0.34408602150537637"/>
  </r>
  <r>
    <x v="0"/>
    <x v="2"/>
    <x v="3"/>
    <x v="1"/>
    <x v="2"/>
    <n v="282"/>
    <n v="282"/>
    <n v="78"/>
    <n v="0.27659574468085107"/>
  </r>
  <r>
    <x v="0"/>
    <x v="2"/>
    <x v="3"/>
    <x v="1"/>
    <x v="3"/>
    <n v="475"/>
    <n v="475"/>
    <n v="120"/>
    <n v="0.25263157894736843"/>
  </r>
  <r>
    <x v="0"/>
    <x v="2"/>
    <x v="3"/>
    <x v="1"/>
    <x v="4"/>
    <n v="727"/>
    <n v="727"/>
    <n v="160"/>
    <n v="0.2200825309491059"/>
  </r>
  <r>
    <x v="0"/>
    <x v="2"/>
    <x v="3"/>
    <x v="1"/>
    <x v="5"/>
    <n v="1057"/>
    <n v="1057"/>
    <n v="275"/>
    <n v="0.26017029328287605"/>
  </r>
  <r>
    <x v="0"/>
    <x v="2"/>
    <x v="3"/>
    <x v="1"/>
    <x v="6"/>
    <n v="1361"/>
    <n v="1361"/>
    <n v="351"/>
    <n v="0.25789860396767084"/>
  </r>
  <r>
    <x v="0"/>
    <x v="2"/>
    <x v="3"/>
    <x v="1"/>
    <x v="7"/>
    <n v="1588"/>
    <n v="1588"/>
    <n v="432"/>
    <n v="0.27204030226700254"/>
  </r>
  <r>
    <x v="0"/>
    <x v="2"/>
    <x v="3"/>
    <x v="1"/>
    <x v="8"/>
    <n v="1667"/>
    <n v="1667"/>
    <n v="456"/>
    <n v="0.27354529094181163"/>
  </r>
  <r>
    <x v="0"/>
    <x v="2"/>
    <x v="3"/>
    <x v="1"/>
    <x v="9"/>
    <n v="1726"/>
    <n v="1726"/>
    <n v="523"/>
    <n v="0.30301274623406721"/>
  </r>
  <r>
    <x v="0"/>
    <x v="2"/>
    <x v="3"/>
    <x v="1"/>
    <x v="10"/>
    <n v="2118"/>
    <n v="2118"/>
    <n v="591"/>
    <n v="0.27903682719546741"/>
  </r>
  <r>
    <x v="0"/>
    <x v="2"/>
    <x v="3"/>
    <x v="1"/>
    <x v="11"/>
    <n v="2290"/>
    <n v="2290"/>
    <n v="556"/>
    <n v="0.2427947598253275"/>
  </r>
  <r>
    <x v="0"/>
    <x v="2"/>
    <x v="3"/>
    <x v="1"/>
    <x v="12"/>
    <n v="2064"/>
    <n v="2064"/>
    <n v="511"/>
    <n v="0.24757751937984496"/>
  </r>
  <r>
    <x v="0"/>
    <x v="2"/>
    <x v="3"/>
    <x v="1"/>
    <x v="13"/>
    <n v="2079"/>
    <n v="2079"/>
    <n v="558"/>
    <n v="0.26839826839826841"/>
  </r>
  <r>
    <x v="0"/>
    <x v="2"/>
    <x v="3"/>
    <x v="1"/>
    <x v="14"/>
    <n v="2255"/>
    <n v="2255"/>
    <n v="663"/>
    <n v="0.29401330376940132"/>
  </r>
  <r>
    <x v="0"/>
    <x v="2"/>
    <x v="3"/>
    <x v="1"/>
    <x v="15"/>
    <n v="2451"/>
    <n v="2451"/>
    <n v="676"/>
    <n v="0.27580579355365159"/>
  </r>
  <r>
    <x v="0"/>
    <x v="2"/>
    <x v="3"/>
    <x v="1"/>
    <x v="16"/>
    <n v="2669"/>
    <n v="2669"/>
    <n v="789"/>
    <n v="0.29561633570625701"/>
  </r>
  <r>
    <x v="0"/>
    <x v="2"/>
    <x v="3"/>
    <x v="1"/>
    <x v="17"/>
    <n v="3091"/>
    <n v="3091"/>
    <n v="888"/>
    <n v="0.28728566806858624"/>
  </r>
  <r>
    <x v="1"/>
    <x v="3"/>
    <x v="0"/>
    <x v="0"/>
    <x v="0"/>
    <n v="37"/>
    <n v="37"/>
    <n v="8"/>
    <n v="0.21621621621621623"/>
  </r>
  <r>
    <x v="1"/>
    <x v="3"/>
    <x v="0"/>
    <x v="0"/>
    <x v="1"/>
    <n v="28"/>
    <n v="28"/>
    <n v="5"/>
    <n v="0.17857142857142858"/>
  </r>
  <r>
    <x v="1"/>
    <x v="3"/>
    <x v="0"/>
    <x v="0"/>
    <x v="2"/>
    <n v="23"/>
    <n v="23"/>
    <n v="3"/>
    <n v="0.13043478260869565"/>
  </r>
  <r>
    <x v="1"/>
    <x v="3"/>
    <x v="0"/>
    <x v="0"/>
    <x v="3"/>
    <n v="48"/>
    <n v="48"/>
    <n v="9"/>
    <n v="0.1875"/>
  </r>
  <r>
    <x v="1"/>
    <x v="3"/>
    <x v="0"/>
    <x v="0"/>
    <x v="4"/>
    <n v="33"/>
    <n v="33"/>
    <n v="5"/>
    <n v="0.15151515151515152"/>
  </r>
  <r>
    <x v="1"/>
    <x v="3"/>
    <x v="0"/>
    <x v="0"/>
    <x v="5"/>
    <n v="29"/>
    <n v="29"/>
    <n v="5"/>
    <n v="0.17241379310344829"/>
  </r>
  <r>
    <x v="1"/>
    <x v="3"/>
    <x v="0"/>
    <x v="0"/>
    <x v="6"/>
    <n v="28"/>
    <n v="28"/>
    <n v="10"/>
    <n v="0.35714285714285715"/>
  </r>
  <r>
    <x v="1"/>
    <x v="3"/>
    <x v="0"/>
    <x v="0"/>
    <x v="7"/>
    <n v="31"/>
    <n v="31"/>
    <n v="5"/>
    <n v="0.16129032258064516"/>
  </r>
  <r>
    <x v="1"/>
    <x v="3"/>
    <x v="0"/>
    <x v="0"/>
    <x v="8"/>
    <n v="22"/>
    <n v="22"/>
    <n v="3"/>
    <n v="0.13636363636363635"/>
  </r>
  <r>
    <x v="1"/>
    <x v="3"/>
    <x v="0"/>
    <x v="0"/>
    <x v="9"/>
    <n v="29"/>
    <n v="29"/>
    <n v="3"/>
    <n v="0.10344827586206896"/>
  </r>
  <r>
    <x v="1"/>
    <x v="3"/>
    <x v="0"/>
    <x v="0"/>
    <x v="10"/>
    <n v="33"/>
    <n v="33"/>
    <n v="5"/>
    <n v="0.15151515151515152"/>
  </r>
  <r>
    <x v="1"/>
    <x v="3"/>
    <x v="0"/>
    <x v="0"/>
    <x v="11"/>
    <n v="38"/>
    <n v="38"/>
    <n v="5"/>
    <n v="0.13157894736842105"/>
  </r>
  <r>
    <x v="1"/>
    <x v="3"/>
    <x v="0"/>
    <x v="0"/>
    <x v="12"/>
    <n v="33"/>
    <n v="33"/>
    <n v="8"/>
    <n v="0.24242424242424243"/>
  </r>
  <r>
    <x v="1"/>
    <x v="3"/>
    <x v="0"/>
    <x v="0"/>
    <x v="13"/>
    <n v="34"/>
    <n v="34"/>
    <n v="3"/>
    <n v="8.8235294117647065E-2"/>
  </r>
  <r>
    <x v="1"/>
    <x v="3"/>
    <x v="0"/>
    <x v="0"/>
    <x v="14"/>
    <n v="30"/>
    <n v="30"/>
    <n v="5"/>
    <n v="0.16666666666666666"/>
  </r>
  <r>
    <x v="1"/>
    <x v="3"/>
    <x v="0"/>
    <x v="0"/>
    <x v="15"/>
    <n v="39"/>
    <n v="39"/>
    <n v="6"/>
    <n v="0.15384615384615385"/>
  </r>
  <r>
    <x v="1"/>
    <x v="3"/>
    <x v="0"/>
    <x v="0"/>
    <x v="16"/>
    <n v="33"/>
    <n v="33"/>
    <n v="9"/>
    <n v="0.27272727272727271"/>
  </r>
  <r>
    <x v="1"/>
    <x v="3"/>
    <x v="0"/>
    <x v="0"/>
    <x v="17"/>
    <n v="57"/>
    <n v="57"/>
    <n v="12"/>
    <n v="0.21052631578947367"/>
  </r>
  <r>
    <x v="1"/>
    <x v="3"/>
    <x v="0"/>
    <x v="1"/>
    <x v="0"/>
    <n v="14"/>
    <n v="14"/>
    <n v="2"/>
    <n v="0.14285714285714285"/>
  </r>
  <r>
    <x v="1"/>
    <x v="3"/>
    <x v="0"/>
    <x v="1"/>
    <x v="1"/>
    <n v="25"/>
    <n v="25"/>
    <n v="5"/>
    <n v="0.2"/>
  </r>
  <r>
    <x v="1"/>
    <x v="3"/>
    <x v="0"/>
    <x v="1"/>
    <x v="2"/>
    <n v="42"/>
    <n v="42"/>
    <n v="12"/>
    <n v="0.2857142857142857"/>
  </r>
  <r>
    <x v="1"/>
    <x v="3"/>
    <x v="0"/>
    <x v="1"/>
    <x v="3"/>
    <n v="44"/>
    <n v="44"/>
    <n v="9"/>
    <n v="0.20454545454545456"/>
  </r>
  <r>
    <x v="1"/>
    <x v="3"/>
    <x v="0"/>
    <x v="1"/>
    <x v="4"/>
    <n v="48"/>
    <n v="48"/>
    <n v="16"/>
    <n v="0.33333333333333331"/>
  </r>
  <r>
    <x v="1"/>
    <x v="3"/>
    <x v="0"/>
    <x v="1"/>
    <x v="5"/>
    <n v="54"/>
    <n v="54"/>
    <n v="13"/>
    <n v="0.24074074074074073"/>
  </r>
  <r>
    <x v="1"/>
    <x v="3"/>
    <x v="0"/>
    <x v="1"/>
    <x v="6"/>
    <n v="57"/>
    <n v="57"/>
    <n v="15"/>
    <n v="0.26315789473684209"/>
  </r>
  <r>
    <x v="1"/>
    <x v="3"/>
    <x v="0"/>
    <x v="1"/>
    <x v="7"/>
    <n v="91"/>
    <n v="91"/>
    <n v="27"/>
    <n v="0.2967032967032967"/>
  </r>
  <r>
    <x v="1"/>
    <x v="3"/>
    <x v="0"/>
    <x v="1"/>
    <x v="8"/>
    <n v="86"/>
    <n v="86"/>
    <n v="17"/>
    <n v="0.19767441860465115"/>
  </r>
  <r>
    <x v="1"/>
    <x v="3"/>
    <x v="0"/>
    <x v="1"/>
    <x v="9"/>
    <n v="106"/>
    <n v="106"/>
    <n v="27"/>
    <n v="0.25471698113207547"/>
  </r>
  <r>
    <x v="1"/>
    <x v="3"/>
    <x v="0"/>
    <x v="1"/>
    <x v="10"/>
    <n v="133"/>
    <n v="133"/>
    <n v="23"/>
    <n v="0.17293233082706766"/>
  </r>
  <r>
    <x v="1"/>
    <x v="3"/>
    <x v="0"/>
    <x v="1"/>
    <x v="11"/>
    <n v="104"/>
    <n v="104"/>
    <n v="21"/>
    <n v="0.20192307692307693"/>
  </r>
  <r>
    <x v="1"/>
    <x v="3"/>
    <x v="0"/>
    <x v="1"/>
    <x v="12"/>
    <n v="105"/>
    <n v="105"/>
    <n v="27"/>
    <n v="0.25714285714285712"/>
  </r>
  <r>
    <x v="1"/>
    <x v="3"/>
    <x v="0"/>
    <x v="1"/>
    <x v="13"/>
    <n v="126"/>
    <n v="126"/>
    <n v="33"/>
    <n v="0.26190476190476192"/>
  </r>
  <r>
    <x v="1"/>
    <x v="3"/>
    <x v="0"/>
    <x v="1"/>
    <x v="14"/>
    <n v="136"/>
    <n v="136"/>
    <n v="32"/>
    <n v="0.23529411764705882"/>
  </r>
  <r>
    <x v="1"/>
    <x v="3"/>
    <x v="0"/>
    <x v="1"/>
    <x v="15"/>
    <n v="144"/>
    <n v="144"/>
    <n v="48"/>
    <n v="0.33333333333333331"/>
  </r>
  <r>
    <x v="1"/>
    <x v="3"/>
    <x v="0"/>
    <x v="1"/>
    <x v="16"/>
    <n v="134"/>
    <n v="134"/>
    <n v="40"/>
    <n v="0.29850746268656714"/>
  </r>
  <r>
    <x v="1"/>
    <x v="3"/>
    <x v="0"/>
    <x v="1"/>
    <x v="17"/>
    <n v="186"/>
    <n v="186"/>
    <n v="47"/>
    <n v="0.25268817204301075"/>
  </r>
  <r>
    <x v="1"/>
    <x v="3"/>
    <x v="1"/>
    <x v="0"/>
    <x v="0"/>
    <n v="978"/>
    <n v="978"/>
    <n v="145"/>
    <n v="0.14826175869120656"/>
  </r>
  <r>
    <x v="1"/>
    <x v="3"/>
    <x v="1"/>
    <x v="0"/>
    <x v="1"/>
    <n v="1006"/>
    <n v="1006"/>
    <n v="139"/>
    <n v="0.13817097415506957"/>
  </r>
  <r>
    <x v="1"/>
    <x v="3"/>
    <x v="1"/>
    <x v="0"/>
    <x v="2"/>
    <n v="1157"/>
    <n v="1157"/>
    <n v="156"/>
    <n v="0.1348314606741573"/>
  </r>
  <r>
    <x v="1"/>
    <x v="3"/>
    <x v="1"/>
    <x v="0"/>
    <x v="3"/>
    <n v="1635"/>
    <n v="1635"/>
    <n v="232"/>
    <n v="0.14189602446483179"/>
  </r>
  <r>
    <x v="1"/>
    <x v="3"/>
    <x v="1"/>
    <x v="0"/>
    <x v="4"/>
    <n v="1479"/>
    <n v="1479"/>
    <n v="201"/>
    <n v="0.13590263691683571"/>
  </r>
  <r>
    <x v="1"/>
    <x v="3"/>
    <x v="1"/>
    <x v="0"/>
    <x v="5"/>
    <n v="1101"/>
    <n v="1101"/>
    <n v="120"/>
    <n v="0.10899182561307902"/>
  </r>
  <r>
    <x v="1"/>
    <x v="3"/>
    <x v="1"/>
    <x v="0"/>
    <x v="6"/>
    <n v="1055"/>
    <n v="1055"/>
    <n v="151"/>
    <n v="0.14312796208530806"/>
  </r>
  <r>
    <x v="1"/>
    <x v="3"/>
    <x v="1"/>
    <x v="0"/>
    <x v="7"/>
    <n v="1076"/>
    <n v="1076"/>
    <n v="158"/>
    <n v="0.14684014869888476"/>
  </r>
  <r>
    <x v="1"/>
    <x v="3"/>
    <x v="1"/>
    <x v="0"/>
    <x v="8"/>
    <n v="1117"/>
    <n v="1117"/>
    <n v="146"/>
    <n v="0.13070725156669652"/>
  </r>
  <r>
    <x v="1"/>
    <x v="3"/>
    <x v="1"/>
    <x v="0"/>
    <x v="9"/>
    <n v="1104"/>
    <n v="1104"/>
    <n v="168"/>
    <n v="0.15217391304347827"/>
  </r>
  <r>
    <x v="1"/>
    <x v="3"/>
    <x v="1"/>
    <x v="0"/>
    <x v="10"/>
    <n v="1593"/>
    <n v="1593"/>
    <n v="231"/>
    <n v="0.14500941619585686"/>
  </r>
  <r>
    <x v="1"/>
    <x v="3"/>
    <x v="1"/>
    <x v="0"/>
    <x v="11"/>
    <n v="1583"/>
    <n v="1583"/>
    <n v="205"/>
    <n v="0.12950094756790903"/>
  </r>
  <r>
    <x v="1"/>
    <x v="3"/>
    <x v="1"/>
    <x v="0"/>
    <x v="12"/>
    <n v="1289"/>
    <n v="1289"/>
    <n v="189"/>
    <n v="0.14662529092319629"/>
  </r>
  <r>
    <x v="1"/>
    <x v="3"/>
    <x v="1"/>
    <x v="0"/>
    <x v="13"/>
    <n v="1188"/>
    <n v="1188"/>
    <n v="165"/>
    <n v="0.1388888888888889"/>
  </r>
  <r>
    <x v="1"/>
    <x v="3"/>
    <x v="1"/>
    <x v="0"/>
    <x v="14"/>
    <n v="1102"/>
    <n v="1102"/>
    <n v="156"/>
    <n v="0.14156079854809436"/>
  </r>
  <r>
    <x v="1"/>
    <x v="3"/>
    <x v="1"/>
    <x v="0"/>
    <x v="15"/>
    <n v="1139"/>
    <n v="1139"/>
    <n v="154"/>
    <n v="0.13520632133450394"/>
  </r>
  <r>
    <x v="1"/>
    <x v="3"/>
    <x v="1"/>
    <x v="0"/>
    <x v="16"/>
    <n v="1329"/>
    <n v="1329"/>
    <n v="204"/>
    <n v="0.15349887133182843"/>
  </r>
  <r>
    <x v="1"/>
    <x v="3"/>
    <x v="1"/>
    <x v="0"/>
    <x v="17"/>
    <n v="1569"/>
    <n v="1569"/>
    <n v="259"/>
    <n v="0.16507329509241556"/>
  </r>
  <r>
    <x v="1"/>
    <x v="3"/>
    <x v="1"/>
    <x v="1"/>
    <x v="0"/>
    <n v="715"/>
    <n v="715"/>
    <n v="90"/>
    <n v="0.12587412587412589"/>
  </r>
  <r>
    <x v="1"/>
    <x v="3"/>
    <x v="1"/>
    <x v="1"/>
    <x v="1"/>
    <n v="1203"/>
    <n v="1203"/>
    <n v="258"/>
    <n v="0.21446384039900249"/>
  </r>
  <r>
    <x v="1"/>
    <x v="3"/>
    <x v="1"/>
    <x v="1"/>
    <x v="2"/>
    <n v="1498"/>
    <n v="1498"/>
    <n v="310"/>
    <n v="0.20694259012016022"/>
  </r>
  <r>
    <x v="1"/>
    <x v="3"/>
    <x v="1"/>
    <x v="1"/>
    <x v="3"/>
    <n v="2174"/>
    <n v="2174"/>
    <n v="483"/>
    <n v="0.22217111315547378"/>
  </r>
  <r>
    <x v="1"/>
    <x v="3"/>
    <x v="1"/>
    <x v="1"/>
    <x v="4"/>
    <n v="2462"/>
    <n v="2462"/>
    <n v="544"/>
    <n v="0.22095857026807472"/>
  </r>
  <r>
    <x v="1"/>
    <x v="3"/>
    <x v="1"/>
    <x v="1"/>
    <x v="5"/>
    <n v="2222"/>
    <n v="2222"/>
    <n v="401"/>
    <n v="0.18046804680468045"/>
  </r>
  <r>
    <x v="1"/>
    <x v="3"/>
    <x v="1"/>
    <x v="1"/>
    <x v="6"/>
    <n v="2067"/>
    <n v="2067"/>
    <n v="405"/>
    <n v="0.19593613933236576"/>
  </r>
  <r>
    <x v="1"/>
    <x v="3"/>
    <x v="1"/>
    <x v="1"/>
    <x v="7"/>
    <n v="2519"/>
    <n v="2519"/>
    <n v="637"/>
    <n v="0.25287812624057165"/>
  </r>
  <r>
    <x v="1"/>
    <x v="3"/>
    <x v="1"/>
    <x v="1"/>
    <x v="8"/>
    <n v="3041"/>
    <n v="3041"/>
    <n v="781"/>
    <n v="0.25682341335087144"/>
  </r>
  <r>
    <x v="1"/>
    <x v="3"/>
    <x v="1"/>
    <x v="1"/>
    <x v="9"/>
    <n v="3632"/>
    <n v="3632"/>
    <n v="935"/>
    <n v="0.25743392070484583"/>
  </r>
  <r>
    <x v="1"/>
    <x v="3"/>
    <x v="1"/>
    <x v="1"/>
    <x v="10"/>
    <n v="4675"/>
    <n v="4675"/>
    <n v="1024"/>
    <n v="0.2190374331550802"/>
  </r>
  <r>
    <x v="1"/>
    <x v="3"/>
    <x v="1"/>
    <x v="1"/>
    <x v="11"/>
    <n v="4562"/>
    <n v="4562"/>
    <n v="888"/>
    <n v="0.19465146865409907"/>
  </r>
  <r>
    <x v="1"/>
    <x v="3"/>
    <x v="1"/>
    <x v="1"/>
    <x v="12"/>
    <n v="3744"/>
    <n v="3744"/>
    <n v="705"/>
    <n v="0.18830128205128205"/>
  </r>
  <r>
    <x v="1"/>
    <x v="3"/>
    <x v="1"/>
    <x v="1"/>
    <x v="13"/>
    <n v="3604"/>
    <n v="3604"/>
    <n v="705"/>
    <n v="0.1956159822419534"/>
  </r>
  <r>
    <x v="1"/>
    <x v="3"/>
    <x v="1"/>
    <x v="1"/>
    <x v="14"/>
    <n v="3548"/>
    <n v="3548"/>
    <n v="708"/>
    <n v="0.19954904171364149"/>
  </r>
  <r>
    <x v="1"/>
    <x v="3"/>
    <x v="1"/>
    <x v="1"/>
    <x v="15"/>
    <n v="3948"/>
    <n v="3948"/>
    <n v="878"/>
    <n v="0.22239108409321176"/>
  </r>
  <r>
    <x v="1"/>
    <x v="3"/>
    <x v="1"/>
    <x v="1"/>
    <x v="16"/>
    <n v="4420"/>
    <n v="4420"/>
    <n v="1118"/>
    <n v="0.25294117647058822"/>
  </r>
  <r>
    <x v="1"/>
    <x v="3"/>
    <x v="1"/>
    <x v="1"/>
    <x v="17"/>
    <n v="5783"/>
    <n v="5783"/>
    <n v="1518"/>
    <n v="0.26249351547639632"/>
  </r>
  <r>
    <x v="1"/>
    <x v="3"/>
    <x v="2"/>
    <x v="0"/>
    <x v="0"/>
    <n v="362"/>
    <n v="362"/>
    <n v="80"/>
    <n v="0.22099447513812154"/>
  </r>
  <r>
    <x v="1"/>
    <x v="3"/>
    <x v="2"/>
    <x v="0"/>
    <x v="1"/>
    <n v="323"/>
    <n v="323"/>
    <n v="62"/>
    <n v="0.19195046439628483"/>
  </r>
  <r>
    <x v="1"/>
    <x v="3"/>
    <x v="2"/>
    <x v="0"/>
    <x v="2"/>
    <n v="401"/>
    <n v="401"/>
    <n v="68"/>
    <n v="0.16957605985037408"/>
  </r>
  <r>
    <x v="1"/>
    <x v="3"/>
    <x v="2"/>
    <x v="0"/>
    <x v="3"/>
    <n v="424"/>
    <n v="424"/>
    <n v="61"/>
    <n v="0.14386792452830188"/>
  </r>
  <r>
    <x v="1"/>
    <x v="3"/>
    <x v="2"/>
    <x v="0"/>
    <x v="4"/>
    <n v="430"/>
    <n v="430"/>
    <n v="64"/>
    <n v="0.14883720930232558"/>
  </r>
  <r>
    <x v="1"/>
    <x v="3"/>
    <x v="2"/>
    <x v="0"/>
    <x v="5"/>
    <n v="363"/>
    <n v="363"/>
    <n v="54"/>
    <n v="0.1487603305785124"/>
  </r>
  <r>
    <x v="1"/>
    <x v="3"/>
    <x v="2"/>
    <x v="0"/>
    <x v="6"/>
    <n v="357"/>
    <n v="357"/>
    <n v="62"/>
    <n v="0.17366946778711484"/>
  </r>
  <r>
    <x v="1"/>
    <x v="3"/>
    <x v="2"/>
    <x v="0"/>
    <x v="7"/>
    <n v="346"/>
    <n v="346"/>
    <n v="43"/>
    <n v="0.12427745664739884"/>
  </r>
  <r>
    <x v="1"/>
    <x v="3"/>
    <x v="2"/>
    <x v="0"/>
    <x v="8"/>
    <n v="365"/>
    <n v="365"/>
    <n v="64"/>
    <n v="0.17534246575342466"/>
  </r>
  <r>
    <x v="1"/>
    <x v="3"/>
    <x v="2"/>
    <x v="0"/>
    <x v="9"/>
    <n v="385"/>
    <n v="385"/>
    <n v="71"/>
    <n v="0.18441558441558442"/>
  </r>
  <r>
    <x v="1"/>
    <x v="3"/>
    <x v="2"/>
    <x v="0"/>
    <x v="10"/>
    <n v="459"/>
    <n v="459"/>
    <n v="58"/>
    <n v="0.12636165577342048"/>
  </r>
  <r>
    <x v="1"/>
    <x v="3"/>
    <x v="2"/>
    <x v="0"/>
    <x v="11"/>
    <n v="441"/>
    <n v="441"/>
    <n v="53"/>
    <n v="0.12018140589569161"/>
  </r>
  <r>
    <x v="1"/>
    <x v="3"/>
    <x v="2"/>
    <x v="0"/>
    <x v="12"/>
    <n v="349"/>
    <n v="349"/>
    <n v="58"/>
    <n v="0.166189111747851"/>
  </r>
  <r>
    <x v="1"/>
    <x v="3"/>
    <x v="2"/>
    <x v="0"/>
    <x v="13"/>
    <n v="379"/>
    <n v="379"/>
    <n v="73"/>
    <n v="0.19261213720316622"/>
  </r>
  <r>
    <x v="1"/>
    <x v="3"/>
    <x v="2"/>
    <x v="0"/>
    <x v="14"/>
    <n v="385"/>
    <n v="385"/>
    <n v="57"/>
    <n v="0.14805194805194805"/>
  </r>
  <r>
    <x v="1"/>
    <x v="3"/>
    <x v="2"/>
    <x v="0"/>
    <x v="15"/>
    <n v="432"/>
    <n v="432"/>
    <n v="68"/>
    <n v="0.15740740740740741"/>
  </r>
  <r>
    <x v="1"/>
    <x v="3"/>
    <x v="2"/>
    <x v="0"/>
    <x v="16"/>
    <n v="403"/>
    <n v="403"/>
    <n v="81"/>
    <n v="0.20099255583126552"/>
  </r>
  <r>
    <x v="1"/>
    <x v="3"/>
    <x v="2"/>
    <x v="0"/>
    <x v="17"/>
    <n v="568"/>
    <n v="568"/>
    <n v="73"/>
    <n v="0.12852112676056338"/>
  </r>
  <r>
    <x v="1"/>
    <x v="3"/>
    <x v="2"/>
    <x v="1"/>
    <x v="0"/>
    <n v="208"/>
    <n v="208"/>
    <n v="35"/>
    <n v="0.16826923076923078"/>
  </r>
  <r>
    <x v="1"/>
    <x v="3"/>
    <x v="2"/>
    <x v="1"/>
    <x v="1"/>
    <n v="364"/>
    <n v="364"/>
    <n v="62"/>
    <n v="0.17032967032967034"/>
  </r>
  <r>
    <x v="1"/>
    <x v="3"/>
    <x v="2"/>
    <x v="1"/>
    <x v="2"/>
    <n v="431"/>
    <n v="431"/>
    <n v="95"/>
    <n v="0.22041763341067286"/>
  </r>
  <r>
    <x v="1"/>
    <x v="3"/>
    <x v="2"/>
    <x v="1"/>
    <x v="3"/>
    <n v="570"/>
    <n v="570"/>
    <n v="116"/>
    <n v="0.20350877192982456"/>
  </r>
  <r>
    <x v="1"/>
    <x v="3"/>
    <x v="2"/>
    <x v="1"/>
    <x v="4"/>
    <n v="553"/>
    <n v="553"/>
    <n v="122"/>
    <n v="0.22061482820976491"/>
  </r>
  <r>
    <x v="1"/>
    <x v="3"/>
    <x v="2"/>
    <x v="1"/>
    <x v="5"/>
    <n v="599"/>
    <n v="599"/>
    <n v="150"/>
    <n v="0.25041736227045075"/>
  </r>
  <r>
    <x v="1"/>
    <x v="3"/>
    <x v="2"/>
    <x v="1"/>
    <x v="6"/>
    <n v="619"/>
    <n v="619"/>
    <n v="155"/>
    <n v="0.25040387722132473"/>
  </r>
  <r>
    <x v="1"/>
    <x v="3"/>
    <x v="2"/>
    <x v="1"/>
    <x v="7"/>
    <n v="703"/>
    <n v="703"/>
    <n v="175"/>
    <n v="0.24893314366998578"/>
  </r>
  <r>
    <x v="1"/>
    <x v="3"/>
    <x v="2"/>
    <x v="1"/>
    <x v="8"/>
    <n v="792"/>
    <n v="792"/>
    <n v="198"/>
    <n v="0.25"/>
  </r>
  <r>
    <x v="1"/>
    <x v="3"/>
    <x v="2"/>
    <x v="1"/>
    <x v="9"/>
    <n v="928"/>
    <n v="928"/>
    <n v="191"/>
    <n v="0.20581896551724138"/>
  </r>
  <r>
    <x v="1"/>
    <x v="3"/>
    <x v="2"/>
    <x v="1"/>
    <x v="10"/>
    <n v="1052"/>
    <n v="1052"/>
    <n v="241"/>
    <n v="0.22908745247148288"/>
  </r>
  <r>
    <x v="1"/>
    <x v="3"/>
    <x v="2"/>
    <x v="1"/>
    <x v="11"/>
    <n v="1149"/>
    <n v="1149"/>
    <n v="256"/>
    <n v="0.22280243690165361"/>
  </r>
  <r>
    <x v="1"/>
    <x v="3"/>
    <x v="2"/>
    <x v="1"/>
    <x v="12"/>
    <n v="1040"/>
    <n v="1040"/>
    <n v="247"/>
    <n v="0.23749999999999999"/>
  </r>
  <r>
    <x v="1"/>
    <x v="3"/>
    <x v="2"/>
    <x v="1"/>
    <x v="13"/>
    <n v="1083"/>
    <n v="1083"/>
    <n v="273"/>
    <n v="0.25207756232686979"/>
  </r>
  <r>
    <x v="1"/>
    <x v="3"/>
    <x v="2"/>
    <x v="1"/>
    <x v="14"/>
    <n v="1171"/>
    <n v="1171"/>
    <n v="304"/>
    <n v="0.25960717335610589"/>
  </r>
  <r>
    <x v="1"/>
    <x v="3"/>
    <x v="2"/>
    <x v="1"/>
    <x v="15"/>
    <n v="1177"/>
    <n v="1177"/>
    <n v="317"/>
    <n v="0.26932880203908244"/>
  </r>
  <r>
    <x v="1"/>
    <x v="3"/>
    <x v="2"/>
    <x v="1"/>
    <x v="16"/>
    <n v="1307"/>
    <n v="1307"/>
    <n v="372"/>
    <n v="0.28462127008416221"/>
  </r>
  <r>
    <x v="1"/>
    <x v="3"/>
    <x v="2"/>
    <x v="1"/>
    <x v="17"/>
    <n v="1594"/>
    <n v="1594"/>
    <n v="388"/>
    <n v="0.24341279799247176"/>
  </r>
  <r>
    <x v="1"/>
    <x v="3"/>
    <x v="3"/>
    <x v="0"/>
    <x v="0"/>
    <n v="681"/>
    <n v="681"/>
    <n v="110"/>
    <n v="0.16152716593245228"/>
  </r>
  <r>
    <x v="1"/>
    <x v="3"/>
    <x v="3"/>
    <x v="0"/>
    <x v="1"/>
    <n v="823"/>
    <n v="823"/>
    <n v="154"/>
    <n v="0.18712029161603888"/>
  </r>
  <r>
    <x v="1"/>
    <x v="3"/>
    <x v="3"/>
    <x v="0"/>
    <x v="2"/>
    <n v="779"/>
    <n v="779"/>
    <n v="138"/>
    <n v="0.17715019255455713"/>
  </r>
  <r>
    <x v="1"/>
    <x v="3"/>
    <x v="3"/>
    <x v="0"/>
    <x v="3"/>
    <n v="960"/>
    <n v="960"/>
    <n v="181"/>
    <n v="0.18854166666666666"/>
  </r>
  <r>
    <x v="1"/>
    <x v="3"/>
    <x v="3"/>
    <x v="0"/>
    <x v="4"/>
    <n v="1003"/>
    <n v="1003"/>
    <n v="139"/>
    <n v="0.13858424725822532"/>
  </r>
  <r>
    <x v="1"/>
    <x v="3"/>
    <x v="3"/>
    <x v="0"/>
    <x v="5"/>
    <n v="694"/>
    <n v="694"/>
    <n v="120"/>
    <n v="0.1729106628242075"/>
  </r>
  <r>
    <x v="1"/>
    <x v="3"/>
    <x v="3"/>
    <x v="0"/>
    <x v="6"/>
    <n v="711"/>
    <n v="711"/>
    <n v="134"/>
    <n v="0.18846694796061886"/>
  </r>
  <r>
    <x v="1"/>
    <x v="3"/>
    <x v="3"/>
    <x v="0"/>
    <x v="7"/>
    <n v="730"/>
    <n v="730"/>
    <n v="146"/>
    <n v="0.2"/>
  </r>
  <r>
    <x v="1"/>
    <x v="3"/>
    <x v="3"/>
    <x v="0"/>
    <x v="8"/>
    <n v="739"/>
    <n v="739"/>
    <n v="131"/>
    <n v="0.17726657645466848"/>
  </r>
  <r>
    <x v="1"/>
    <x v="3"/>
    <x v="3"/>
    <x v="0"/>
    <x v="9"/>
    <n v="774"/>
    <n v="774"/>
    <n v="152"/>
    <n v="0.19638242894056848"/>
  </r>
  <r>
    <x v="1"/>
    <x v="3"/>
    <x v="3"/>
    <x v="0"/>
    <x v="10"/>
    <n v="1000"/>
    <n v="1000"/>
    <n v="177"/>
    <n v="0.17699999999999999"/>
  </r>
  <r>
    <x v="1"/>
    <x v="3"/>
    <x v="3"/>
    <x v="0"/>
    <x v="11"/>
    <n v="1103"/>
    <n v="1103"/>
    <n v="178"/>
    <n v="0.1613780598368087"/>
  </r>
  <r>
    <x v="1"/>
    <x v="3"/>
    <x v="3"/>
    <x v="0"/>
    <x v="12"/>
    <n v="765"/>
    <n v="765"/>
    <n v="126"/>
    <n v="0.16470588235294117"/>
  </r>
  <r>
    <x v="1"/>
    <x v="3"/>
    <x v="3"/>
    <x v="0"/>
    <x v="13"/>
    <n v="752"/>
    <n v="752"/>
    <n v="132"/>
    <n v="0.17553191489361702"/>
  </r>
  <r>
    <x v="1"/>
    <x v="3"/>
    <x v="3"/>
    <x v="0"/>
    <x v="14"/>
    <n v="752"/>
    <n v="752"/>
    <n v="123"/>
    <n v="0.16356382978723405"/>
  </r>
  <r>
    <x v="1"/>
    <x v="3"/>
    <x v="3"/>
    <x v="0"/>
    <x v="15"/>
    <n v="733"/>
    <n v="733"/>
    <n v="148"/>
    <n v="0.20190995907230561"/>
  </r>
  <r>
    <x v="1"/>
    <x v="3"/>
    <x v="3"/>
    <x v="0"/>
    <x v="16"/>
    <n v="983"/>
    <n v="983"/>
    <n v="190"/>
    <n v="0.19328585961342828"/>
  </r>
  <r>
    <x v="1"/>
    <x v="3"/>
    <x v="3"/>
    <x v="0"/>
    <x v="17"/>
    <n v="1195"/>
    <n v="1195"/>
    <n v="233"/>
    <n v="0.19497907949790794"/>
  </r>
  <r>
    <x v="1"/>
    <x v="3"/>
    <x v="3"/>
    <x v="1"/>
    <x v="0"/>
    <n v="657"/>
    <n v="657"/>
    <n v="90"/>
    <n v="0.13698630136986301"/>
  </r>
  <r>
    <x v="1"/>
    <x v="3"/>
    <x v="3"/>
    <x v="1"/>
    <x v="1"/>
    <n v="977"/>
    <n v="977"/>
    <n v="173"/>
    <n v="0.17707267144319344"/>
  </r>
  <r>
    <x v="1"/>
    <x v="3"/>
    <x v="3"/>
    <x v="1"/>
    <x v="2"/>
    <n v="1258"/>
    <n v="1258"/>
    <n v="311"/>
    <n v="0.24721780604133545"/>
  </r>
  <r>
    <x v="1"/>
    <x v="3"/>
    <x v="3"/>
    <x v="1"/>
    <x v="3"/>
    <n v="1767"/>
    <n v="1767"/>
    <n v="476"/>
    <n v="0.26938313525749857"/>
  </r>
  <r>
    <x v="1"/>
    <x v="3"/>
    <x v="3"/>
    <x v="1"/>
    <x v="4"/>
    <n v="2084"/>
    <n v="2084"/>
    <n v="473"/>
    <n v="0.22696737044145873"/>
  </r>
  <r>
    <x v="1"/>
    <x v="3"/>
    <x v="3"/>
    <x v="1"/>
    <x v="5"/>
    <n v="1884"/>
    <n v="1884"/>
    <n v="470"/>
    <n v="0.2494692144373673"/>
  </r>
  <r>
    <x v="1"/>
    <x v="3"/>
    <x v="3"/>
    <x v="1"/>
    <x v="6"/>
    <n v="1862"/>
    <n v="1862"/>
    <n v="492"/>
    <n v="0.26423200859291085"/>
  </r>
  <r>
    <x v="1"/>
    <x v="3"/>
    <x v="3"/>
    <x v="1"/>
    <x v="7"/>
    <n v="2194"/>
    <n v="2194"/>
    <n v="587"/>
    <n v="0.2675478577939836"/>
  </r>
  <r>
    <x v="1"/>
    <x v="3"/>
    <x v="3"/>
    <x v="1"/>
    <x v="8"/>
    <n v="2500"/>
    <n v="2500"/>
    <n v="642"/>
    <n v="0.25679999999999997"/>
  </r>
  <r>
    <x v="1"/>
    <x v="3"/>
    <x v="3"/>
    <x v="1"/>
    <x v="9"/>
    <n v="2734"/>
    <n v="2734"/>
    <n v="777"/>
    <n v="0.28419897585954645"/>
  </r>
  <r>
    <x v="1"/>
    <x v="3"/>
    <x v="3"/>
    <x v="1"/>
    <x v="10"/>
    <n v="3506"/>
    <n v="3506"/>
    <n v="953"/>
    <n v="0.27181973759269823"/>
  </r>
  <r>
    <x v="1"/>
    <x v="3"/>
    <x v="3"/>
    <x v="1"/>
    <x v="11"/>
    <n v="3637"/>
    <n v="3637"/>
    <n v="844"/>
    <n v="0.23205938960681879"/>
  </r>
  <r>
    <x v="1"/>
    <x v="3"/>
    <x v="3"/>
    <x v="1"/>
    <x v="12"/>
    <n v="3184"/>
    <n v="3184"/>
    <n v="844"/>
    <n v="0.26507537688442212"/>
  </r>
  <r>
    <x v="1"/>
    <x v="3"/>
    <x v="3"/>
    <x v="1"/>
    <x v="13"/>
    <n v="3131"/>
    <n v="3131"/>
    <n v="857"/>
    <n v="0.27371446822101564"/>
  </r>
  <r>
    <x v="1"/>
    <x v="3"/>
    <x v="3"/>
    <x v="1"/>
    <x v="14"/>
    <n v="3389"/>
    <n v="3389"/>
    <n v="925"/>
    <n v="0.27294187075833581"/>
  </r>
  <r>
    <x v="1"/>
    <x v="3"/>
    <x v="3"/>
    <x v="1"/>
    <x v="15"/>
    <n v="3521"/>
    <n v="3521"/>
    <n v="1069"/>
    <n v="0.30360692984947457"/>
  </r>
  <r>
    <x v="1"/>
    <x v="3"/>
    <x v="3"/>
    <x v="1"/>
    <x v="16"/>
    <n v="4103"/>
    <n v="4103"/>
    <n v="1334"/>
    <n v="0.32512795515476478"/>
  </r>
  <r>
    <x v="1"/>
    <x v="3"/>
    <x v="3"/>
    <x v="1"/>
    <x v="17"/>
    <n v="4941"/>
    <n v="4941"/>
    <n v="1543"/>
    <n v="0.31228496255818661"/>
  </r>
  <r>
    <x v="1"/>
    <x v="4"/>
    <x v="0"/>
    <x v="0"/>
    <x v="0"/>
    <n v="29"/>
    <n v="29"/>
    <n v="6"/>
    <n v="0.20689655172413793"/>
  </r>
  <r>
    <x v="1"/>
    <x v="4"/>
    <x v="0"/>
    <x v="0"/>
    <x v="1"/>
    <n v="42"/>
    <n v="42"/>
    <n v="7"/>
    <n v="0.16666666666666666"/>
  </r>
  <r>
    <x v="1"/>
    <x v="4"/>
    <x v="0"/>
    <x v="0"/>
    <x v="2"/>
    <n v="26"/>
    <n v="26"/>
    <n v="7"/>
    <n v="0.26923076923076922"/>
  </r>
  <r>
    <x v="1"/>
    <x v="4"/>
    <x v="0"/>
    <x v="0"/>
    <x v="3"/>
    <n v="32"/>
    <n v="32"/>
    <n v="5"/>
    <n v="0.15625"/>
  </r>
  <r>
    <x v="1"/>
    <x v="4"/>
    <x v="0"/>
    <x v="0"/>
    <x v="4"/>
    <n v="30"/>
    <n v="30"/>
    <n v="10"/>
    <n v="0.33333333333333331"/>
  </r>
  <r>
    <x v="1"/>
    <x v="4"/>
    <x v="0"/>
    <x v="0"/>
    <x v="5"/>
    <n v="26"/>
    <n v="26"/>
    <n v="5"/>
    <n v="0.19230769230769232"/>
  </r>
  <r>
    <x v="1"/>
    <x v="4"/>
    <x v="0"/>
    <x v="0"/>
    <x v="6"/>
    <n v="27"/>
    <n v="27"/>
    <n v="6"/>
    <n v="0.22222222222222221"/>
  </r>
  <r>
    <x v="1"/>
    <x v="4"/>
    <x v="0"/>
    <x v="0"/>
    <x v="7"/>
    <n v="37"/>
    <n v="37"/>
    <n v="7"/>
    <n v="0.1891891891891892"/>
  </r>
  <r>
    <x v="1"/>
    <x v="4"/>
    <x v="0"/>
    <x v="0"/>
    <x v="8"/>
    <n v="25"/>
    <n v="25"/>
    <n v="0"/>
    <n v="0"/>
  </r>
  <r>
    <x v="1"/>
    <x v="4"/>
    <x v="0"/>
    <x v="0"/>
    <x v="9"/>
    <n v="43"/>
    <n v="43"/>
    <n v="10"/>
    <n v="0.23255813953488372"/>
  </r>
  <r>
    <x v="1"/>
    <x v="4"/>
    <x v="0"/>
    <x v="0"/>
    <x v="10"/>
    <n v="45"/>
    <n v="45"/>
    <n v="14"/>
    <n v="0.31111111111111112"/>
  </r>
  <r>
    <x v="1"/>
    <x v="4"/>
    <x v="0"/>
    <x v="0"/>
    <x v="11"/>
    <n v="32"/>
    <n v="32"/>
    <n v="5"/>
    <n v="0.15625"/>
  </r>
  <r>
    <x v="1"/>
    <x v="4"/>
    <x v="0"/>
    <x v="0"/>
    <x v="12"/>
    <n v="35"/>
    <n v="35"/>
    <n v="6"/>
    <n v="0.17142857142857143"/>
  </r>
  <r>
    <x v="1"/>
    <x v="4"/>
    <x v="0"/>
    <x v="0"/>
    <x v="13"/>
    <n v="30"/>
    <n v="30"/>
    <n v="9"/>
    <n v="0.3"/>
  </r>
  <r>
    <x v="1"/>
    <x v="4"/>
    <x v="0"/>
    <x v="0"/>
    <x v="14"/>
    <n v="26"/>
    <n v="26"/>
    <n v="6"/>
    <n v="0.23076923076923078"/>
  </r>
  <r>
    <x v="1"/>
    <x v="4"/>
    <x v="0"/>
    <x v="0"/>
    <x v="15"/>
    <n v="34"/>
    <n v="34"/>
    <n v="9"/>
    <n v="0.26470588235294118"/>
  </r>
  <r>
    <x v="1"/>
    <x v="4"/>
    <x v="0"/>
    <x v="0"/>
    <x v="16"/>
    <n v="37"/>
    <n v="37"/>
    <n v="3"/>
    <n v="8.1081081081081086E-2"/>
  </r>
  <r>
    <x v="1"/>
    <x v="4"/>
    <x v="0"/>
    <x v="0"/>
    <x v="17"/>
    <n v="38"/>
    <n v="38"/>
    <n v="8"/>
    <n v="0.21052631578947367"/>
  </r>
  <r>
    <x v="1"/>
    <x v="4"/>
    <x v="0"/>
    <x v="1"/>
    <x v="0"/>
    <n v="20"/>
    <n v="20"/>
    <n v="1"/>
    <n v="0.05"/>
  </r>
  <r>
    <x v="1"/>
    <x v="4"/>
    <x v="0"/>
    <x v="1"/>
    <x v="1"/>
    <n v="30"/>
    <n v="30"/>
    <n v="8"/>
    <n v="0.26666666666666666"/>
  </r>
  <r>
    <x v="1"/>
    <x v="4"/>
    <x v="0"/>
    <x v="1"/>
    <x v="2"/>
    <n v="42"/>
    <n v="42"/>
    <n v="10"/>
    <n v="0.23809523809523808"/>
  </r>
  <r>
    <x v="1"/>
    <x v="4"/>
    <x v="0"/>
    <x v="1"/>
    <x v="3"/>
    <n v="57"/>
    <n v="57"/>
    <n v="17"/>
    <n v="0.2982456140350877"/>
  </r>
  <r>
    <x v="1"/>
    <x v="4"/>
    <x v="0"/>
    <x v="1"/>
    <x v="4"/>
    <n v="61"/>
    <n v="61"/>
    <n v="16"/>
    <n v="0.26229508196721313"/>
  </r>
  <r>
    <x v="1"/>
    <x v="4"/>
    <x v="0"/>
    <x v="1"/>
    <x v="5"/>
    <n v="67"/>
    <n v="67"/>
    <n v="22"/>
    <n v="0.32835820895522388"/>
  </r>
  <r>
    <x v="1"/>
    <x v="4"/>
    <x v="0"/>
    <x v="1"/>
    <x v="6"/>
    <n v="82"/>
    <n v="82"/>
    <n v="32"/>
    <n v="0.3902439024390244"/>
  </r>
  <r>
    <x v="1"/>
    <x v="4"/>
    <x v="0"/>
    <x v="1"/>
    <x v="7"/>
    <n v="85"/>
    <n v="85"/>
    <n v="26"/>
    <n v="0.30588235294117649"/>
  </r>
  <r>
    <x v="1"/>
    <x v="4"/>
    <x v="0"/>
    <x v="1"/>
    <x v="8"/>
    <n v="103"/>
    <n v="103"/>
    <n v="17"/>
    <n v="0.1650485436893204"/>
  </r>
  <r>
    <x v="1"/>
    <x v="4"/>
    <x v="0"/>
    <x v="1"/>
    <x v="9"/>
    <n v="88"/>
    <n v="88"/>
    <n v="28"/>
    <n v="0.31818181818181818"/>
  </r>
  <r>
    <x v="1"/>
    <x v="4"/>
    <x v="0"/>
    <x v="1"/>
    <x v="10"/>
    <n v="134"/>
    <n v="134"/>
    <n v="35"/>
    <n v="0.26119402985074625"/>
  </r>
  <r>
    <x v="1"/>
    <x v="4"/>
    <x v="0"/>
    <x v="1"/>
    <x v="11"/>
    <n v="133"/>
    <n v="133"/>
    <n v="31"/>
    <n v="0.23308270676691728"/>
  </r>
  <r>
    <x v="1"/>
    <x v="4"/>
    <x v="0"/>
    <x v="1"/>
    <x v="12"/>
    <n v="119"/>
    <n v="119"/>
    <n v="26"/>
    <n v="0.21848739495798319"/>
  </r>
  <r>
    <x v="1"/>
    <x v="4"/>
    <x v="0"/>
    <x v="1"/>
    <x v="13"/>
    <n v="136"/>
    <n v="136"/>
    <n v="31"/>
    <n v="0.22794117647058823"/>
  </r>
  <r>
    <x v="1"/>
    <x v="4"/>
    <x v="0"/>
    <x v="1"/>
    <x v="14"/>
    <n v="125"/>
    <n v="125"/>
    <n v="34"/>
    <n v="0.27200000000000002"/>
  </r>
  <r>
    <x v="1"/>
    <x v="4"/>
    <x v="0"/>
    <x v="1"/>
    <x v="15"/>
    <n v="164"/>
    <n v="164"/>
    <n v="41"/>
    <n v="0.25"/>
  </r>
  <r>
    <x v="1"/>
    <x v="4"/>
    <x v="0"/>
    <x v="1"/>
    <x v="16"/>
    <n v="159"/>
    <n v="159"/>
    <n v="40"/>
    <n v="0.25157232704402516"/>
  </r>
  <r>
    <x v="1"/>
    <x v="4"/>
    <x v="0"/>
    <x v="1"/>
    <x v="17"/>
    <n v="167"/>
    <n v="167"/>
    <n v="43"/>
    <n v="0.25748502994011974"/>
  </r>
  <r>
    <x v="1"/>
    <x v="4"/>
    <x v="1"/>
    <x v="0"/>
    <x v="0"/>
    <n v="963"/>
    <n v="963"/>
    <n v="146"/>
    <n v="0.15160955347871236"/>
  </r>
  <r>
    <x v="1"/>
    <x v="4"/>
    <x v="1"/>
    <x v="0"/>
    <x v="1"/>
    <n v="1087"/>
    <n v="1087"/>
    <n v="181"/>
    <n v="0.16651333946642136"/>
  </r>
  <r>
    <x v="1"/>
    <x v="4"/>
    <x v="1"/>
    <x v="0"/>
    <x v="2"/>
    <n v="1156"/>
    <n v="1156"/>
    <n v="233"/>
    <n v="0.20155709342560554"/>
  </r>
  <r>
    <x v="1"/>
    <x v="4"/>
    <x v="1"/>
    <x v="0"/>
    <x v="3"/>
    <n v="1572"/>
    <n v="1572"/>
    <n v="267"/>
    <n v="0.16984732824427481"/>
  </r>
  <r>
    <x v="1"/>
    <x v="4"/>
    <x v="1"/>
    <x v="0"/>
    <x v="4"/>
    <n v="1533"/>
    <n v="1533"/>
    <n v="232"/>
    <n v="0.15133724722765818"/>
  </r>
  <r>
    <x v="1"/>
    <x v="4"/>
    <x v="1"/>
    <x v="0"/>
    <x v="5"/>
    <n v="1214"/>
    <n v="1214"/>
    <n v="184"/>
    <n v="0.1515650741350906"/>
  </r>
  <r>
    <x v="1"/>
    <x v="4"/>
    <x v="1"/>
    <x v="0"/>
    <x v="6"/>
    <n v="1145"/>
    <n v="1145"/>
    <n v="179"/>
    <n v="0.15633187772925763"/>
  </r>
  <r>
    <x v="1"/>
    <x v="4"/>
    <x v="1"/>
    <x v="0"/>
    <x v="7"/>
    <n v="1113"/>
    <n v="1113"/>
    <n v="188"/>
    <n v="0.16891284815813118"/>
  </r>
  <r>
    <x v="1"/>
    <x v="4"/>
    <x v="1"/>
    <x v="0"/>
    <x v="8"/>
    <n v="1100"/>
    <n v="1100"/>
    <n v="186"/>
    <n v="0.1690909090909091"/>
  </r>
  <r>
    <x v="1"/>
    <x v="4"/>
    <x v="1"/>
    <x v="0"/>
    <x v="9"/>
    <n v="1159"/>
    <n v="1159"/>
    <n v="215"/>
    <n v="0.18550474547023296"/>
  </r>
  <r>
    <x v="1"/>
    <x v="4"/>
    <x v="1"/>
    <x v="0"/>
    <x v="10"/>
    <n v="1563"/>
    <n v="1563"/>
    <n v="280"/>
    <n v="0.17914267434420986"/>
  </r>
  <r>
    <x v="1"/>
    <x v="4"/>
    <x v="1"/>
    <x v="0"/>
    <x v="11"/>
    <n v="1546"/>
    <n v="1546"/>
    <n v="241"/>
    <n v="0.15588615782664941"/>
  </r>
  <r>
    <x v="1"/>
    <x v="4"/>
    <x v="1"/>
    <x v="0"/>
    <x v="12"/>
    <n v="1221"/>
    <n v="1221"/>
    <n v="209"/>
    <n v="0.17117117117117117"/>
  </r>
  <r>
    <x v="1"/>
    <x v="4"/>
    <x v="1"/>
    <x v="0"/>
    <x v="13"/>
    <n v="1143"/>
    <n v="1143"/>
    <n v="178"/>
    <n v="0.1557305336832896"/>
  </r>
  <r>
    <x v="1"/>
    <x v="4"/>
    <x v="1"/>
    <x v="0"/>
    <x v="14"/>
    <n v="1119"/>
    <n v="1119"/>
    <n v="185"/>
    <n v="0.16532618409294011"/>
  </r>
  <r>
    <x v="1"/>
    <x v="4"/>
    <x v="1"/>
    <x v="0"/>
    <x v="15"/>
    <n v="1229"/>
    <n v="1229"/>
    <n v="221"/>
    <n v="0.17982099267697316"/>
  </r>
  <r>
    <x v="1"/>
    <x v="4"/>
    <x v="1"/>
    <x v="0"/>
    <x v="16"/>
    <n v="1396"/>
    <n v="1396"/>
    <n v="247"/>
    <n v="0.17693409742120345"/>
  </r>
  <r>
    <x v="1"/>
    <x v="4"/>
    <x v="1"/>
    <x v="0"/>
    <x v="17"/>
    <n v="1602"/>
    <n v="1602"/>
    <n v="311"/>
    <n v="0.19413233458177279"/>
  </r>
  <r>
    <x v="1"/>
    <x v="4"/>
    <x v="1"/>
    <x v="1"/>
    <x v="0"/>
    <n v="756"/>
    <n v="756"/>
    <n v="99"/>
    <n v="0.13095238095238096"/>
  </r>
  <r>
    <x v="1"/>
    <x v="4"/>
    <x v="1"/>
    <x v="1"/>
    <x v="1"/>
    <n v="1258"/>
    <n v="1258"/>
    <n v="313"/>
    <n v="0.24880763116057233"/>
  </r>
  <r>
    <x v="1"/>
    <x v="4"/>
    <x v="1"/>
    <x v="1"/>
    <x v="2"/>
    <n v="1679"/>
    <n v="1679"/>
    <n v="345"/>
    <n v="0.20547945205479451"/>
  </r>
  <r>
    <x v="1"/>
    <x v="4"/>
    <x v="1"/>
    <x v="1"/>
    <x v="3"/>
    <n v="2276"/>
    <n v="2276"/>
    <n v="491"/>
    <n v="0.21572934973637961"/>
  </r>
  <r>
    <x v="1"/>
    <x v="4"/>
    <x v="1"/>
    <x v="1"/>
    <x v="4"/>
    <n v="2630"/>
    <n v="2630"/>
    <n v="597"/>
    <n v="0.22699619771863117"/>
  </r>
  <r>
    <x v="1"/>
    <x v="4"/>
    <x v="1"/>
    <x v="1"/>
    <x v="5"/>
    <n v="2389"/>
    <n v="2389"/>
    <n v="441"/>
    <n v="0.1845960652992884"/>
  </r>
  <r>
    <x v="1"/>
    <x v="4"/>
    <x v="1"/>
    <x v="1"/>
    <x v="6"/>
    <n v="2263"/>
    <n v="2263"/>
    <n v="461"/>
    <n v="0.20371188687582856"/>
  </r>
  <r>
    <x v="1"/>
    <x v="4"/>
    <x v="1"/>
    <x v="1"/>
    <x v="7"/>
    <n v="2637"/>
    <n v="2637"/>
    <n v="645"/>
    <n v="0.24459613196814561"/>
  </r>
  <r>
    <x v="1"/>
    <x v="4"/>
    <x v="1"/>
    <x v="1"/>
    <x v="8"/>
    <n v="3214"/>
    <n v="3214"/>
    <n v="806"/>
    <n v="0.25077784691972621"/>
  </r>
  <r>
    <x v="1"/>
    <x v="4"/>
    <x v="1"/>
    <x v="1"/>
    <x v="9"/>
    <n v="3774"/>
    <n v="3774"/>
    <n v="958"/>
    <n v="0.25384207737148912"/>
  </r>
  <r>
    <x v="1"/>
    <x v="4"/>
    <x v="1"/>
    <x v="1"/>
    <x v="10"/>
    <n v="4925"/>
    <n v="4925"/>
    <n v="1034"/>
    <n v="0.2099492385786802"/>
  </r>
  <r>
    <x v="1"/>
    <x v="4"/>
    <x v="1"/>
    <x v="1"/>
    <x v="11"/>
    <n v="4835"/>
    <n v="4835"/>
    <n v="984"/>
    <n v="0.20351602895553259"/>
  </r>
  <r>
    <x v="1"/>
    <x v="4"/>
    <x v="1"/>
    <x v="1"/>
    <x v="12"/>
    <n v="4074"/>
    <n v="4074"/>
    <n v="840"/>
    <n v="0.20618556701030927"/>
  </r>
  <r>
    <x v="1"/>
    <x v="4"/>
    <x v="1"/>
    <x v="1"/>
    <x v="13"/>
    <n v="3841"/>
    <n v="3841"/>
    <n v="771"/>
    <n v="0.2007289768289508"/>
  </r>
  <r>
    <x v="1"/>
    <x v="4"/>
    <x v="1"/>
    <x v="1"/>
    <x v="14"/>
    <n v="3749"/>
    <n v="3749"/>
    <n v="810"/>
    <n v="0.21605761536409709"/>
  </r>
  <r>
    <x v="1"/>
    <x v="4"/>
    <x v="1"/>
    <x v="1"/>
    <x v="15"/>
    <n v="4241"/>
    <n v="4241"/>
    <n v="960"/>
    <n v="0.22636170714454137"/>
  </r>
  <r>
    <x v="1"/>
    <x v="4"/>
    <x v="1"/>
    <x v="1"/>
    <x v="16"/>
    <n v="4766"/>
    <n v="4766"/>
    <n v="1181"/>
    <n v="0.2477968946705833"/>
  </r>
  <r>
    <x v="1"/>
    <x v="4"/>
    <x v="1"/>
    <x v="1"/>
    <x v="17"/>
    <n v="6107"/>
    <n v="6107"/>
    <n v="1562"/>
    <n v="0.25577206484362208"/>
  </r>
  <r>
    <x v="1"/>
    <x v="4"/>
    <x v="2"/>
    <x v="0"/>
    <x v="0"/>
    <n v="321"/>
    <n v="321"/>
    <n v="58"/>
    <n v="0.18068535825545171"/>
  </r>
  <r>
    <x v="1"/>
    <x v="4"/>
    <x v="2"/>
    <x v="0"/>
    <x v="1"/>
    <n v="312"/>
    <n v="312"/>
    <n v="56"/>
    <n v="0.17948717948717949"/>
  </r>
  <r>
    <x v="1"/>
    <x v="4"/>
    <x v="2"/>
    <x v="0"/>
    <x v="2"/>
    <n v="368"/>
    <n v="368"/>
    <n v="65"/>
    <n v="0.1766304347826087"/>
  </r>
  <r>
    <x v="1"/>
    <x v="4"/>
    <x v="2"/>
    <x v="0"/>
    <x v="3"/>
    <n v="484"/>
    <n v="484"/>
    <n v="88"/>
    <n v="0.18181818181818182"/>
  </r>
  <r>
    <x v="1"/>
    <x v="4"/>
    <x v="2"/>
    <x v="0"/>
    <x v="4"/>
    <n v="433"/>
    <n v="433"/>
    <n v="60"/>
    <n v="0.13856812933025403"/>
  </r>
  <r>
    <x v="1"/>
    <x v="4"/>
    <x v="2"/>
    <x v="0"/>
    <x v="5"/>
    <n v="378"/>
    <n v="378"/>
    <n v="68"/>
    <n v="0.17989417989417988"/>
  </r>
  <r>
    <x v="1"/>
    <x v="4"/>
    <x v="2"/>
    <x v="0"/>
    <x v="6"/>
    <n v="328"/>
    <n v="328"/>
    <n v="69"/>
    <n v="0.21036585365853658"/>
  </r>
  <r>
    <x v="1"/>
    <x v="4"/>
    <x v="2"/>
    <x v="0"/>
    <x v="7"/>
    <n v="295"/>
    <n v="295"/>
    <n v="69"/>
    <n v="0.23389830508474577"/>
  </r>
  <r>
    <x v="1"/>
    <x v="4"/>
    <x v="2"/>
    <x v="0"/>
    <x v="8"/>
    <n v="348"/>
    <n v="348"/>
    <n v="61"/>
    <n v="0.17528735632183909"/>
  </r>
  <r>
    <x v="1"/>
    <x v="4"/>
    <x v="2"/>
    <x v="0"/>
    <x v="9"/>
    <n v="363"/>
    <n v="363"/>
    <n v="67"/>
    <n v="0.18457300275482094"/>
  </r>
  <r>
    <x v="1"/>
    <x v="4"/>
    <x v="2"/>
    <x v="0"/>
    <x v="10"/>
    <n v="455"/>
    <n v="455"/>
    <n v="90"/>
    <n v="0.19780219780219779"/>
  </r>
  <r>
    <x v="1"/>
    <x v="4"/>
    <x v="2"/>
    <x v="0"/>
    <x v="11"/>
    <n v="450"/>
    <n v="450"/>
    <n v="78"/>
    <n v="0.17333333333333334"/>
  </r>
  <r>
    <x v="1"/>
    <x v="4"/>
    <x v="2"/>
    <x v="0"/>
    <x v="12"/>
    <n v="401"/>
    <n v="401"/>
    <n v="78"/>
    <n v="0.19451371571072318"/>
  </r>
  <r>
    <x v="1"/>
    <x v="4"/>
    <x v="2"/>
    <x v="0"/>
    <x v="13"/>
    <n v="397"/>
    <n v="397"/>
    <n v="67"/>
    <n v="0.16876574307304787"/>
  </r>
  <r>
    <x v="1"/>
    <x v="4"/>
    <x v="2"/>
    <x v="0"/>
    <x v="14"/>
    <n v="383"/>
    <n v="383"/>
    <n v="82"/>
    <n v="0.21409921671018275"/>
  </r>
  <r>
    <x v="1"/>
    <x v="4"/>
    <x v="2"/>
    <x v="0"/>
    <x v="15"/>
    <n v="420"/>
    <n v="420"/>
    <n v="86"/>
    <n v="0.20476190476190476"/>
  </r>
  <r>
    <x v="1"/>
    <x v="4"/>
    <x v="2"/>
    <x v="0"/>
    <x v="16"/>
    <n v="454"/>
    <n v="454"/>
    <n v="102"/>
    <n v="0.22466960352422907"/>
  </r>
  <r>
    <x v="1"/>
    <x v="4"/>
    <x v="2"/>
    <x v="0"/>
    <x v="17"/>
    <n v="554"/>
    <n v="554"/>
    <n v="101"/>
    <n v="0.18231046931407943"/>
  </r>
  <r>
    <x v="1"/>
    <x v="4"/>
    <x v="2"/>
    <x v="1"/>
    <x v="0"/>
    <n v="192"/>
    <n v="192"/>
    <n v="32"/>
    <n v="0.16666666666666666"/>
  </r>
  <r>
    <x v="1"/>
    <x v="4"/>
    <x v="2"/>
    <x v="1"/>
    <x v="1"/>
    <n v="317"/>
    <n v="317"/>
    <n v="57"/>
    <n v="0.17981072555205047"/>
  </r>
  <r>
    <x v="1"/>
    <x v="4"/>
    <x v="2"/>
    <x v="1"/>
    <x v="2"/>
    <n v="404"/>
    <n v="404"/>
    <n v="84"/>
    <n v="0.20792079207920791"/>
  </r>
  <r>
    <x v="1"/>
    <x v="4"/>
    <x v="2"/>
    <x v="1"/>
    <x v="3"/>
    <n v="525"/>
    <n v="525"/>
    <n v="115"/>
    <n v="0.21904761904761905"/>
  </r>
  <r>
    <x v="1"/>
    <x v="4"/>
    <x v="2"/>
    <x v="1"/>
    <x v="4"/>
    <n v="570"/>
    <n v="570"/>
    <n v="117"/>
    <n v="0.20526315789473684"/>
  </r>
  <r>
    <x v="1"/>
    <x v="4"/>
    <x v="2"/>
    <x v="1"/>
    <x v="5"/>
    <n v="613"/>
    <n v="613"/>
    <n v="151"/>
    <n v="0.2463295269168026"/>
  </r>
  <r>
    <x v="1"/>
    <x v="4"/>
    <x v="2"/>
    <x v="1"/>
    <x v="6"/>
    <n v="642"/>
    <n v="642"/>
    <n v="144"/>
    <n v="0.22429906542056074"/>
  </r>
  <r>
    <x v="1"/>
    <x v="4"/>
    <x v="2"/>
    <x v="1"/>
    <x v="7"/>
    <n v="751"/>
    <n v="751"/>
    <n v="174"/>
    <n v="0.23169107856191745"/>
  </r>
  <r>
    <x v="1"/>
    <x v="4"/>
    <x v="2"/>
    <x v="1"/>
    <x v="8"/>
    <n v="854"/>
    <n v="854"/>
    <n v="204"/>
    <n v="0.2388758782201405"/>
  </r>
  <r>
    <x v="1"/>
    <x v="4"/>
    <x v="2"/>
    <x v="1"/>
    <x v="9"/>
    <n v="903"/>
    <n v="903"/>
    <n v="214"/>
    <n v="0.23698781838316721"/>
  </r>
  <r>
    <x v="1"/>
    <x v="4"/>
    <x v="2"/>
    <x v="1"/>
    <x v="10"/>
    <n v="1096"/>
    <n v="1096"/>
    <n v="283"/>
    <n v="0.25821167883211676"/>
  </r>
  <r>
    <x v="1"/>
    <x v="4"/>
    <x v="2"/>
    <x v="1"/>
    <x v="11"/>
    <n v="1189"/>
    <n v="1189"/>
    <n v="277"/>
    <n v="0.23296888141295205"/>
  </r>
  <r>
    <x v="1"/>
    <x v="4"/>
    <x v="2"/>
    <x v="1"/>
    <x v="12"/>
    <n v="1103"/>
    <n v="1103"/>
    <n v="268"/>
    <n v="0.242973708068903"/>
  </r>
  <r>
    <x v="1"/>
    <x v="4"/>
    <x v="2"/>
    <x v="1"/>
    <x v="13"/>
    <n v="1165"/>
    <n v="1165"/>
    <n v="315"/>
    <n v="0.27038626609442062"/>
  </r>
  <r>
    <x v="1"/>
    <x v="4"/>
    <x v="2"/>
    <x v="1"/>
    <x v="14"/>
    <n v="1182"/>
    <n v="1182"/>
    <n v="315"/>
    <n v="0.26649746192893403"/>
  </r>
  <r>
    <x v="1"/>
    <x v="4"/>
    <x v="2"/>
    <x v="1"/>
    <x v="15"/>
    <n v="1321"/>
    <n v="1321"/>
    <n v="393"/>
    <n v="0.29750189250567749"/>
  </r>
  <r>
    <x v="1"/>
    <x v="4"/>
    <x v="2"/>
    <x v="1"/>
    <x v="16"/>
    <n v="1462"/>
    <n v="1462"/>
    <n v="416"/>
    <n v="0.28454172366621067"/>
  </r>
  <r>
    <x v="1"/>
    <x v="4"/>
    <x v="2"/>
    <x v="1"/>
    <x v="17"/>
    <n v="1740"/>
    <n v="1740"/>
    <n v="460"/>
    <n v="0.26436781609195403"/>
  </r>
  <r>
    <x v="1"/>
    <x v="4"/>
    <x v="3"/>
    <x v="0"/>
    <x v="0"/>
    <n v="677"/>
    <n v="677"/>
    <n v="146"/>
    <n v="0.21565731166912852"/>
  </r>
  <r>
    <x v="1"/>
    <x v="4"/>
    <x v="3"/>
    <x v="0"/>
    <x v="1"/>
    <n v="750"/>
    <n v="750"/>
    <n v="169"/>
    <n v="0.22533333333333333"/>
  </r>
  <r>
    <x v="1"/>
    <x v="4"/>
    <x v="3"/>
    <x v="0"/>
    <x v="2"/>
    <n v="835"/>
    <n v="835"/>
    <n v="192"/>
    <n v="0.22994011976047904"/>
  </r>
  <r>
    <x v="1"/>
    <x v="4"/>
    <x v="3"/>
    <x v="0"/>
    <x v="3"/>
    <n v="1006"/>
    <n v="1006"/>
    <n v="219"/>
    <n v="0.21769383697813122"/>
  </r>
  <r>
    <x v="1"/>
    <x v="4"/>
    <x v="3"/>
    <x v="0"/>
    <x v="4"/>
    <n v="982"/>
    <n v="982"/>
    <n v="171"/>
    <n v="0.17413441955193482"/>
  </r>
  <r>
    <x v="1"/>
    <x v="4"/>
    <x v="3"/>
    <x v="0"/>
    <x v="5"/>
    <n v="803"/>
    <n v="803"/>
    <n v="160"/>
    <n v="0.19925280199252801"/>
  </r>
  <r>
    <x v="1"/>
    <x v="4"/>
    <x v="3"/>
    <x v="0"/>
    <x v="6"/>
    <n v="700"/>
    <n v="700"/>
    <n v="158"/>
    <n v="0.2257142857142857"/>
  </r>
  <r>
    <x v="1"/>
    <x v="4"/>
    <x v="3"/>
    <x v="0"/>
    <x v="7"/>
    <n v="718"/>
    <n v="718"/>
    <n v="166"/>
    <n v="0.23119777158774374"/>
  </r>
  <r>
    <x v="1"/>
    <x v="4"/>
    <x v="3"/>
    <x v="0"/>
    <x v="8"/>
    <n v="702"/>
    <n v="702"/>
    <n v="175"/>
    <n v="0.2492877492877493"/>
  </r>
  <r>
    <x v="1"/>
    <x v="4"/>
    <x v="3"/>
    <x v="0"/>
    <x v="9"/>
    <n v="851"/>
    <n v="851"/>
    <n v="190"/>
    <n v="0.22326674500587543"/>
  </r>
  <r>
    <x v="1"/>
    <x v="4"/>
    <x v="3"/>
    <x v="0"/>
    <x v="10"/>
    <n v="1056"/>
    <n v="1056"/>
    <n v="227"/>
    <n v="0.21496212121212122"/>
  </r>
  <r>
    <x v="1"/>
    <x v="4"/>
    <x v="3"/>
    <x v="0"/>
    <x v="11"/>
    <n v="1041"/>
    <n v="1041"/>
    <n v="180"/>
    <n v="0.1729106628242075"/>
  </r>
  <r>
    <x v="1"/>
    <x v="4"/>
    <x v="3"/>
    <x v="0"/>
    <x v="12"/>
    <n v="769"/>
    <n v="769"/>
    <n v="155"/>
    <n v="0.20156046814044212"/>
  </r>
  <r>
    <x v="1"/>
    <x v="4"/>
    <x v="3"/>
    <x v="0"/>
    <x v="13"/>
    <n v="763"/>
    <n v="763"/>
    <n v="145"/>
    <n v="0.19003931847968544"/>
  </r>
  <r>
    <x v="1"/>
    <x v="4"/>
    <x v="3"/>
    <x v="0"/>
    <x v="14"/>
    <n v="766"/>
    <n v="766"/>
    <n v="140"/>
    <n v="0.18276762402088773"/>
  </r>
  <r>
    <x v="1"/>
    <x v="4"/>
    <x v="3"/>
    <x v="0"/>
    <x v="15"/>
    <n v="853"/>
    <n v="853"/>
    <n v="182"/>
    <n v="0.21336459554513482"/>
  </r>
  <r>
    <x v="1"/>
    <x v="4"/>
    <x v="3"/>
    <x v="0"/>
    <x v="16"/>
    <n v="1000"/>
    <n v="1000"/>
    <n v="258"/>
    <n v="0.25800000000000001"/>
  </r>
  <r>
    <x v="1"/>
    <x v="4"/>
    <x v="3"/>
    <x v="0"/>
    <x v="17"/>
    <n v="1163"/>
    <n v="1163"/>
    <n v="283"/>
    <n v="0.24333619948409285"/>
  </r>
  <r>
    <x v="1"/>
    <x v="4"/>
    <x v="3"/>
    <x v="1"/>
    <x v="0"/>
    <n v="628"/>
    <n v="628"/>
    <n v="89"/>
    <n v="0.14171974522292993"/>
  </r>
  <r>
    <x v="1"/>
    <x v="4"/>
    <x v="3"/>
    <x v="1"/>
    <x v="1"/>
    <n v="959"/>
    <n v="959"/>
    <n v="207"/>
    <n v="0.21584984358706985"/>
  </r>
  <r>
    <x v="1"/>
    <x v="4"/>
    <x v="3"/>
    <x v="1"/>
    <x v="2"/>
    <n v="1307"/>
    <n v="1307"/>
    <n v="345"/>
    <n v="0.26396327467482783"/>
  </r>
  <r>
    <x v="1"/>
    <x v="4"/>
    <x v="3"/>
    <x v="1"/>
    <x v="3"/>
    <n v="1857"/>
    <n v="1857"/>
    <n v="487"/>
    <n v="0.26225094238018309"/>
  </r>
  <r>
    <x v="1"/>
    <x v="4"/>
    <x v="3"/>
    <x v="1"/>
    <x v="4"/>
    <n v="2181"/>
    <n v="2181"/>
    <n v="485"/>
    <n v="0.2223750573131591"/>
  </r>
  <r>
    <x v="1"/>
    <x v="4"/>
    <x v="3"/>
    <x v="1"/>
    <x v="5"/>
    <n v="2001"/>
    <n v="2001"/>
    <n v="528"/>
    <n v="0.26386806596701651"/>
  </r>
  <r>
    <x v="1"/>
    <x v="4"/>
    <x v="3"/>
    <x v="1"/>
    <x v="6"/>
    <n v="2173"/>
    <n v="2173"/>
    <n v="595"/>
    <n v="0.27381500230096639"/>
  </r>
  <r>
    <x v="1"/>
    <x v="4"/>
    <x v="3"/>
    <x v="1"/>
    <x v="7"/>
    <n v="2410"/>
    <n v="2410"/>
    <n v="643"/>
    <n v="0.26680497925311203"/>
  </r>
  <r>
    <x v="1"/>
    <x v="4"/>
    <x v="3"/>
    <x v="1"/>
    <x v="8"/>
    <n v="2650"/>
    <n v="2650"/>
    <n v="738"/>
    <n v="0.27849056603773586"/>
  </r>
  <r>
    <x v="1"/>
    <x v="4"/>
    <x v="3"/>
    <x v="1"/>
    <x v="9"/>
    <n v="3073"/>
    <n v="3073"/>
    <n v="882"/>
    <n v="0.28701594533029612"/>
  </r>
  <r>
    <x v="1"/>
    <x v="4"/>
    <x v="3"/>
    <x v="1"/>
    <x v="10"/>
    <n v="3799"/>
    <n v="3799"/>
    <n v="1039"/>
    <n v="0.27349302448012636"/>
  </r>
  <r>
    <x v="1"/>
    <x v="4"/>
    <x v="3"/>
    <x v="1"/>
    <x v="11"/>
    <n v="3925"/>
    <n v="3925"/>
    <n v="963"/>
    <n v="0.24535031847133759"/>
  </r>
  <r>
    <x v="1"/>
    <x v="4"/>
    <x v="3"/>
    <x v="1"/>
    <x v="12"/>
    <n v="3567"/>
    <n v="3567"/>
    <n v="934"/>
    <n v="0.26184468741239136"/>
  </r>
  <r>
    <x v="1"/>
    <x v="4"/>
    <x v="3"/>
    <x v="1"/>
    <x v="13"/>
    <n v="3388"/>
    <n v="3388"/>
    <n v="956"/>
    <n v="0.28217237308146398"/>
  </r>
  <r>
    <x v="1"/>
    <x v="4"/>
    <x v="3"/>
    <x v="1"/>
    <x v="14"/>
    <n v="3562"/>
    <n v="3562"/>
    <n v="988"/>
    <n v="0.27737226277372262"/>
  </r>
  <r>
    <x v="1"/>
    <x v="4"/>
    <x v="3"/>
    <x v="1"/>
    <x v="15"/>
    <n v="3748"/>
    <n v="3748"/>
    <n v="1140"/>
    <n v="0.304162219850587"/>
  </r>
  <r>
    <x v="1"/>
    <x v="4"/>
    <x v="3"/>
    <x v="1"/>
    <x v="16"/>
    <n v="4426"/>
    <n v="4426"/>
    <n v="1461"/>
    <n v="0.33009489380930862"/>
  </r>
  <r>
    <x v="1"/>
    <x v="4"/>
    <x v="3"/>
    <x v="1"/>
    <x v="17"/>
    <n v="5348"/>
    <n v="5348"/>
    <n v="1615"/>
    <n v="0.30198204936424833"/>
  </r>
  <r>
    <x v="1"/>
    <x v="5"/>
    <x v="0"/>
    <x v="0"/>
    <x v="0"/>
    <n v="40"/>
    <n v="40"/>
    <n v="5"/>
    <n v="0.125"/>
  </r>
  <r>
    <x v="1"/>
    <x v="5"/>
    <x v="0"/>
    <x v="0"/>
    <x v="1"/>
    <n v="36"/>
    <n v="36"/>
    <n v="5"/>
    <n v="0.1388888888888889"/>
  </r>
  <r>
    <x v="1"/>
    <x v="5"/>
    <x v="0"/>
    <x v="0"/>
    <x v="2"/>
    <n v="22"/>
    <n v="22"/>
    <n v="7"/>
    <n v="0.31818181818181818"/>
  </r>
  <r>
    <x v="1"/>
    <x v="5"/>
    <x v="0"/>
    <x v="0"/>
    <x v="3"/>
    <n v="29"/>
    <n v="29"/>
    <n v="3"/>
    <n v="0.10344827586206896"/>
  </r>
  <r>
    <x v="1"/>
    <x v="5"/>
    <x v="0"/>
    <x v="0"/>
    <x v="4"/>
    <n v="33"/>
    <n v="33"/>
    <n v="9"/>
    <n v="0.27272727272727271"/>
  </r>
  <r>
    <x v="1"/>
    <x v="5"/>
    <x v="0"/>
    <x v="0"/>
    <x v="5"/>
    <n v="21"/>
    <n v="21"/>
    <n v="5"/>
    <n v="0.23809523809523808"/>
  </r>
  <r>
    <x v="1"/>
    <x v="5"/>
    <x v="0"/>
    <x v="0"/>
    <x v="6"/>
    <n v="24"/>
    <n v="24"/>
    <n v="4"/>
    <n v="0.16666666666666666"/>
  </r>
  <r>
    <x v="1"/>
    <x v="5"/>
    <x v="0"/>
    <x v="0"/>
    <x v="7"/>
    <n v="31"/>
    <n v="31"/>
    <n v="6"/>
    <n v="0.19354838709677419"/>
  </r>
  <r>
    <x v="1"/>
    <x v="5"/>
    <x v="0"/>
    <x v="0"/>
    <x v="8"/>
    <n v="39"/>
    <n v="39"/>
    <n v="10"/>
    <n v="0.25641025641025639"/>
  </r>
  <r>
    <x v="1"/>
    <x v="5"/>
    <x v="0"/>
    <x v="0"/>
    <x v="9"/>
    <n v="36"/>
    <n v="36"/>
    <n v="8"/>
    <n v="0.22222222222222221"/>
  </r>
  <r>
    <x v="1"/>
    <x v="5"/>
    <x v="0"/>
    <x v="0"/>
    <x v="10"/>
    <n v="31"/>
    <n v="31"/>
    <n v="5"/>
    <n v="0.16129032258064516"/>
  </r>
  <r>
    <x v="1"/>
    <x v="5"/>
    <x v="0"/>
    <x v="0"/>
    <x v="11"/>
    <n v="28"/>
    <n v="28"/>
    <n v="7"/>
    <n v="0.25"/>
  </r>
  <r>
    <x v="1"/>
    <x v="5"/>
    <x v="0"/>
    <x v="0"/>
    <x v="12"/>
    <n v="32"/>
    <n v="32"/>
    <n v="4"/>
    <n v="0.125"/>
  </r>
  <r>
    <x v="1"/>
    <x v="5"/>
    <x v="0"/>
    <x v="0"/>
    <x v="13"/>
    <n v="30"/>
    <n v="30"/>
    <n v="11"/>
    <n v="0.36666666666666664"/>
  </r>
  <r>
    <x v="1"/>
    <x v="5"/>
    <x v="0"/>
    <x v="0"/>
    <x v="14"/>
    <n v="30"/>
    <n v="30"/>
    <n v="6"/>
    <n v="0.2"/>
  </r>
  <r>
    <x v="1"/>
    <x v="5"/>
    <x v="0"/>
    <x v="0"/>
    <x v="15"/>
    <n v="41"/>
    <n v="41"/>
    <n v="7"/>
    <n v="0.17073170731707318"/>
  </r>
  <r>
    <x v="1"/>
    <x v="5"/>
    <x v="0"/>
    <x v="0"/>
    <x v="16"/>
    <n v="37"/>
    <n v="37"/>
    <n v="10"/>
    <n v="0.27027027027027029"/>
  </r>
  <r>
    <x v="1"/>
    <x v="5"/>
    <x v="0"/>
    <x v="0"/>
    <x v="17"/>
    <n v="48"/>
    <n v="48"/>
    <n v="11"/>
    <n v="0.22916666666666666"/>
  </r>
  <r>
    <x v="1"/>
    <x v="5"/>
    <x v="0"/>
    <x v="1"/>
    <x v="0"/>
    <n v="17"/>
    <n v="17"/>
    <n v="0"/>
    <n v="0"/>
  </r>
  <r>
    <x v="1"/>
    <x v="5"/>
    <x v="0"/>
    <x v="1"/>
    <x v="1"/>
    <n v="26"/>
    <n v="26"/>
    <n v="8"/>
    <n v="0.30769230769230771"/>
  </r>
  <r>
    <x v="1"/>
    <x v="5"/>
    <x v="0"/>
    <x v="1"/>
    <x v="2"/>
    <n v="31"/>
    <n v="31"/>
    <n v="7"/>
    <n v="0.22580645161290322"/>
  </r>
  <r>
    <x v="1"/>
    <x v="5"/>
    <x v="0"/>
    <x v="1"/>
    <x v="3"/>
    <n v="62"/>
    <n v="62"/>
    <n v="14"/>
    <n v="0.22580645161290322"/>
  </r>
  <r>
    <x v="1"/>
    <x v="5"/>
    <x v="0"/>
    <x v="1"/>
    <x v="4"/>
    <n v="47"/>
    <n v="47"/>
    <n v="8"/>
    <n v="0.1702127659574468"/>
  </r>
  <r>
    <x v="1"/>
    <x v="5"/>
    <x v="0"/>
    <x v="1"/>
    <x v="5"/>
    <n v="60"/>
    <n v="60"/>
    <n v="15"/>
    <n v="0.25"/>
  </r>
  <r>
    <x v="1"/>
    <x v="5"/>
    <x v="0"/>
    <x v="1"/>
    <x v="6"/>
    <n v="70"/>
    <n v="70"/>
    <n v="19"/>
    <n v="0.27142857142857141"/>
  </r>
  <r>
    <x v="1"/>
    <x v="5"/>
    <x v="0"/>
    <x v="1"/>
    <x v="7"/>
    <n v="67"/>
    <n v="67"/>
    <n v="19"/>
    <n v="0.28358208955223879"/>
  </r>
  <r>
    <x v="1"/>
    <x v="5"/>
    <x v="0"/>
    <x v="1"/>
    <x v="8"/>
    <n v="99"/>
    <n v="99"/>
    <n v="18"/>
    <n v="0.18181818181818182"/>
  </r>
  <r>
    <x v="1"/>
    <x v="5"/>
    <x v="0"/>
    <x v="1"/>
    <x v="9"/>
    <n v="109"/>
    <n v="109"/>
    <n v="25"/>
    <n v="0.22935779816513763"/>
  </r>
  <r>
    <x v="1"/>
    <x v="5"/>
    <x v="0"/>
    <x v="1"/>
    <x v="10"/>
    <n v="141"/>
    <n v="141"/>
    <n v="40"/>
    <n v="0.28368794326241137"/>
  </r>
  <r>
    <x v="1"/>
    <x v="5"/>
    <x v="0"/>
    <x v="1"/>
    <x v="11"/>
    <n v="114"/>
    <n v="114"/>
    <n v="30"/>
    <n v="0.26315789473684209"/>
  </r>
  <r>
    <x v="1"/>
    <x v="5"/>
    <x v="0"/>
    <x v="1"/>
    <x v="12"/>
    <n v="106"/>
    <n v="106"/>
    <n v="19"/>
    <n v="0.17924528301886791"/>
  </r>
  <r>
    <x v="1"/>
    <x v="5"/>
    <x v="0"/>
    <x v="1"/>
    <x v="13"/>
    <n v="127"/>
    <n v="127"/>
    <n v="22"/>
    <n v="0.17322834645669291"/>
  </r>
  <r>
    <x v="1"/>
    <x v="5"/>
    <x v="0"/>
    <x v="1"/>
    <x v="14"/>
    <n v="123"/>
    <n v="123"/>
    <n v="28"/>
    <n v="0.22764227642276422"/>
  </r>
  <r>
    <x v="1"/>
    <x v="5"/>
    <x v="0"/>
    <x v="1"/>
    <x v="15"/>
    <n v="125"/>
    <n v="125"/>
    <n v="32"/>
    <n v="0.25600000000000001"/>
  </r>
  <r>
    <x v="1"/>
    <x v="5"/>
    <x v="0"/>
    <x v="1"/>
    <x v="16"/>
    <n v="148"/>
    <n v="148"/>
    <n v="36"/>
    <n v="0.24324324324324326"/>
  </r>
  <r>
    <x v="1"/>
    <x v="5"/>
    <x v="0"/>
    <x v="1"/>
    <x v="17"/>
    <n v="180"/>
    <n v="180"/>
    <n v="53"/>
    <n v="0.29444444444444445"/>
  </r>
  <r>
    <x v="1"/>
    <x v="5"/>
    <x v="1"/>
    <x v="0"/>
    <x v="0"/>
    <n v="964"/>
    <n v="964"/>
    <n v="140"/>
    <n v="0.14522821576763487"/>
  </r>
  <r>
    <x v="1"/>
    <x v="5"/>
    <x v="1"/>
    <x v="0"/>
    <x v="1"/>
    <n v="1023"/>
    <n v="1023"/>
    <n v="155"/>
    <n v="0.15151515151515152"/>
  </r>
  <r>
    <x v="1"/>
    <x v="5"/>
    <x v="1"/>
    <x v="0"/>
    <x v="2"/>
    <n v="1162"/>
    <n v="1162"/>
    <n v="197"/>
    <n v="0.16953528399311532"/>
  </r>
  <r>
    <x v="1"/>
    <x v="5"/>
    <x v="1"/>
    <x v="0"/>
    <x v="3"/>
    <n v="1575"/>
    <n v="1575"/>
    <n v="245"/>
    <n v="0.15555555555555556"/>
  </r>
  <r>
    <x v="1"/>
    <x v="5"/>
    <x v="1"/>
    <x v="0"/>
    <x v="4"/>
    <n v="1518"/>
    <n v="1518"/>
    <n v="224"/>
    <n v="0.14756258234519104"/>
  </r>
  <r>
    <x v="1"/>
    <x v="5"/>
    <x v="1"/>
    <x v="0"/>
    <x v="5"/>
    <n v="1194"/>
    <n v="1194"/>
    <n v="176"/>
    <n v="0.14740368509212731"/>
  </r>
  <r>
    <x v="1"/>
    <x v="5"/>
    <x v="1"/>
    <x v="0"/>
    <x v="6"/>
    <n v="1112"/>
    <n v="1112"/>
    <n v="194"/>
    <n v="0.17446043165467626"/>
  </r>
  <r>
    <x v="1"/>
    <x v="5"/>
    <x v="1"/>
    <x v="0"/>
    <x v="7"/>
    <n v="1096"/>
    <n v="1096"/>
    <n v="168"/>
    <n v="0.15328467153284672"/>
  </r>
  <r>
    <x v="1"/>
    <x v="5"/>
    <x v="1"/>
    <x v="0"/>
    <x v="8"/>
    <n v="1137"/>
    <n v="1137"/>
    <n v="160"/>
    <n v="0.14072119613016712"/>
  </r>
  <r>
    <x v="1"/>
    <x v="5"/>
    <x v="1"/>
    <x v="0"/>
    <x v="9"/>
    <n v="1183"/>
    <n v="1183"/>
    <n v="186"/>
    <n v="0.15722738799661876"/>
  </r>
  <r>
    <x v="1"/>
    <x v="5"/>
    <x v="1"/>
    <x v="0"/>
    <x v="10"/>
    <n v="1611"/>
    <n v="1611"/>
    <n v="282"/>
    <n v="0.1750465549348231"/>
  </r>
  <r>
    <x v="1"/>
    <x v="5"/>
    <x v="1"/>
    <x v="0"/>
    <x v="11"/>
    <n v="1479"/>
    <n v="1479"/>
    <n v="212"/>
    <n v="0.14334009465855307"/>
  </r>
  <r>
    <x v="1"/>
    <x v="5"/>
    <x v="1"/>
    <x v="0"/>
    <x v="12"/>
    <n v="1195"/>
    <n v="1195"/>
    <n v="171"/>
    <n v="0.14309623430962343"/>
  </r>
  <r>
    <x v="1"/>
    <x v="5"/>
    <x v="1"/>
    <x v="0"/>
    <x v="13"/>
    <n v="1143"/>
    <n v="1143"/>
    <n v="177"/>
    <n v="0.15485564304461943"/>
  </r>
  <r>
    <x v="1"/>
    <x v="5"/>
    <x v="1"/>
    <x v="0"/>
    <x v="14"/>
    <n v="1125"/>
    <n v="1125"/>
    <n v="182"/>
    <n v="0.16177777777777777"/>
  </r>
  <r>
    <x v="1"/>
    <x v="5"/>
    <x v="1"/>
    <x v="0"/>
    <x v="15"/>
    <n v="1178"/>
    <n v="1178"/>
    <n v="186"/>
    <n v="0.15789473684210525"/>
  </r>
  <r>
    <x v="1"/>
    <x v="5"/>
    <x v="1"/>
    <x v="0"/>
    <x v="16"/>
    <n v="1333"/>
    <n v="1333"/>
    <n v="212"/>
    <n v="0.15903975993998501"/>
  </r>
  <r>
    <x v="1"/>
    <x v="5"/>
    <x v="1"/>
    <x v="0"/>
    <x v="17"/>
    <n v="1525"/>
    <n v="1525"/>
    <n v="255"/>
    <n v="0.16721311475409836"/>
  </r>
  <r>
    <x v="1"/>
    <x v="5"/>
    <x v="1"/>
    <x v="1"/>
    <x v="0"/>
    <n v="699"/>
    <n v="699"/>
    <n v="84"/>
    <n v="0.12017167381974249"/>
  </r>
  <r>
    <x v="1"/>
    <x v="5"/>
    <x v="1"/>
    <x v="1"/>
    <x v="1"/>
    <n v="1222"/>
    <n v="1222"/>
    <n v="250"/>
    <n v="0.20458265139116202"/>
  </r>
  <r>
    <x v="1"/>
    <x v="5"/>
    <x v="1"/>
    <x v="1"/>
    <x v="2"/>
    <n v="1512"/>
    <n v="1512"/>
    <n v="311"/>
    <n v="0.2056878306878307"/>
  </r>
  <r>
    <x v="1"/>
    <x v="5"/>
    <x v="1"/>
    <x v="1"/>
    <x v="3"/>
    <n v="2238"/>
    <n v="2238"/>
    <n v="456"/>
    <n v="0.20375335120643431"/>
  </r>
  <r>
    <x v="1"/>
    <x v="5"/>
    <x v="1"/>
    <x v="1"/>
    <x v="4"/>
    <n v="2501"/>
    <n v="2501"/>
    <n v="518"/>
    <n v="0.20711715313874451"/>
  </r>
  <r>
    <x v="1"/>
    <x v="5"/>
    <x v="1"/>
    <x v="1"/>
    <x v="5"/>
    <n v="2329"/>
    <n v="2329"/>
    <n v="430"/>
    <n v="0.18462859596393302"/>
  </r>
  <r>
    <x v="1"/>
    <x v="5"/>
    <x v="1"/>
    <x v="1"/>
    <x v="6"/>
    <n v="2213"/>
    <n v="2213"/>
    <n v="406"/>
    <n v="0.18346136466335292"/>
  </r>
  <r>
    <x v="1"/>
    <x v="5"/>
    <x v="1"/>
    <x v="1"/>
    <x v="7"/>
    <n v="2586"/>
    <n v="2586"/>
    <n v="614"/>
    <n v="0.23743232791956689"/>
  </r>
  <r>
    <x v="1"/>
    <x v="5"/>
    <x v="1"/>
    <x v="1"/>
    <x v="8"/>
    <n v="3065"/>
    <n v="3065"/>
    <n v="748"/>
    <n v="0.24404567699836868"/>
  </r>
  <r>
    <x v="1"/>
    <x v="5"/>
    <x v="1"/>
    <x v="1"/>
    <x v="9"/>
    <n v="3668"/>
    <n v="3668"/>
    <n v="1009"/>
    <n v="0.27508178844056708"/>
  </r>
  <r>
    <x v="1"/>
    <x v="5"/>
    <x v="1"/>
    <x v="1"/>
    <x v="10"/>
    <n v="4979"/>
    <n v="4979"/>
    <n v="1042"/>
    <n v="0.20927897168106047"/>
  </r>
  <r>
    <x v="1"/>
    <x v="5"/>
    <x v="1"/>
    <x v="1"/>
    <x v="11"/>
    <n v="4861"/>
    <n v="4861"/>
    <n v="983"/>
    <n v="0.20222176506891587"/>
  </r>
  <r>
    <x v="1"/>
    <x v="5"/>
    <x v="1"/>
    <x v="1"/>
    <x v="12"/>
    <n v="3902"/>
    <n v="3902"/>
    <n v="808"/>
    <n v="0.20707329574577141"/>
  </r>
  <r>
    <x v="1"/>
    <x v="5"/>
    <x v="1"/>
    <x v="1"/>
    <x v="13"/>
    <n v="3726"/>
    <n v="3726"/>
    <n v="763"/>
    <n v="0.20477724100912506"/>
  </r>
  <r>
    <x v="1"/>
    <x v="5"/>
    <x v="1"/>
    <x v="1"/>
    <x v="14"/>
    <n v="3726"/>
    <n v="3726"/>
    <n v="806"/>
    <n v="0.21631776704240471"/>
  </r>
  <r>
    <x v="1"/>
    <x v="5"/>
    <x v="1"/>
    <x v="1"/>
    <x v="15"/>
    <n v="4228"/>
    <n v="4228"/>
    <n v="962"/>
    <n v="0.22753074739829707"/>
  </r>
  <r>
    <x v="1"/>
    <x v="5"/>
    <x v="1"/>
    <x v="1"/>
    <x v="16"/>
    <n v="4473"/>
    <n v="4473"/>
    <n v="1097"/>
    <n v="0.24524927341828751"/>
  </r>
  <r>
    <x v="1"/>
    <x v="5"/>
    <x v="1"/>
    <x v="1"/>
    <x v="17"/>
    <n v="5737"/>
    <n v="5737"/>
    <n v="1512"/>
    <n v="0.26355237929231307"/>
  </r>
  <r>
    <x v="1"/>
    <x v="5"/>
    <x v="2"/>
    <x v="0"/>
    <x v="0"/>
    <n v="372"/>
    <n v="372"/>
    <n v="75"/>
    <n v="0.20161290322580644"/>
  </r>
  <r>
    <x v="1"/>
    <x v="5"/>
    <x v="2"/>
    <x v="0"/>
    <x v="1"/>
    <n v="331"/>
    <n v="331"/>
    <n v="64"/>
    <n v="0.19335347432024169"/>
  </r>
  <r>
    <x v="1"/>
    <x v="5"/>
    <x v="2"/>
    <x v="0"/>
    <x v="2"/>
    <n v="375"/>
    <n v="375"/>
    <n v="89"/>
    <n v="0.23733333333333334"/>
  </r>
  <r>
    <x v="1"/>
    <x v="5"/>
    <x v="2"/>
    <x v="0"/>
    <x v="3"/>
    <n v="444"/>
    <n v="444"/>
    <n v="76"/>
    <n v="0.17117117117117117"/>
  </r>
  <r>
    <x v="1"/>
    <x v="5"/>
    <x v="2"/>
    <x v="0"/>
    <x v="4"/>
    <n v="410"/>
    <n v="410"/>
    <n v="86"/>
    <n v="0.2097560975609756"/>
  </r>
  <r>
    <x v="1"/>
    <x v="5"/>
    <x v="2"/>
    <x v="0"/>
    <x v="5"/>
    <n v="408"/>
    <n v="408"/>
    <n v="71"/>
    <n v="0.17401960784313725"/>
  </r>
  <r>
    <x v="1"/>
    <x v="5"/>
    <x v="2"/>
    <x v="0"/>
    <x v="6"/>
    <n v="347"/>
    <n v="347"/>
    <n v="70"/>
    <n v="0.20172910662824209"/>
  </r>
  <r>
    <x v="1"/>
    <x v="5"/>
    <x v="2"/>
    <x v="0"/>
    <x v="7"/>
    <n v="383"/>
    <n v="383"/>
    <n v="70"/>
    <n v="0.18276762402088773"/>
  </r>
  <r>
    <x v="1"/>
    <x v="5"/>
    <x v="2"/>
    <x v="0"/>
    <x v="8"/>
    <n v="332"/>
    <n v="332"/>
    <n v="59"/>
    <n v="0.17771084337349397"/>
  </r>
  <r>
    <x v="1"/>
    <x v="5"/>
    <x v="2"/>
    <x v="0"/>
    <x v="9"/>
    <n v="329"/>
    <n v="329"/>
    <n v="69"/>
    <n v="0.20972644376899696"/>
  </r>
  <r>
    <x v="1"/>
    <x v="5"/>
    <x v="2"/>
    <x v="0"/>
    <x v="10"/>
    <n v="436"/>
    <n v="436"/>
    <n v="80"/>
    <n v="0.1834862385321101"/>
  </r>
  <r>
    <x v="1"/>
    <x v="5"/>
    <x v="2"/>
    <x v="0"/>
    <x v="11"/>
    <n v="471"/>
    <n v="471"/>
    <n v="78"/>
    <n v="0.16560509554140126"/>
  </r>
  <r>
    <x v="1"/>
    <x v="5"/>
    <x v="2"/>
    <x v="0"/>
    <x v="12"/>
    <n v="360"/>
    <n v="360"/>
    <n v="60"/>
    <n v="0.16666666666666666"/>
  </r>
  <r>
    <x v="1"/>
    <x v="5"/>
    <x v="2"/>
    <x v="0"/>
    <x v="13"/>
    <n v="367"/>
    <n v="367"/>
    <n v="71"/>
    <n v="0.19346049046321526"/>
  </r>
  <r>
    <x v="1"/>
    <x v="5"/>
    <x v="2"/>
    <x v="0"/>
    <x v="14"/>
    <n v="402"/>
    <n v="402"/>
    <n v="72"/>
    <n v="0.17910447761194029"/>
  </r>
  <r>
    <x v="1"/>
    <x v="5"/>
    <x v="2"/>
    <x v="0"/>
    <x v="15"/>
    <n v="379"/>
    <n v="379"/>
    <n v="75"/>
    <n v="0.19788918205804748"/>
  </r>
  <r>
    <x v="1"/>
    <x v="5"/>
    <x v="2"/>
    <x v="0"/>
    <x v="16"/>
    <n v="411"/>
    <n v="411"/>
    <n v="81"/>
    <n v="0.19708029197080293"/>
  </r>
  <r>
    <x v="1"/>
    <x v="5"/>
    <x v="2"/>
    <x v="0"/>
    <x v="17"/>
    <n v="542"/>
    <n v="542"/>
    <n v="81"/>
    <n v="0.14944649446494465"/>
  </r>
  <r>
    <x v="1"/>
    <x v="5"/>
    <x v="2"/>
    <x v="1"/>
    <x v="0"/>
    <n v="184"/>
    <n v="184"/>
    <n v="24"/>
    <n v="0.13043478260869565"/>
  </r>
  <r>
    <x v="1"/>
    <x v="5"/>
    <x v="2"/>
    <x v="1"/>
    <x v="1"/>
    <n v="328"/>
    <n v="328"/>
    <n v="71"/>
    <n v="0.21646341463414634"/>
  </r>
  <r>
    <x v="1"/>
    <x v="5"/>
    <x v="2"/>
    <x v="1"/>
    <x v="2"/>
    <n v="401"/>
    <n v="401"/>
    <n v="105"/>
    <n v="0.26184538653366585"/>
  </r>
  <r>
    <x v="1"/>
    <x v="5"/>
    <x v="2"/>
    <x v="1"/>
    <x v="3"/>
    <n v="572"/>
    <n v="572"/>
    <n v="130"/>
    <n v="0.22727272727272727"/>
  </r>
  <r>
    <x v="1"/>
    <x v="5"/>
    <x v="2"/>
    <x v="1"/>
    <x v="4"/>
    <n v="634"/>
    <n v="634"/>
    <n v="145"/>
    <n v="0.22870662460567823"/>
  </r>
  <r>
    <x v="1"/>
    <x v="5"/>
    <x v="2"/>
    <x v="1"/>
    <x v="5"/>
    <n v="650"/>
    <n v="650"/>
    <n v="145"/>
    <n v="0.22307692307692309"/>
  </r>
  <r>
    <x v="1"/>
    <x v="5"/>
    <x v="2"/>
    <x v="1"/>
    <x v="6"/>
    <n v="672"/>
    <n v="672"/>
    <n v="164"/>
    <n v="0.24404761904761904"/>
  </r>
  <r>
    <x v="1"/>
    <x v="5"/>
    <x v="2"/>
    <x v="1"/>
    <x v="7"/>
    <n v="768"/>
    <n v="768"/>
    <n v="180"/>
    <n v="0.234375"/>
  </r>
  <r>
    <x v="1"/>
    <x v="5"/>
    <x v="2"/>
    <x v="1"/>
    <x v="8"/>
    <n v="859"/>
    <n v="859"/>
    <n v="212"/>
    <n v="0.24679860302677531"/>
  </r>
  <r>
    <x v="1"/>
    <x v="5"/>
    <x v="2"/>
    <x v="1"/>
    <x v="9"/>
    <n v="939"/>
    <n v="939"/>
    <n v="246"/>
    <n v="0.26198083067092653"/>
  </r>
  <r>
    <x v="1"/>
    <x v="5"/>
    <x v="2"/>
    <x v="1"/>
    <x v="10"/>
    <n v="1173"/>
    <n v="1173"/>
    <n v="284"/>
    <n v="0.2421142369991475"/>
  </r>
  <r>
    <x v="1"/>
    <x v="5"/>
    <x v="2"/>
    <x v="1"/>
    <x v="11"/>
    <n v="1225"/>
    <n v="1225"/>
    <n v="276"/>
    <n v="0.2253061224489796"/>
  </r>
  <r>
    <x v="1"/>
    <x v="5"/>
    <x v="2"/>
    <x v="1"/>
    <x v="12"/>
    <n v="1088"/>
    <n v="1088"/>
    <n v="285"/>
    <n v="0.26194852941176472"/>
  </r>
  <r>
    <x v="1"/>
    <x v="5"/>
    <x v="2"/>
    <x v="1"/>
    <x v="13"/>
    <n v="1213"/>
    <n v="1213"/>
    <n v="307"/>
    <n v="0.25309150865622426"/>
  </r>
  <r>
    <x v="1"/>
    <x v="5"/>
    <x v="2"/>
    <x v="1"/>
    <x v="14"/>
    <n v="1196"/>
    <n v="1196"/>
    <n v="314"/>
    <n v="0.26254180602006688"/>
  </r>
  <r>
    <x v="1"/>
    <x v="5"/>
    <x v="2"/>
    <x v="1"/>
    <x v="15"/>
    <n v="1237"/>
    <n v="1237"/>
    <n v="336"/>
    <n v="0.27162489894907033"/>
  </r>
  <r>
    <x v="1"/>
    <x v="5"/>
    <x v="2"/>
    <x v="1"/>
    <x v="16"/>
    <n v="1394"/>
    <n v="1394"/>
    <n v="402"/>
    <n v="0.28837876614060259"/>
  </r>
  <r>
    <x v="1"/>
    <x v="5"/>
    <x v="2"/>
    <x v="1"/>
    <x v="17"/>
    <n v="1698"/>
    <n v="1698"/>
    <n v="425"/>
    <n v="0.25029446407538281"/>
  </r>
  <r>
    <x v="1"/>
    <x v="5"/>
    <x v="3"/>
    <x v="0"/>
    <x v="0"/>
    <n v="705"/>
    <n v="705"/>
    <n v="141"/>
    <n v="0.2"/>
  </r>
  <r>
    <x v="1"/>
    <x v="5"/>
    <x v="3"/>
    <x v="0"/>
    <x v="1"/>
    <n v="748"/>
    <n v="748"/>
    <n v="135"/>
    <n v="0.18048128342245989"/>
  </r>
  <r>
    <x v="1"/>
    <x v="5"/>
    <x v="3"/>
    <x v="0"/>
    <x v="2"/>
    <n v="783"/>
    <n v="783"/>
    <n v="171"/>
    <n v="0.21839080459770116"/>
  </r>
  <r>
    <x v="1"/>
    <x v="5"/>
    <x v="3"/>
    <x v="0"/>
    <x v="3"/>
    <n v="966"/>
    <n v="966"/>
    <n v="194"/>
    <n v="0.20082815734989648"/>
  </r>
  <r>
    <x v="1"/>
    <x v="5"/>
    <x v="3"/>
    <x v="0"/>
    <x v="4"/>
    <n v="1005"/>
    <n v="1005"/>
    <n v="185"/>
    <n v="0.18407960199004975"/>
  </r>
  <r>
    <x v="1"/>
    <x v="5"/>
    <x v="3"/>
    <x v="0"/>
    <x v="5"/>
    <n v="763"/>
    <n v="763"/>
    <n v="131"/>
    <n v="0.17169069462647443"/>
  </r>
  <r>
    <x v="1"/>
    <x v="5"/>
    <x v="3"/>
    <x v="0"/>
    <x v="6"/>
    <n v="705"/>
    <n v="705"/>
    <n v="133"/>
    <n v="0.18865248226950354"/>
  </r>
  <r>
    <x v="1"/>
    <x v="5"/>
    <x v="3"/>
    <x v="0"/>
    <x v="7"/>
    <n v="684"/>
    <n v="684"/>
    <n v="139"/>
    <n v="0.20321637426900585"/>
  </r>
  <r>
    <x v="1"/>
    <x v="5"/>
    <x v="3"/>
    <x v="0"/>
    <x v="8"/>
    <n v="739"/>
    <n v="739"/>
    <n v="149"/>
    <n v="0.20162381596752368"/>
  </r>
  <r>
    <x v="1"/>
    <x v="5"/>
    <x v="3"/>
    <x v="0"/>
    <x v="9"/>
    <n v="794"/>
    <n v="794"/>
    <n v="165"/>
    <n v="0.20780856423173805"/>
  </r>
  <r>
    <x v="1"/>
    <x v="5"/>
    <x v="3"/>
    <x v="0"/>
    <x v="10"/>
    <n v="1023"/>
    <n v="1023"/>
    <n v="234"/>
    <n v="0.22873900293255131"/>
  </r>
  <r>
    <x v="1"/>
    <x v="5"/>
    <x v="3"/>
    <x v="0"/>
    <x v="11"/>
    <n v="1008"/>
    <n v="1008"/>
    <n v="178"/>
    <n v="0.1765873015873016"/>
  </r>
  <r>
    <x v="1"/>
    <x v="5"/>
    <x v="3"/>
    <x v="0"/>
    <x v="12"/>
    <n v="790"/>
    <n v="790"/>
    <n v="161"/>
    <n v="0.20379746835443038"/>
  </r>
  <r>
    <x v="1"/>
    <x v="5"/>
    <x v="3"/>
    <x v="0"/>
    <x v="13"/>
    <n v="761"/>
    <n v="761"/>
    <n v="144"/>
    <n v="0.18922470433639949"/>
  </r>
  <r>
    <x v="1"/>
    <x v="5"/>
    <x v="3"/>
    <x v="0"/>
    <x v="14"/>
    <n v="725"/>
    <n v="725"/>
    <n v="178"/>
    <n v="0.24551724137931036"/>
  </r>
  <r>
    <x v="1"/>
    <x v="5"/>
    <x v="3"/>
    <x v="0"/>
    <x v="15"/>
    <n v="833"/>
    <n v="833"/>
    <n v="184"/>
    <n v="0.22088835534213686"/>
  </r>
  <r>
    <x v="1"/>
    <x v="5"/>
    <x v="3"/>
    <x v="0"/>
    <x v="16"/>
    <n v="1014"/>
    <n v="1014"/>
    <n v="219"/>
    <n v="0.21597633136094674"/>
  </r>
  <r>
    <x v="1"/>
    <x v="5"/>
    <x v="3"/>
    <x v="0"/>
    <x v="17"/>
    <n v="1155"/>
    <n v="1155"/>
    <n v="246"/>
    <n v="0.21298701298701297"/>
  </r>
  <r>
    <x v="1"/>
    <x v="5"/>
    <x v="3"/>
    <x v="1"/>
    <x v="0"/>
    <n v="697"/>
    <n v="697"/>
    <n v="125"/>
    <n v="0.1793400286944046"/>
  </r>
  <r>
    <x v="1"/>
    <x v="5"/>
    <x v="3"/>
    <x v="1"/>
    <x v="1"/>
    <n v="1014"/>
    <n v="1014"/>
    <n v="210"/>
    <n v="0.20710059171597633"/>
  </r>
  <r>
    <x v="1"/>
    <x v="5"/>
    <x v="3"/>
    <x v="1"/>
    <x v="2"/>
    <n v="1236"/>
    <n v="1236"/>
    <n v="293"/>
    <n v="0.23705501618122976"/>
  </r>
  <r>
    <x v="1"/>
    <x v="5"/>
    <x v="3"/>
    <x v="1"/>
    <x v="3"/>
    <n v="1780"/>
    <n v="1780"/>
    <n v="457"/>
    <n v="0.25674157303370787"/>
  </r>
  <r>
    <x v="1"/>
    <x v="5"/>
    <x v="3"/>
    <x v="1"/>
    <x v="4"/>
    <n v="2114"/>
    <n v="2114"/>
    <n v="465"/>
    <n v="0.21996215704824976"/>
  </r>
  <r>
    <x v="1"/>
    <x v="5"/>
    <x v="3"/>
    <x v="1"/>
    <x v="5"/>
    <n v="1929"/>
    <n v="1929"/>
    <n v="463"/>
    <n v="0.24002073613271124"/>
  </r>
  <r>
    <x v="1"/>
    <x v="5"/>
    <x v="3"/>
    <x v="1"/>
    <x v="6"/>
    <n v="1994"/>
    <n v="1994"/>
    <n v="513"/>
    <n v="0.25727181544633904"/>
  </r>
  <r>
    <x v="1"/>
    <x v="5"/>
    <x v="3"/>
    <x v="1"/>
    <x v="7"/>
    <n v="2259"/>
    <n v="2259"/>
    <n v="605"/>
    <n v="0.267817618415228"/>
  </r>
  <r>
    <x v="1"/>
    <x v="5"/>
    <x v="3"/>
    <x v="1"/>
    <x v="8"/>
    <n v="2620"/>
    <n v="2620"/>
    <n v="659"/>
    <n v="0.25152671755725192"/>
  </r>
  <r>
    <x v="1"/>
    <x v="5"/>
    <x v="3"/>
    <x v="1"/>
    <x v="9"/>
    <n v="2784"/>
    <n v="2784"/>
    <n v="825"/>
    <n v="0.29633620689655171"/>
  </r>
  <r>
    <x v="1"/>
    <x v="5"/>
    <x v="3"/>
    <x v="1"/>
    <x v="10"/>
    <n v="3715"/>
    <n v="3715"/>
    <n v="975"/>
    <n v="0.26244952893674295"/>
  </r>
  <r>
    <x v="1"/>
    <x v="5"/>
    <x v="3"/>
    <x v="1"/>
    <x v="11"/>
    <n v="3838"/>
    <n v="3838"/>
    <n v="946"/>
    <n v="0.24648254299114122"/>
  </r>
  <r>
    <x v="1"/>
    <x v="5"/>
    <x v="3"/>
    <x v="1"/>
    <x v="12"/>
    <n v="3369"/>
    <n v="3369"/>
    <n v="937"/>
    <n v="0.27812407242505194"/>
  </r>
  <r>
    <x v="1"/>
    <x v="5"/>
    <x v="3"/>
    <x v="1"/>
    <x v="13"/>
    <n v="3290"/>
    <n v="3290"/>
    <n v="875"/>
    <n v="0.26595744680851063"/>
  </r>
  <r>
    <x v="1"/>
    <x v="5"/>
    <x v="3"/>
    <x v="1"/>
    <x v="14"/>
    <n v="3424"/>
    <n v="3424"/>
    <n v="934"/>
    <n v="0.27278037383177572"/>
  </r>
  <r>
    <x v="1"/>
    <x v="5"/>
    <x v="3"/>
    <x v="1"/>
    <x v="15"/>
    <n v="3643"/>
    <n v="3643"/>
    <n v="1074"/>
    <n v="0.29481196815811145"/>
  </r>
  <r>
    <x v="1"/>
    <x v="5"/>
    <x v="3"/>
    <x v="1"/>
    <x v="16"/>
    <n v="4316"/>
    <n v="4316"/>
    <n v="1387"/>
    <n v="0.32136237256719186"/>
  </r>
  <r>
    <x v="1"/>
    <x v="5"/>
    <x v="3"/>
    <x v="1"/>
    <x v="17"/>
    <n v="5175"/>
    <n v="5175"/>
    <n v="1615"/>
    <n v="0.312077294685990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x v="0"/>
    <x v="0"/>
    <x v="0"/>
    <n v="0"/>
    <n v="0"/>
    <n v="0"/>
  </r>
  <r>
    <x v="0"/>
    <x v="0"/>
    <x v="0"/>
    <x v="1"/>
    <n v="0"/>
    <n v="0"/>
    <n v="0"/>
  </r>
  <r>
    <x v="0"/>
    <x v="0"/>
    <x v="0"/>
    <x v="2"/>
    <n v="0"/>
    <n v="0"/>
    <n v="0"/>
  </r>
  <r>
    <x v="0"/>
    <x v="0"/>
    <x v="1"/>
    <x v="3"/>
    <n v="2"/>
    <n v="2"/>
    <n v="48.457264368001603"/>
  </r>
  <r>
    <x v="0"/>
    <x v="0"/>
    <x v="1"/>
    <x v="4"/>
    <n v="3"/>
    <n v="0"/>
    <n v="0"/>
  </r>
  <r>
    <x v="0"/>
    <x v="0"/>
    <x v="1"/>
    <x v="5"/>
    <n v="6"/>
    <n v="0"/>
    <n v="0"/>
  </r>
  <r>
    <x v="0"/>
    <x v="1"/>
    <x v="0"/>
    <x v="2"/>
    <n v="0"/>
    <n v="0"/>
    <n v="0"/>
  </r>
  <r>
    <x v="0"/>
    <x v="1"/>
    <x v="0"/>
    <x v="1"/>
    <n v="0"/>
    <n v="0"/>
    <n v="0"/>
  </r>
  <r>
    <x v="0"/>
    <x v="1"/>
    <x v="0"/>
    <x v="0"/>
    <n v="0"/>
    <n v="0"/>
    <n v="0"/>
  </r>
  <r>
    <x v="0"/>
    <x v="1"/>
    <x v="1"/>
    <x v="4"/>
    <n v="250"/>
    <n v="79"/>
    <n v="3787.32059722755"/>
  </r>
  <r>
    <x v="0"/>
    <x v="1"/>
    <x v="1"/>
    <x v="3"/>
    <n v="268"/>
    <n v="67"/>
    <n v="3362.5237610977501"/>
  </r>
  <r>
    <x v="0"/>
    <x v="1"/>
    <x v="1"/>
    <x v="5"/>
    <n v="337"/>
    <n v="107"/>
    <n v="4587.2999826599998"/>
  </r>
  <r>
    <x v="0"/>
    <x v="2"/>
    <x v="0"/>
    <x v="0"/>
    <n v="0"/>
    <n v="0"/>
    <n v="0"/>
  </r>
  <r>
    <x v="0"/>
    <x v="2"/>
    <x v="0"/>
    <x v="1"/>
    <n v="0"/>
    <n v="0"/>
    <n v="0"/>
  </r>
  <r>
    <x v="0"/>
    <x v="2"/>
    <x v="0"/>
    <x v="2"/>
    <n v="0"/>
    <n v="0"/>
    <n v="0"/>
  </r>
  <r>
    <x v="0"/>
    <x v="2"/>
    <x v="1"/>
    <x v="5"/>
    <n v="43"/>
    <n v="7"/>
    <n v="220.78178578705899"/>
  </r>
  <r>
    <x v="0"/>
    <x v="2"/>
    <x v="1"/>
    <x v="4"/>
    <n v="42"/>
    <n v="6"/>
    <n v="225.594891039434"/>
  </r>
  <r>
    <x v="0"/>
    <x v="2"/>
    <x v="1"/>
    <x v="3"/>
    <n v="31"/>
    <n v="6"/>
    <n v="208.86121398242199"/>
  </r>
  <r>
    <x v="0"/>
    <x v="3"/>
    <x v="0"/>
    <x v="2"/>
    <n v="2"/>
    <n v="0"/>
    <n v="0"/>
  </r>
  <r>
    <x v="0"/>
    <x v="3"/>
    <x v="0"/>
    <x v="1"/>
    <n v="1"/>
    <n v="0"/>
    <n v="0"/>
  </r>
  <r>
    <x v="0"/>
    <x v="3"/>
    <x v="0"/>
    <x v="0"/>
    <n v="0"/>
    <n v="0"/>
    <n v="0"/>
  </r>
  <r>
    <x v="0"/>
    <x v="3"/>
    <x v="1"/>
    <x v="5"/>
    <n v="99"/>
    <n v="30"/>
    <n v="455.16696578028899"/>
  </r>
  <r>
    <x v="0"/>
    <x v="3"/>
    <x v="1"/>
    <x v="3"/>
    <n v="71"/>
    <n v="20"/>
    <n v="320.791606066692"/>
  </r>
  <r>
    <x v="0"/>
    <x v="3"/>
    <x v="1"/>
    <x v="4"/>
    <n v="73"/>
    <n v="20"/>
    <n v="429.17554478907601"/>
  </r>
  <r>
    <x v="1"/>
    <x v="0"/>
    <x v="0"/>
    <x v="2"/>
    <n v="0"/>
    <n v="0"/>
    <n v="0"/>
  </r>
  <r>
    <x v="1"/>
    <x v="0"/>
    <x v="0"/>
    <x v="0"/>
    <n v="1"/>
    <n v="1"/>
    <n v="10.9178014438153"/>
  </r>
  <r>
    <x v="1"/>
    <x v="0"/>
    <x v="0"/>
    <x v="1"/>
    <n v="0"/>
    <n v="0"/>
    <n v="0"/>
  </r>
  <r>
    <x v="1"/>
    <x v="0"/>
    <x v="1"/>
    <x v="3"/>
    <n v="7"/>
    <n v="1"/>
    <n v="65.754311618332295"/>
  </r>
  <r>
    <x v="1"/>
    <x v="0"/>
    <x v="1"/>
    <x v="5"/>
    <n v="10"/>
    <n v="2"/>
    <n v="85.608358295103898"/>
  </r>
  <r>
    <x v="1"/>
    <x v="0"/>
    <x v="1"/>
    <x v="4"/>
    <n v="6"/>
    <n v="2"/>
    <n v="109.98"/>
  </r>
  <r>
    <x v="1"/>
    <x v="1"/>
    <x v="0"/>
    <x v="0"/>
    <n v="2"/>
    <n v="1"/>
    <n v="4.99"/>
  </r>
  <r>
    <x v="1"/>
    <x v="1"/>
    <x v="0"/>
    <x v="1"/>
    <n v="0"/>
    <n v="0"/>
    <n v="0"/>
  </r>
  <r>
    <x v="1"/>
    <x v="1"/>
    <x v="0"/>
    <x v="2"/>
    <n v="4"/>
    <n v="0"/>
    <n v="0"/>
  </r>
  <r>
    <x v="1"/>
    <x v="1"/>
    <x v="1"/>
    <x v="4"/>
    <n v="294"/>
    <n v="85"/>
    <n v="3779.5503192657302"/>
  </r>
  <r>
    <x v="1"/>
    <x v="1"/>
    <x v="1"/>
    <x v="5"/>
    <n v="327"/>
    <n v="101"/>
    <n v="4834.0049915908203"/>
  </r>
  <r>
    <x v="1"/>
    <x v="1"/>
    <x v="1"/>
    <x v="3"/>
    <n v="297"/>
    <n v="77"/>
    <n v="3631.8290924041398"/>
  </r>
  <r>
    <x v="1"/>
    <x v="2"/>
    <x v="0"/>
    <x v="2"/>
    <n v="1"/>
    <n v="0"/>
    <n v="0"/>
  </r>
  <r>
    <x v="1"/>
    <x v="2"/>
    <x v="0"/>
    <x v="1"/>
    <n v="0"/>
    <n v="0"/>
    <n v="0"/>
  </r>
  <r>
    <x v="1"/>
    <x v="2"/>
    <x v="0"/>
    <x v="0"/>
    <n v="0"/>
    <n v="0"/>
    <n v="0"/>
  </r>
  <r>
    <x v="1"/>
    <x v="2"/>
    <x v="1"/>
    <x v="3"/>
    <n v="28"/>
    <n v="6"/>
    <n v="174.39617024355601"/>
  </r>
  <r>
    <x v="1"/>
    <x v="2"/>
    <x v="1"/>
    <x v="4"/>
    <n v="40"/>
    <n v="5"/>
    <n v="99.019187285034405"/>
  </r>
  <r>
    <x v="1"/>
    <x v="2"/>
    <x v="1"/>
    <x v="5"/>
    <n v="50"/>
    <n v="7"/>
    <n v="226.675954837863"/>
  </r>
  <r>
    <x v="1"/>
    <x v="3"/>
    <x v="0"/>
    <x v="1"/>
    <n v="7"/>
    <n v="3"/>
    <n v="17.565368894285299"/>
  </r>
  <r>
    <x v="1"/>
    <x v="3"/>
    <x v="0"/>
    <x v="2"/>
    <n v="15"/>
    <n v="3"/>
    <n v="20.843417096728999"/>
  </r>
  <r>
    <x v="1"/>
    <x v="3"/>
    <x v="0"/>
    <x v="0"/>
    <n v="9"/>
    <n v="2"/>
    <n v="10.0920834688058"/>
  </r>
  <r>
    <x v="1"/>
    <x v="3"/>
    <x v="1"/>
    <x v="5"/>
    <n v="124"/>
    <n v="37"/>
    <n v="560.91900942929203"/>
  </r>
  <r>
    <x v="1"/>
    <x v="3"/>
    <x v="1"/>
    <x v="3"/>
    <n v="69"/>
    <n v="14"/>
    <n v="191.21205341738701"/>
  </r>
  <r>
    <x v="1"/>
    <x v="3"/>
    <x v="1"/>
    <x v="4"/>
    <n v="73"/>
    <n v="27"/>
    <n v="392.82801033691101"/>
  </r>
  <r>
    <x v="2"/>
    <x v="0"/>
    <x v="0"/>
    <x v="0"/>
    <n v="1"/>
    <n v="0"/>
    <n v="0"/>
  </r>
  <r>
    <x v="2"/>
    <x v="0"/>
    <x v="0"/>
    <x v="2"/>
    <n v="3"/>
    <n v="1"/>
    <n v="10.9178014438153"/>
  </r>
  <r>
    <x v="2"/>
    <x v="0"/>
    <x v="0"/>
    <x v="1"/>
    <n v="2"/>
    <n v="1"/>
    <n v="15.420583550386"/>
  </r>
  <r>
    <x v="2"/>
    <x v="0"/>
    <x v="1"/>
    <x v="4"/>
    <n v="8"/>
    <n v="2"/>
    <n v="44.702636126527999"/>
  </r>
  <r>
    <x v="2"/>
    <x v="0"/>
    <x v="1"/>
    <x v="3"/>
    <n v="11"/>
    <n v="4"/>
    <n v="113.57296113963299"/>
  </r>
  <r>
    <x v="2"/>
    <x v="0"/>
    <x v="1"/>
    <x v="5"/>
    <n v="6"/>
    <n v="3"/>
    <n v="44.650717787865403"/>
  </r>
  <r>
    <x v="2"/>
    <x v="1"/>
    <x v="0"/>
    <x v="2"/>
    <n v="5"/>
    <n v="3"/>
    <n v="75.124574575229005"/>
  </r>
  <r>
    <x v="2"/>
    <x v="1"/>
    <x v="0"/>
    <x v="1"/>
    <n v="1"/>
    <n v="1"/>
    <n v="31.791031044810602"/>
  </r>
  <r>
    <x v="2"/>
    <x v="1"/>
    <x v="0"/>
    <x v="0"/>
    <n v="2"/>
    <n v="1"/>
    <n v="6.0168603606170699"/>
  </r>
  <r>
    <x v="2"/>
    <x v="1"/>
    <x v="1"/>
    <x v="4"/>
    <n v="304"/>
    <n v="84"/>
    <n v="3615.5757823621202"/>
  </r>
  <r>
    <x v="2"/>
    <x v="1"/>
    <x v="1"/>
    <x v="5"/>
    <n v="379"/>
    <n v="111"/>
    <n v="4528.3668579283103"/>
  </r>
  <r>
    <x v="2"/>
    <x v="1"/>
    <x v="1"/>
    <x v="3"/>
    <n v="320"/>
    <n v="104"/>
    <n v="4906.9884627862002"/>
  </r>
  <r>
    <x v="2"/>
    <x v="2"/>
    <x v="0"/>
    <x v="0"/>
    <n v="0"/>
    <n v="0"/>
    <n v="0"/>
  </r>
  <r>
    <x v="2"/>
    <x v="2"/>
    <x v="0"/>
    <x v="2"/>
    <n v="2"/>
    <n v="0"/>
    <n v="0"/>
  </r>
  <r>
    <x v="2"/>
    <x v="2"/>
    <x v="0"/>
    <x v="1"/>
    <n v="0"/>
    <n v="0"/>
    <n v="0"/>
  </r>
  <r>
    <x v="2"/>
    <x v="2"/>
    <x v="1"/>
    <x v="4"/>
    <n v="44"/>
    <n v="9"/>
    <n v="251.18449446617601"/>
  </r>
  <r>
    <x v="2"/>
    <x v="2"/>
    <x v="1"/>
    <x v="5"/>
    <n v="47"/>
    <n v="11"/>
    <n v="241.34597543006399"/>
  </r>
  <r>
    <x v="2"/>
    <x v="2"/>
    <x v="1"/>
    <x v="3"/>
    <n v="47"/>
    <n v="8"/>
    <n v="267.86795852193802"/>
  </r>
  <r>
    <x v="2"/>
    <x v="3"/>
    <x v="0"/>
    <x v="2"/>
    <n v="19"/>
    <n v="7"/>
    <n v="68.975649129258898"/>
  </r>
  <r>
    <x v="2"/>
    <x v="3"/>
    <x v="0"/>
    <x v="1"/>
    <n v="3"/>
    <n v="0"/>
    <n v="0"/>
  </r>
  <r>
    <x v="2"/>
    <x v="3"/>
    <x v="0"/>
    <x v="0"/>
    <n v="17"/>
    <n v="9"/>
    <n v="48.637337187173301"/>
  </r>
  <r>
    <x v="2"/>
    <x v="3"/>
    <x v="1"/>
    <x v="5"/>
    <n v="123"/>
    <n v="39"/>
    <n v="539.49402006639696"/>
  </r>
  <r>
    <x v="2"/>
    <x v="3"/>
    <x v="1"/>
    <x v="3"/>
    <n v="84"/>
    <n v="31"/>
    <n v="439.06750027183102"/>
  </r>
  <r>
    <x v="2"/>
    <x v="3"/>
    <x v="1"/>
    <x v="4"/>
    <n v="95"/>
    <n v="27"/>
    <n v="345.39807533100497"/>
  </r>
  <r>
    <x v="3"/>
    <x v="0"/>
    <x v="0"/>
    <x v="1"/>
    <n v="0"/>
    <n v="0"/>
    <n v="0"/>
  </r>
  <r>
    <x v="3"/>
    <x v="0"/>
    <x v="0"/>
    <x v="0"/>
    <n v="1"/>
    <n v="0"/>
    <n v="0"/>
  </r>
  <r>
    <x v="3"/>
    <x v="0"/>
    <x v="0"/>
    <x v="2"/>
    <n v="7"/>
    <n v="0"/>
    <n v="0"/>
  </r>
  <r>
    <x v="3"/>
    <x v="0"/>
    <x v="1"/>
    <x v="5"/>
    <n v="9"/>
    <n v="4"/>
    <n v="71.534429733250604"/>
  </r>
  <r>
    <x v="3"/>
    <x v="0"/>
    <x v="1"/>
    <x v="3"/>
    <n v="10"/>
    <n v="4"/>
    <n v="172.93376420720301"/>
  </r>
  <r>
    <x v="3"/>
    <x v="0"/>
    <x v="1"/>
    <x v="4"/>
    <n v="7"/>
    <n v="3"/>
    <n v="56.837202024329898"/>
  </r>
  <r>
    <x v="3"/>
    <x v="1"/>
    <x v="0"/>
    <x v="1"/>
    <n v="1"/>
    <n v="0"/>
    <n v="0"/>
  </r>
  <r>
    <x v="3"/>
    <x v="1"/>
    <x v="0"/>
    <x v="0"/>
    <n v="3"/>
    <n v="1"/>
    <n v="28.59"/>
  </r>
  <r>
    <x v="3"/>
    <x v="1"/>
    <x v="0"/>
    <x v="2"/>
    <n v="11"/>
    <n v="7"/>
    <n v="125.642933964985"/>
  </r>
  <r>
    <x v="3"/>
    <x v="1"/>
    <x v="1"/>
    <x v="5"/>
    <n v="547"/>
    <n v="168"/>
    <n v="7217.6267127966503"/>
  </r>
  <r>
    <x v="3"/>
    <x v="1"/>
    <x v="1"/>
    <x v="4"/>
    <n v="453"/>
    <n v="133"/>
    <n v="6042.3837318888"/>
  </r>
  <r>
    <x v="3"/>
    <x v="1"/>
    <x v="1"/>
    <x v="3"/>
    <n v="424"/>
    <n v="119"/>
    <n v="5660.6565559331702"/>
  </r>
  <r>
    <x v="3"/>
    <x v="2"/>
    <x v="0"/>
    <x v="1"/>
    <n v="1"/>
    <n v="0"/>
    <n v="0"/>
  </r>
  <r>
    <x v="3"/>
    <x v="2"/>
    <x v="0"/>
    <x v="0"/>
    <n v="1"/>
    <n v="1"/>
    <n v="22.524494905265701"/>
  </r>
  <r>
    <x v="3"/>
    <x v="2"/>
    <x v="0"/>
    <x v="2"/>
    <n v="0"/>
    <n v="0"/>
    <n v="0"/>
  </r>
  <r>
    <x v="3"/>
    <x v="2"/>
    <x v="1"/>
    <x v="3"/>
    <n v="45"/>
    <n v="8"/>
    <n v="361.29101397616199"/>
  </r>
  <r>
    <x v="3"/>
    <x v="2"/>
    <x v="1"/>
    <x v="5"/>
    <n v="51"/>
    <n v="14"/>
    <n v="374.10730434495503"/>
  </r>
  <r>
    <x v="3"/>
    <x v="2"/>
    <x v="1"/>
    <x v="4"/>
    <n v="54"/>
    <n v="11"/>
    <n v="259.13295311868802"/>
  </r>
  <r>
    <x v="3"/>
    <x v="3"/>
    <x v="0"/>
    <x v="1"/>
    <n v="9"/>
    <n v="5"/>
    <n v="27.5657683230835"/>
  </r>
  <r>
    <x v="3"/>
    <x v="3"/>
    <x v="0"/>
    <x v="2"/>
    <n v="35"/>
    <n v="17"/>
    <n v="92.939167696147194"/>
  </r>
  <r>
    <x v="3"/>
    <x v="3"/>
    <x v="0"/>
    <x v="0"/>
    <n v="15"/>
    <n v="5"/>
    <n v="44.731152354080997"/>
  </r>
  <r>
    <x v="3"/>
    <x v="3"/>
    <x v="1"/>
    <x v="4"/>
    <n v="118"/>
    <n v="40"/>
    <n v="617.03026639165103"/>
  </r>
  <r>
    <x v="3"/>
    <x v="3"/>
    <x v="1"/>
    <x v="3"/>
    <n v="106"/>
    <n v="27"/>
    <n v="364.73022425079802"/>
  </r>
  <r>
    <x v="3"/>
    <x v="3"/>
    <x v="1"/>
    <x v="5"/>
    <n v="142"/>
    <n v="41"/>
    <n v="577.23309446608505"/>
  </r>
  <r>
    <x v="4"/>
    <x v="0"/>
    <x v="0"/>
    <x v="0"/>
    <n v="3"/>
    <n v="0"/>
    <n v="0"/>
  </r>
  <r>
    <x v="4"/>
    <x v="0"/>
    <x v="0"/>
    <x v="2"/>
    <n v="3"/>
    <n v="0"/>
    <n v="0"/>
  </r>
  <r>
    <x v="4"/>
    <x v="0"/>
    <x v="0"/>
    <x v="1"/>
    <n v="4"/>
    <n v="3"/>
    <n v="22.878174694733001"/>
  </r>
  <r>
    <x v="4"/>
    <x v="0"/>
    <x v="1"/>
    <x v="5"/>
    <n v="6"/>
    <n v="6"/>
    <n v="141.07043115563201"/>
  </r>
  <r>
    <x v="4"/>
    <x v="0"/>
    <x v="1"/>
    <x v="4"/>
    <n v="12"/>
    <n v="3"/>
    <n v="29.005703910340799"/>
  </r>
  <r>
    <x v="4"/>
    <x v="0"/>
    <x v="1"/>
    <x v="3"/>
    <n v="6"/>
    <n v="0"/>
    <n v="0"/>
  </r>
  <r>
    <x v="4"/>
    <x v="1"/>
    <x v="0"/>
    <x v="2"/>
    <n v="9"/>
    <n v="3"/>
    <n v="49.184611040925098"/>
  </r>
  <r>
    <x v="4"/>
    <x v="1"/>
    <x v="0"/>
    <x v="1"/>
    <n v="4"/>
    <n v="3"/>
    <n v="34.81"/>
  </r>
  <r>
    <x v="4"/>
    <x v="1"/>
    <x v="0"/>
    <x v="0"/>
    <n v="3"/>
    <n v="1"/>
    <n v="22.431560654350001"/>
  </r>
  <r>
    <x v="4"/>
    <x v="1"/>
    <x v="1"/>
    <x v="4"/>
    <n v="432"/>
    <n v="102"/>
    <n v="4545.6548915875001"/>
  </r>
  <r>
    <x v="4"/>
    <x v="1"/>
    <x v="1"/>
    <x v="5"/>
    <n v="528"/>
    <n v="174"/>
    <n v="7494.3490403528003"/>
  </r>
  <r>
    <x v="4"/>
    <x v="1"/>
    <x v="1"/>
    <x v="3"/>
    <n v="451"/>
    <n v="126"/>
    <n v="5734.2890983311399"/>
  </r>
  <r>
    <x v="4"/>
    <x v="2"/>
    <x v="0"/>
    <x v="1"/>
    <n v="5"/>
    <n v="3"/>
    <n v="32.544804689562099"/>
  </r>
  <r>
    <x v="4"/>
    <x v="2"/>
    <x v="0"/>
    <x v="0"/>
    <n v="7"/>
    <n v="1"/>
    <n v="21.5688345673796"/>
  </r>
  <r>
    <x v="4"/>
    <x v="2"/>
    <x v="0"/>
    <x v="2"/>
    <n v="4"/>
    <n v="2"/>
    <n v="20.625229420428902"/>
  </r>
  <r>
    <x v="4"/>
    <x v="2"/>
    <x v="1"/>
    <x v="5"/>
    <n v="48"/>
    <n v="11"/>
    <n v="297.462066836367"/>
  </r>
  <r>
    <x v="4"/>
    <x v="2"/>
    <x v="1"/>
    <x v="4"/>
    <n v="54"/>
    <n v="11"/>
    <n v="348.43535788387499"/>
  </r>
  <r>
    <x v="4"/>
    <x v="2"/>
    <x v="1"/>
    <x v="3"/>
    <n v="42"/>
    <n v="7"/>
    <n v="160.20418963535101"/>
  </r>
  <r>
    <x v="4"/>
    <x v="3"/>
    <x v="0"/>
    <x v="0"/>
    <n v="28"/>
    <n v="13"/>
    <n v="71.368410995311294"/>
  </r>
  <r>
    <x v="4"/>
    <x v="3"/>
    <x v="0"/>
    <x v="2"/>
    <n v="32"/>
    <n v="6"/>
    <n v="39.295104289724101"/>
  </r>
  <r>
    <x v="4"/>
    <x v="3"/>
    <x v="0"/>
    <x v="1"/>
    <n v="29"/>
    <n v="12"/>
    <n v="59.687344006190401"/>
  </r>
  <r>
    <x v="4"/>
    <x v="3"/>
    <x v="1"/>
    <x v="4"/>
    <n v="139"/>
    <n v="49"/>
    <n v="750.76483943870505"/>
  </r>
  <r>
    <x v="4"/>
    <x v="3"/>
    <x v="1"/>
    <x v="5"/>
    <n v="141"/>
    <n v="42"/>
    <n v="493.21739291182399"/>
  </r>
  <r>
    <x v="4"/>
    <x v="3"/>
    <x v="1"/>
    <x v="3"/>
    <n v="111"/>
    <n v="30"/>
    <n v="498.838255408142"/>
  </r>
  <r>
    <x v="5"/>
    <x v="0"/>
    <x v="0"/>
    <x v="1"/>
    <n v="3"/>
    <n v="1"/>
    <n v="3.68295374626824"/>
  </r>
  <r>
    <x v="5"/>
    <x v="0"/>
    <x v="0"/>
    <x v="0"/>
    <n v="5"/>
    <n v="1"/>
    <n v="15.521845802896699"/>
  </r>
  <r>
    <x v="5"/>
    <x v="0"/>
    <x v="0"/>
    <x v="2"/>
    <n v="2"/>
    <n v="0"/>
    <n v="0"/>
  </r>
  <r>
    <x v="5"/>
    <x v="0"/>
    <x v="1"/>
    <x v="3"/>
    <n v="11"/>
    <n v="2"/>
    <n v="48.928889443732103"/>
  </r>
  <r>
    <x v="5"/>
    <x v="0"/>
    <x v="1"/>
    <x v="4"/>
    <n v="5"/>
    <n v="2"/>
    <n v="53.656184351817203"/>
  </r>
  <r>
    <x v="5"/>
    <x v="0"/>
    <x v="1"/>
    <x v="5"/>
    <n v="8"/>
    <n v="2"/>
    <n v="44.665033594757503"/>
  </r>
  <r>
    <x v="5"/>
    <x v="1"/>
    <x v="0"/>
    <x v="1"/>
    <n v="6"/>
    <n v="3"/>
    <n v="28.42"/>
  </r>
  <r>
    <x v="5"/>
    <x v="1"/>
    <x v="0"/>
    <x v="0"/>
    <n v="8"/>
    <n v="5"/>
    <n v="117.83946174755501"/>
  </r>
  <r>
    <x v="5"/>
    <x v="1"/>
    <x v="0"/>
    <x v="2"/>
    <n v="9"/>
    <n v="2"/>
    <n v="31.844962642160301"/>
  </r>
  <r>
    <x v="5"/>
    <x v="1"/>
    <x v="1"/>
    <x v="3"/>
    <n v="341"/>
    <n v="104"/>
    <n v="4555.1818962724501"/>
  </r>
  <r>
    <x v="5"/>
    <x v="1"/>
    <x v="1"/>
    <x v="5"/>
    <n v="373"/>
    <n v="104"/>
    <n v="4594.4436754531698"/>
  </r>
  <r>
    <x v="5"/>
    <x v="1"/>
    <x v="1"/>
    <x v="4"/>
    <n v="385"/>
    <n v="101"/>
    <n v="4457.3490368739203"/>
  </r>
  <r>
    <x v="5"/>
    <x v="2"/>
    <x v="0"/>
    <x v="2"/>
    <n v="5"/>
    <n v="3"/>
    <n v="25.651391961121298"/>
  </r>
  <r>
    <x v="5"/>
    <x v="2"/>
    <x v="0"/>
    <x v="0"/>
    <n v="4"/>
    <n v="2"/>
    <n v="16.487050591565499"/>
  </r>
  <r>
    <x v="5"/>
    <x v="2"/>
    <x v="0"/>
    <x v="1"/>
    <n v="3"/>
    <n v="1"/>
    <n v="3.82789029944762"/>
  </r>
  <r>
    <x v="5"/>
    <x v="2"/>
    <x v="1"/>
    <x v="5"/>
    <n v="34"/>
    <n v="3"/>
    <n v="54.016486098110903"/>
  </r>
  <r>
    <x v="5"/>
    <x v="2"/>
    <x v="1"/>
    <x v="3"/>
    <n v="48"/>
    <n v="7"/>
    <n v="219.06198552520999"/>
  </r>
  <r>
    <x v="5"/>
    <x v="2"/>
    <x v="1"/>
    <x v="4"/>
    <n v="50"/>
    <n v="10"/>
    <n v="268.87689687012102"/>
  </r>
  <r>
    <x v="5"/>
    <x v="3"/>
    <x v="0"/>
    <x v="0"/>
    <n v="38"/>
    <n v="17"/>
    <n v="86.032776714621704"/>
  </r>
  <r>
    <x v="5"/>
    <x v="3"/>
    <x v="0"/>
    <x v="2"/>
    <n v="58"/>
    <n v="18"/>
    <n v="96.226108728191207"/>
  </r>
  <r>
    <x v="5"/>
    <x v="3"/>
    <x v="0"/>
    <x v="1"/>
    <n v="26"/>
    <n v="11"/>
    <n v="58.225291860017997"/>
  </r>
  <r>
    <x v="5"/>
    <x v="3"/>
    <x v="1"/>
    <x v="3"/>
    <n v="107"/>
    <n v="35"/>
    <n v="509.054155112285"/>
  </r>
  <r>
    <x v="5"/>
    <x v="3"/>
    <x v="1"/>
    <x v="5"/>
    <n v="121"/>
    <n v="41"/>
    <n v="566.37030450873999"/>
  </r>
  <r>
    <x v="5"/>
    <x v="3"/>
    <x v="1"/>
    <x v="4"/>
    <n v="96"/>
    <n v="28"/>
    <n v="378.98078867643198"/>
  </r>
  <r>
    <x v="6"/>
    <x v="0"/>
    <x v="0"/>
    <x v="2"/>
    <n v="4"/>
    <n v="1"/>
    <n v="3.6829491922702302"/>
  </r>
  <r>
    <x v="6"/>
    <x v="0"/>
    <x v="0"/>
    <x v="0"/>
    <n v="4"/>
    <n v="0"/>
    <n v="0"/>
  </r>
  <r>
    <x v="6"/>
    <x v="0"/>
    <x v="0"/>
    <x v="1"/>
    <n v="3"/>
    <n v="2"/>
    <n v="26.891586343288701"/>
  </r>
  <r>
    <x v="6"/>
    <x v="0"/>
    <x v="1"/>
    <x v="5"/>
    <n v="7"/>
    <n v="3"/>
    <n v="63.058713391133502"/>
  </r>
  <r>
    <x v="6"/>
    <x v="0"/>
    <x v="1"/>
    <x v="3"/>
    <n v="1"/>
    <n v="1"/>
    <n v="26.249212515749601"/>
  </r>
  <r>
    <x v="6"/>
    <x v="0"/>
    <x v="1"/>
    <x v="4"/>
    <n v="8"/>
    <n v="2"/>
    <n v="36.832758470997703"/>
  </r>
  <r>
    <x v="6"/>
    <x v="1"/>
    <x v="0"/>
    <x v="2"/>
    <n v="13"/>
    <n v="7"/>
    <n v="140.24904431689299"/>
  </r>
  <r>
    <x v="6"/>
    <x v="1"/>
    <x v="0"/>
    <x v="1"/>
    <n v="8"/>
    <n v="3"/>
    <n v="61.933424482926398"/>
  </r>
  <r>
    <x v="6"/>
    <x v="1"/>
    <x v="0"/>
    <x v="0"/>
    <n v="9"/>
    <n v="6"/>
    <n v="99.797243569343806"/>
  </r>
  <r>
    <x v="6"/>
    <x v="1"/>
    <x v="1"/>
    <x v="3"/>
    <n v="346"/>
    <n v="96"/>
    <n v="4300.8314152295798"/>
  </r>
  <r>
    <x v="6"/>
    <x v="1"/>
    <x v="1"/>
    <x v="4"/>
    <n v="344"/>
    <n v="92"/>
    <n v="4051.5127776064301"/>
  </r>
  <r>
    <x v="6"/>
    <x v="1"/>
    <x v="1"/>
    <x v="5"/>
    <n v="379"/>
    <n v="110"/>
    <n v="4781.0385423453199"/>
  </r>
  <r>
    <x v="6"/>
    <x v="2"/>
    <x v="0"/>
    <x v="0"/>
    <n v="3"/>
    <n v="2"/>
    <n v="33.020792918584199"/>
  </r>
  <r>
    <x v="6"/>
    <x v="2"/>
    <x v="0"/>
    <x v="1"/>
    <n v="3"/>
    <n v="2"/>
    <n v="7.5882686135666502"/>
  </r>
  <r>
    <x v="6"/>
    <x v="2"/>
    <x v="0"/>
    <x v="2"/>
    <n v="1"/>
    <n v="0"/>
    <n v="0"/>
  </r>
  <r>
    <x v="6"/>
    <x v="2"/>
    <x v="1"/>
    <x v="4"/>
    <n v="57"/>
    <n v="7"/>
    <n v="140.71206964720301"/>
  </r>
  <r>
    <x v="6"/>
    <x v="2"/>
    <x v="1"/>
    <x v="5"/>
    <n v="38"/>
    <n v="4"/>
    <n v="78.456073583634506"/>
  </r>
  <r>
    <x v="6"/>
    <x v="2"/>
    <x v="1"/>
    <x v="3"/>
    <n v="39"/>
    <n v="9"/>
    <n v="291.83721917723898"/>
  </r>
  <r>
    <x v="6"/>
    <x v="3"/>
    <x v="0"/>
    <x v="2"/>
    <n v="63"/>
    <n v="24"/>
    <n v="126.070137221984"/>
  </r>
  <r>
    <x v="6"/>
    <x v="3"/>
    <x v="0"/>
    <x v="1"/>
    <n v="25"/>
    <n v="10"/>
    <n v="48.575322352234501"/>
  </r>
  <r>
    <x v="6"/>
    <x v="3"/>
    <x v="0"/>
    <x v="0"/>
    <n v="49"/>
    <n v="15"/>
    <n v="90.635262524078499"/>
  </r>
  <r>
    <x v="6"/>
    <x v="3"/>
    <x v="1"/>
    <x v="3"/>
    <n v="85"/>
    <n v="27"/>
    <n v="453.03059315482801"/>
  </r>
  <r>
    <x v="6"/>
    <x v="3"/>
    <x v="1"/>
    <x v="5"/>
    <n v="105"/>
    <n v="40"/>
    <n v="544.15609734911402"/>
  </r>
  <r>
    <x v="6"/>
    <x v="3"/>
    <x v="1"/>
    <x v="4"/>
    <n v="102"/>
    <n v="28"/>
    <n v="414.73076633227998"/>
  </r>
  <r>
    <x v="7"/>
    <x v="0"/>
    <x v="0"/>
    <x v="1"/>
    <n v="0"/>
    <n v="0"/>
    <n v="0"/>
  </r>
  <r>
    <x v="7"/>
    <x v="0"/>
    <x v="0"/>
    <x v="0"/>
    <n v="3"/>
    <n v="0"/>
    <n v="0"/>
  </r>
  <r>
    <x v="7"/>
    <x v="0"/>
    <x v="0"/>
    <x v="2"/>
    <n v="7"/>
    <n v="1"/>
    <n v="15.466573886622401"/>
  </r>
  <r>
    <x v="7"/>
    <x v="0"/>
    <x v="1"/>
    <x v="4"/>
    <n v="5"/>
    <n v="2"/>
    <n v="73.406379235498804"/>
  </r>
  <r>
    <x v="7"/>
    <x v="0"/>
    <x v="1"/>
    <x v="3"/>
    <n v="3"/>
    <n v="2"/>
    <n v="52.441830958794299"/>
  </r>
  <r>
    <x v="7"/>
    <x v="0"/>
    <x v="1"/>
    <x v="5"/>
    <n v="10"/>
    <n v="4"/>
    <n v="166.956622204247"/>
  </r>
  <r>
    <x v="7"/>
    <x v="1"/>
    <x v="0"/>
    <x v="1"/>
    <n v="9"/>
    <n v="7"/>
    <n v="80.000215812610804"/>
  </r>
  <r>
    <x v="7"/>
    <x v="1"/>
    <x v="0"/>
    <x v="0"/>
    <n v="8"/>
    <n v="3"/>
    <n v="41.037022063447502"/>
  </r>
  <r>
    <x v="7"/>
    <x v="1"/>
    <x v="0"/>
    <x v="2"/>
    <n v="14"/>
    <n v="8"/>
    <n v="93.260781608533307"/>
  </r>
  <r>
    <x v="7"/>
    <x v="1"/>
    <x v="1"/>
    <x v="3"/>
    <n v="328"/>
    <n v="101"/>
    <n v="4434.4719084093904"/>
  </r>
  <r>
    <x v="7"/>
    <x v="1"/>
    <x v="1"/>
    <x v="5"/>
    <n v="385"/>
    <n v="116"/>
    <n v="5002.1450733564598"/>
  </r>
  <r>
    <x v="7"/>
    <x v="1"/>
    <x v="1"/>
    <x v="4"/>
    <n v="315"/>
    <n v="109"/>
    <n v="4790.2286202852201"/>
  </r>
  <r>
    <x v="7"/>
    <x v="2"/>
    <x v="0"/>
    <x v="2"/>
    <n v="10"/>
    <n v="2"/>
    <n v="27.931383005403401"/>
  </r>
  <r>
    <x v="7"/>
    <x v="2"/>
    <x v="0"/>
    <x v="1"/>
    <n v="5"/>
    <n v="1"/>
    <n v="11.262335378995999"/>
  </r>
  <r>
    <x v="7"/>
    <x v="2"/>
    <x v="0"/>
    <x v="0"/>
    <n v="5"/>
    <n v="2"/>
    <n v="28.7968642937869"/>
  </r>
  <r>
    <x v="7"/>
    <x v="2"/>
    <x v="1"/>
    <x v="3"/>
    <n v="39"/>
    <n v="4"/>
    <n v="95.588325596610701"/>
  </r>
  <r>
    <x v="7"/>
    <x v="2"/>
    <x v="1"/>
    <x v="4"/>
    <n v="53"/>
    <n v="6"/>
    <n v="167.49681344201099"/>
  </r>
  <r>
    <x v="7"/>
    <x v="2"/>
    <x v="1"/>
    <x v="5"/>
    <n v="45"/>
    <n v="8"/>
    <n v="153.81059166865001"/>
  </r>
  <r>
    <x v="7"/>
    <x v="3"/>
    <x v="0"/>
    <x v="1"/>
    <n v="40"/>
    <n v="20"/>
    <n v="107.182822314345"/>
  </r>
  <r>
    <x v="7"/>
    <x v="3"/>
    <x v="0"/>
    <x v="2"/>
    <n v="46"/>
    <n v="18"/>
    <n v="106.38015876047101"/>
  </r>
  <r>
    <x v="7"/>
    <x v="3"/>
    <x v="0"/>
    <x v="0"/>
    <n v="42"/>
    <n v="15"/>
    <n v="78.155948287283195"/>
  </r>
  <r>
    <x v="7"/>
    <x v="3"/>
    <x v="1"/>
    <x v="4"/>
    <n v="116"/>
    <n v="36"/>
    <n v="475.96708170108798"/>
  </r>
  <r>
    <x v="7"/>
    <x v="3"/>
    <x v="1"/>
    <x v="5"/>
    <n v="126"/>
    <n v="40"/>
    <n v="658.439572046884"/>
  </r>
  <r>
    <x v="7"/>
    <x v="3"/>
    <x v="1"/>
    <x v="3"/>
    <n v="82"/>
    <n v="39"/>
    <n v="715.62272564345596"/>
  </r>
  <r>
    <x v="8"/>
    <x v="0"/>
    <x v="0"/>
    <x v="0"/>
    <n v="3"/>
    <n v="1"/>
    <n v="3.6780029413514201"/>
  </r>
  <r>
    <x v="8"/>
    <x v="0"/>
    <x v="0"/>
    <x v="2"/>
    <n v="4"/>
    <n v="0"/>
    <n v="0"/>
  </r>
  <r>
    <x v="8"/>
    <x v="0"/>
    <x v="0"/>
    <x v="1"/>
    <n v="3"/>
    <n v="1"/>
    <n v="2.5745232389672501"/>
  </r>
  <r>
    <x v="8"/>
    <x v="0"/>
    <x v="1"/>
    <x v="4"/>
    <n v="9"/>
    <n v="0"/>
    <n v="0"/>
  </r>
  <r>
    <x v="8"/>
    <x v="0"/>
    <x v="1"/>
    <x v="5"/>
    <n v="3"/>
    <n v="0"/>
    <n v="0"/>
  </r>
  <r>
    <x v="8"/>
    <x v="0"/>
    <x v="1"/>
    <x v="3"/>
    <n v="10"/>
    <n v="3"/>
    <n v="65.5062999662712"/>
  </r>
  <r>
    <x v="8"/>
    <x v="1"/>
    <x v="0"/>
    <x v="2"/>
    <n v="15"/>
    <n v="9"/>
    <n v="155.28894096371599"/>
  </r>
  <r>
    <x v="8"/>
    <x v="1"/>
    <x v="0"/>
    <x v="0"/>
    <n v="9"/>
    <n v="4"/>
    <n v="65.299351495303497"/>
  </r>
  <r>
    <x v="8"/>
    <x v="1"/>
    <x v="0"/>
    <x v="1"/>
    <n v="8"/>
    <n v="6"/>
    <n v="117.73295314793"/>
  </r>
  <r>
    <x v="8"/>
    <x v="1"/>
    <x v="1"/>
    <x v="5"/>
    <n v="407"/>
    <n v="137"/>
    <n v="5467.5997025995603"/>
  </r>
  <r>
    <x v="8"/>
    <x v="1"/>
    <x v="1"/>
    <x v="3"/>
    <n v="304"/>
    <n v="91"/>
    <n v="3853.8744928584802"/>
  </r>
  <r>
    <x v="8"/>
    <x v="1"/>
    <x v="1"/>
    <x v="4"/>
    <n v="352"/>
    <n v="112"/>
    <n v="4715.8924688890902"/>
  </r>
  <r>
    <x v="8"/>
    <x v="2"/>
    <x v="0"/>
    <x v="1"/>
    <n v="5"/>
    <n v="2"/>
    <n v="7.7686312797644899"/>
  </r>
  <r>
    <x v="8"/>
    <x v="2"/>
    <x v="0"/>
    <x v="0"/>
    <n v="5"/>
    <n v="5"/>
    <n v="70.719819485673895"/>
  </r>
  <r>
    <x v="8"/>
    <x v="2"/>
    <x v="0"/>
    <x v="2"/>
    <n v="8"/>
    <n v="4"/>
    <n v="58.155567861349198"/>
  </r>
  <r>
    <x v="8"/>
    <x v="2"/>
    <x v="1"/>
    <x v="4"/>
    <n v="54"/>
    <n v="10"/>
    <n v="184.05947171277799"/>
  </r>
  <r>
    <x v="8"/>
    <x v="2"/>
    <x v="1"/>
    <x v="3"/>
    <n v="34"/>
    <n v="8"/>
    <n v="183.48377894049699"/>
  </r>
  <r>
    <x v="8"/>
    <x v="2"/>
    <x v="1"/>
    <x v="5"/>
    <n v="41"/>
    <n v="7"/>
    <n v="239.61374408617701"/>
  </r>
  <r>
    <x v="8"/>
    <x v="3"/>
    <x v="0"/>
    <x v="0"/>
    <n v="44"/>
    <n v="16"/>
    <n v="87.649307833527999"/>
  </r>
  <r>
    <x v="8"/>
    <x v="3"/>
    <x v="0"/>
    <x v="1"/>
    <n v="29"/>
    <n v="15"/>
    <n v="87.951876251255797"/>
  </r>
  <r>
    <x v="8"/>
    <x v="3"/>
    <x v="0"/>
    <x v="2"/>
    <n v="66"/>
    <n v="20"/>
    <n v="93.457580672869"/>
  </r>
  <r>
    <x v="8"/>
    <x v="3"/>
    <x v="1"/>
    <x v="3"/>
    <n v="117"/>
    <n v="52"/>
    <n v="839.08245445086504"/>
  </r>
  <r>
    <x v="8"/>
    <x v="3"/>
    <x v="1"/>
    <x v="5"/>
    <n v="134"/>
    <n v="38"/>
    <n v="596.68773956903897"/>
  </r>
  <r>
    <x v="8"/>
    <x v="3"/>
    <x v="1"/>
    <x v="4"/>
    <n v="107"/>
    <n v="38"/>
    <n v="479.40596091965602"/>
  </r>
  <r>
    <x v="9"/>
    <x v="0"/>
    <x v="0"/>
    <x v="2"/>
    <n v="1"/>
    <n v="0"/>
    <n v="0"/>
  </r>
  <r>
    <x v="9"/>
    <x v="0"/>
    <x v="0"/>
    <x v="0"/>
    <n v="3"/>
    <n v="2"/>
    <n v="7.35605555292641"/>
  </r>
  <r>
    <x v="9"/>
    <x v="0"/>
    <x v="0"/>
    <x v="1"/>
    <n v="0"/>
    <n v="0"/>
    <n v="0"/>
  </r>
  <r>
    <x v="9"/>
    <x v="0"/>
    <x v="1"/>
    <x v="5"/>
    <n v="8"/>
    <n v="6"/>
    <n v="197.025914692491"/>
  </r>
  <r>
    <x v="9"/>
    <x v="0"/>
    <x v="1"/>
    <x v="3"/>
    <n v="12"/>
    <n v="3"/>
    <n v="114.84036825926999"/>
  </r>
  <r>
    <x v="9"/>
    <x v="0"/>
    <x v="1"/>
    <x v="4"/>
    <n v="11"/>
    <n v="4"/>
    <n v="123.079578984015"/>
  </r>
  <r>
    <x v="9"/>
    <x v="1"/>
    <x v="0"/>
    <x v="0"/>
    <n v="10"/>
    <n v="7"/>
    <n v="133.28500041538501"/>
  </r>
  <r>
    <x v="9"/>
    <x v="1"/>
    <x v="0"/>
    <x v="1"/>
    <n v="4"/>
    <n v="2"/>
    <n v="27.565118849301498"/>
  </r>
  <r>
    <x v="9"/>
    <x v="1"/>
    <x v="0"/>
    <x v="2"/>
    <n v="20"/>
    <n v="10"/>
    <n v="183.149960275187"/>
  </r>
  <r>
    <x v="9"/>
    <x v="1"/>
    <x v="1"/>
    <x v="5"/>
    <n v="407"/>
    <n v="142"/>
    <n v="5678.9933371872103"/>
  </r>
  <r>
    <x v="9"/>
    <x v="1"/>
    <x v="1"/>
    <x v="3"/>
    <n v="325"/>
    <n v="114"/>
    <n v="4797.9999847155896"/>
  </r>
  <r>
    <x v="9"/>
    <x v="1"/>
    <x v="1"/>
    <x v="4"/>
    <n v="323"/>
    <n v="100"/>
    <n v="4127.9442887856803"/>
  </r>
  <r>
    <x v="9"/>
    <x v="2"/>
    <x v="0"/>
    <x v="0"/>
    <n v="5"/>
    <n v="3"/>
    <n v="51.860535583222799"/>
  </r>
  <r>
    <x v="9"/>
    <x v="2"/>
    <x v="0"/>
    <x v="2"/>
    <n v="6"/>
    <n v="2"/>
    <n v="6.5753027613578796"/>
  </r>
  <r>
    <x v="9"/>
    <x v="2"/>
    <x v="0"/>
    <x v="1"/>
    <n v="2"/>
    <n v="1"/>
    <n v="18.188206601492201"/>
  </r>
  <r>
    <x v="9"/>
    <x v="2"/>
    <x v="1"/>
    <x v="5"/>
    <n v="55"/>
    <n v="16"/>
    <n v="463.63159283454002"/>
  </r>
  <r>
    <x v="9"/>
    <x v="2"/>
    <x v="1"/>
    <x v="4"/>
    <n v="43"/>
    <n v="13"/>
    <n v="421.77630249452397"/>
  </r>
  <r>
    <x v="9"/>
    <x v="2"/>
    <x v="1"/>
    <x v="3"/>
    <n v="42"/>
    <n v="9"/>
    <n v="238.50188208468401"/>
  </r>
  <r>
    <x v="9"/>
    <x v="3"/>
    <x v="0"/>
    <x v="0"/>
    <n v="35"/>
    <n v="15"/>
    <n v="128.17547421764999"/>
  </r>
  <r>
    <x v="9"/>
    <x v="3"/>
    <x v="0"/>
    <x v="1"/>
    <n v="23"/>
    <n v="6"/>
    <n v="33.679902490604"/>
  </r>
  <r>
    <x v="9"/>
    <x v="3"/>
    <x v="0"/>
    <x v="2"/>
    <n v="57"/>
    <n v="21"/>
    <n v="111.42562733091199"/>
  </r>
  <r>
    <x v="9"/>
    <x v="3"/>
    <x v="1"/>
    <x v="3"/>
    <n v="116"/>
    <n v="38"/>
    <n v="645.183478757128"/>
  </r>
  <r>
    <x v="9"/>
    <x v="3"/>
    <x v="1"/>
    <x v="4"/>
    <n v="98"/>
    <n v="28"/>
    <n v="428.009366932604"/>
  </r>
  <r>
    <x v="9"/>
    <x v="3"/>
    <x v="1"/>
    <x v="5"/>
    <n v="126"/>
    <n v="46"/>
    <n v="673.83392860524896"/>
  </r>
  <r>
    <x v="10"/>
    <x v="0"/>
    <x v="0"/>
    <x v="0"/>
    <n v="0"/>
    <n v="0"/>
    <n v="0"/>
  </r>
  <r>
    <x v="10"/>
    <x v="0"/>
    <x v="0"/>
    <x v="2"/>
    <n v="3"/>
    <n v="1"/>
    <n v="3.69094102174707"/>
  </r>
  <r>
    <x v="10"/>
    <x v="0"/>
    <x v="0"/>
    <x v="1"/>
    <n v="0"/>
    <n v="0"/>
    <n v="0"/>
  </r>
  <r>
    <x v="10"/>
    <x v="0"/>
    <x v="1"/>
    <x v="5"/>
    <n v="10"/>
    <n v="2"/>
    <n v="32.344269690143101"/>
  </r>
  <r>
    <x v="10"/>
    <x v="0"/>
    <x v="1"/>
    <x v="4"/>
    <n v="5"/>
    <n v="1"/>
    <n v="18.4557597386437"/>
  </r>
  <r>
    <x v="10"/>
    <x v="0"/>
    <x v="1"/>
    <x v="3"/>
    <n v="12"/>
    <n v="3"/>
    <n v="141.05311852286499"/>
  </r>
  <r>
    <x v="10"/>
    <x v="1"/>
    <x v="0"/>
    <x v="2"/>
    <n v="27"/>
    <n v="15"/>
    <n v="255.57615306167901"/>
  </r>
  <r>
    <x v="10"/>
    <x v="1"/>
    <x v="0"/>
    <x v="0"/>
    <n v="13"/>
    <n v="10"/>
    <n v="183.32722341893199"/>
  </r>
  <r>
    <x v="10"/>
    <x v="1"/>
    <x v="0"/>
    <x v="1"/>
    <n v="11"/>
    <n v="9"/>
    <n v="153.645907520842"/>
  </r>
  <r>
    <x v="10"/>
    <x v="1"/>
    <x v="1"/>
    <x v="5"/>
    <n v="600"/>
    <n v="214"/>
    <n v="8100.4927332079096"/>
  </r>
  <r>
    <x v="10"/>
    <x v="1"/>
    <x v="1"/>
    <x v="4"/>
    <n v="526"/>
    <n v="189"/>
    <n v="8307.3821777829908"/>
  </r>
  <r>
    <x v="10"/>
    <x v="1"/>
    <x v="1"/>
    <x v="3"/>
    <n v="498"/>
    <n v="166"/>
    <n v="6589.0517847146803"/>
  </r>
  <r>
    <x v="10"/>
    <x v="2"/>
    <x v="0"/>
    <x v="2"/>
    <n v="9"/>
    <n v="2"/>
    <n v="27.694634175983001"/>
  </r>
  <r>
    <x v="10"/>
    <x v="2"/>
    <x v="0"/>
    <x v="0"/>
    <n v="9"/>
    <n v="4"/>
    <n v="57.676844221268297"/>
  </r>
  <r>
    <x v="10"/>
    <x v="2"/>
    <x v="0"/>
    <x v="1"/>
    <n v="1"/>
    <n v="1"/>
    <n v="5.0135655821800604"/>
  </r>
  <r>
    <x v="10"/>
    <x v="2"/>
    <x v="1"/>
    <x v="4"/>
    <n v="53"/>
    <n v="12"/>
    <n v="341.52625708426598"/>
  </r>
  <r>
    <x v="10"/>
    <x v="2"/>
    <x v="1"/>
    <x v="3"/>
    <n v="50"/>
    <n v="9"/>
    <n v="232.477469988796"/>
  </r>
  <r>
    <x v="10"/>
    <x v="2"/>
    <x v="1"/>
    <x v="5"/>
    <n v="66"/>
    <n v="14"/>
    <n v="365.56429692240602"/>
  </r>
  <r>
    <x v="10"/>
    <x v="3"/>
    <x v="0"/>
    <x v="2"/>
    <n v="74"/>
    <n v="20"/>
    <n v="120.57223174779701"/>
  </r>
  <r>
    <x v="10"/>
    <x v="3"/>
    <x v="0"/>
    <x v="1"/>
    <n v="36"/>
    <n v="15"/>
    <n v="83.2138689544188"/>
  </r>
  <r>
    <x v="10"/>
    <x v="3"/>
    <x v="0"/>
    <x v="0"/>
    <n v="50"/>
    <n v="19"/>
    <n v="125.290400403493"/>
  </r>
  <r>
    <x v="10"/>
    <x v="3"/>
    <x v="1"/>
    <x v="5"/>
    <n v="191"/>
    <n v="58"/>
    <n v="747.09363816540497"/>
  </r>
  <r>
    <x v="10"/>
    <x v="3"/>
    <x v="1"/>
    <x v="3"/>
    <n v="144"/>
    <n v="49"/>
    <n v="799.55643849161095"/>
  </r>
  <r>
    <x v="10"/>
    <x v="3"/>
    <x v="1"/>
    <x v="4"/>
    <n v="162"/>
    <n v="45"/>
    <n v="646.58338334530902"/>
  </r>
  <r>
    <x v="11"/>
    <x v="0"/>
    <x v="0"/>
    <x v="1"/>
    <n v="4"/>
    <n v="2"/>
    <n v="14.9186641082732"/>
  </r>
  <r>
    <x v="11"/>
    <x v="0"/>
    <x v="0"/>
    <x v="2"/>
    <n v="1"/>
    <n v="1"/>
    <n v="6.2355398512329598"/>
  </r>
  <r>
    <x v="11"/>
    <x v="0"/>
    <x v="0"/>
    <x v="0"/>
    <n v="2"/>
    <n v="2"/>
    <n v="19.246468512428901"/>
  </r>
  <r>
    <x v="11"/>
    <x v="0"/>
    <x v="1"/>
    <x v="4"/>
    <n v="9"/>
    <n v="4"/>
    <n v="116.380604518646"/>
  </r>
  <r>
    <x v="11"/>
    <x v="0"/>
    <x v="1"/>
    <x v="5"/>
    <n v="11"/>
    <n v="4"/>
    <n v="64.244386340903802"/>
  </r>
  <r>
    <x v="11"/>
    <x v="0"/>
    <x v="1"/>
    <x v="3"/>
    <n v="7"/>
    <n v="3"/>
    <n v="77.452092605211305"/>
  </r>
  <r>
    <x v="11"/>
    <x v="1"/>
    <x v="0"/>
    <x v="0"/>
    <n v="9"/>
    <n v="5"/>
    <n v="56.014634175982998"/>
  </r>
  <r>
    <x v="11"/>
    <x v="1"/>
    <x v="0"/>
    <x v="2"/>
    <n v="14"/>
    <n v="5"/>
    <n v="81.559931923946905"/>
  </r>
  <r>
    <x v="11"/>
    <x v="1"/>
    <x v="0"/>
    <x v="1"/>
    <n v="10"/>
    <n v="8"/>
    <n v="122.905013678682"/>
  </r>
  <r>
    <x v="11"/>
    <x v="1"/>
    <x v="1"/>
    <x v="5"/>
    <n v="622"/>
    <n v="211"/>
    <n v="9028.7406888373298"/>
  </r>
  <r>
    <x v="11"/>
    <x v="1"/>
    <x v="1"/>
    <x v="4"/>
    <n v="496"/>
    <n v="163"/>
    <n v="6750.37674533682"/>
  </r>
  <r>
    <x v="11"/>
    <x v="1"/>
    <x v="1"/>
    <x v="3"/>
    <n v="470"/>
    <n v="159"/>
    <n v="6745.38282540808"/>
  </r>
  <r>
    <x v="11"/>
    <x v="2"/>
    <x v="0"/>
    <x v="1"/>
    <n v="5"/>
    <n v="2"/>
    <n v="10.241871860541099"/>
  </r>
  <r>
    <x v="11"/>
    <x v="2"/>
    <x v="0"/>
    <x v="2"/>
    <n v="8"/>
    <n v="2"/>
    <n v="21.8041400433492"/>
  </r>
  <r>
    <x v="11"/>
    <x v="2"/>
    <x v="0"/>
    <x v="0"/>
    <n v="6"/>
    <n v="2"/>
    <n v="22.2133302425107"/>
  </r>
  <r>
    <x v="11"/>
    <x v="2"/>
    <x v="1"/>
    <x v="4"/>
    <n v="57"/>
    <n v="13"/>
    <n v="339.99739414653402"/>
  </r>
  <r>
    <x v="11"/>
    <x v="2"/>
    <x v="1"/>
    <x v="3"/>
    <n v="54"/>
    <n v="11"/>
    <n v="368.691952971967"/>
  </r>
  <r>
    <x v="11"/>
    <x v="2"/>
    <x v="1"/>
    <x v="5"/>
    <n v="62"/>
    <n v="13"/>
    <n v="324.50621631190597"/>
  </r>
  <r>
    <x v="11"/>
    <x v="3"/>
    <x v="0"/>
    <x v="2"/>
    <n v="66"/>
    <n v="26"/>
    <n v="136.09327281758499"/>
  </r>
  <r>
    <x v="11"/>
    <x v="3"/>
    <x v="0"/>
    <x v="0"/>
    <n v="34"/>
    <n v="16"/>
    <n v="83.680716018938895"/>
  </r>
  <r>
    <x v="11"/>
    <x v="3"/>
    <x v="0"/>
    <x v="1"/>
    <n v="39"/>
    <n v="24"/>
    <n v="135.95935365618601"/>
  </r>
  <r>
    <x v="11"/>
    <x v="3"/>
    <x v="1"/>
    <x v="4"/>
    <n v="131"/>
    <n v="38"/>
    <n v="641.66011570116802"/>
  </r>
  <r>
    <x v="11"/>
    <x v="3"/>
    <x v="1"/>
    <x v="3"/>
    <n v="121"/>
    <n v="32"/>
    <n v="596.27640995263698"/>
  </r>
  <r>
    <x v="11"/>
    <x v="3"/>
    <x v="1"/>
    <x v="5"/>
    <n v="189"/>
    <n v="67"/>
    <n v="1119.8206986840501"/>
  </r>
  <r>
    <x v="12"/>
    <x v="0"/>
    <x v="0"/>
    <x v="1"/>
    <n v="1"/>
    <n v="0"/>
    <n v="0"/>
  </r>
  <r>
    <x v="12"/>
    <x v="0"/>
    <x v="0"/>
    <x v="0"/>
    <n v="2"/>
    <n v="0"/>
    <n v="0"/>
  </r>
  <r>
    <x v="12"/>
    <x v="0"/>
    <x v="0"/>
    <x v="2"/>
    <n v="1"/>
    <n v="1"/>
    <n v="8.1533101100282597"/>
  </r>
  <r>
    <x v="12"/>
    <x v="0"/>
    <x v="1"/>
    <x v="5"/>
    <n v="6"/>
    <n v="3"/>
    <n v="163.949955175529"/>
  </r>
  <r>
    <x v="12"/>
    <x v="0"/>
    <x v="1"/>
    <x v="3"/>
    <n v="7"/>
    <n v="3"/>
    <n v="140.32788870133899"/>
  </r>
  <r>
    <x v="12"/>
    <x v="0"/>
    <x v="1"/>
    <x v="4"/>
    <n v="7"/>
    <n v="3"/>
    <n v="91.375005459004299"/>
  </r>
  <r>
    <x v="12"/>
    <x v="1"/>
    <x v="0"/>
    <x v="1"/>
    <n v="10"/>
    <n v="5"/>
    <n v="88.527091513737901"/>
  </r>
  <r>
    <x v="12"/>
    <x v="1"/>
    <x v="0"/>
    <x v="2"/>
    <n v="22"/>
    <n v="13"/>
    <n v="191.21751639860099"/>
  </r>
  <r>
    <x v="12"/>
    <x v="1"/>
    <x v="0"/>
    <x v="0"/>
    <n v="13"/>
    <n v="4"/>
    <n v="43.839999999999897"/>
  </r>
  <r>
    <x v="12"/>
    <x v="1"/>
    <x v="1"/>
    <x v="4"/>
    <n v="393"/>
    <n v="130"/>
    <n v="5524.7488839943298"/>
  </r>
  <r>
    <x v="12"/>
    <x v="1"/>
    <x v="1"/>
    <x v="5"/>
    <n v="483"/>
    <n v="168"/>
    <n v="7429.8781155269999"/>
  </r>
  <r>
    <x v="12"/>
    <x v="1"/>
    <x v="1"/>
    <x v="3"/>
    <n v="355"/>
    <n v="119"/>
    <n v="5174.7192327127304"/>
  </r>
  <r>
    <x v="12"/>
    <x v="2"/>
    <x v="0"/>
    <x v="2"/>
    <n v="11"/>
    <n v="4"/>
    <n v="59.234400846106901"/>
  </r>
  <r>
    <x v="12"/>
    <x v="2"/>
    <x v="0"/>
    <x v="0"/>
    <n v="7"/>
    <n v="1"/>
    <n v="4.9817172715963798"/>
  </r>
  <r>
    <x v="12"/>
    <x v="2"/>
    <x v="0"/>
    <x v="1"/>
    <n v="6"/>
    <n v="3"/>
    <n v="11.7703476559987"/>
  </r>
  <r>
    <x v="12"/>
    <x v="2"/>
    <x v="1"/>
    <x v="4"/>
    <n v="41"/>
    <n v="3"/>
    <n v="99.951516055592506"/>
  </r>
  <r>
    <x v="12"/>
    <x v="2"/>
    <x v="1"/>
    <x v="3"/>
    <n v="46"/>
    <n v="9"/>
    <n v="235.647725928287"/>
  </r>
  <r>
    <x v="12"/>
    <x v="2"/>
    <x v="1"/>
    <x v="5"/>
    <n v="63"/>
    <n v="14"/>
    <n v="245.703723765397"/>
  </r>
  <r>
    <x v="12"/>
    <x v="3"/>
    <x v="0"/>
    <x v="2"/>
    <n v="64"/>
    <n v="22"/>
    <n v="123.30571650368699"/>
  </r>
  <r>
    <x v="12"/>
    <x v="3"/>
    <x v="0"/>
    <x v="0"/>
    <n v="49"/>
    <n v="18"/>
    <n v="104.664841516797"/>
  </r>
  <r>
    <x v="12"/>
    <x v="3"/>
    <x v="0"/>
    <x v="1"/>
    <n v="31"/>
    <n v="13"/>
    <n v="71.921779955104"/>
  </r>
  <r>
    <x v="12"/>
    <x v="3"/>
    <x v="1"/>
    <x v="3"/>
    <n v="98"/>
    <n v="29"/>
    <n v="418.81368912330601"/>
  </r>
  <r>
    <x v="12"/>
    <x v="3"/>
    <x v="1"/>
    <x v="5"/>
    <n v="118"/>
    <n v="32"/>
    <n v="468.19810322277999"/>
  </r>
  <r>
    <x v="12"/>
    <x v="3"/>
    <x v="1"/>
    <x v="4"/>
    <n v="121"/>
    <n v="34"/>
    <n v="530.50809629424202"/>
  </r>
  <r>
    <x v="13"/>
    <x v="0"/>
    <x v="0"/>
    <x v="2"/>
    <n v="3"/>
    <n v="0"/>
    <n v="0"/>
  </r>
  <r>
    <x v="13"/>
    <x v="0"/>
    <x v="0"/>
    <x v="1"/>
    <n v="0"/>
    <n v="0"/>
    <n v="0"/>
  </r>
  <r>
    <x v="13"/>
    <x v="0"/>
    <x v="0"/>
    <x v="0"/>
    <n v="1"/>
    <n v="0"/>
    <n v="0"/>
  </r>
  <r>
    <x v="13"/>
    <x v="0"/>
    <x v="1"/>
    <x v="5"/>
    <n v="11"/>
    <n v="5"/>
    <n v="143.96006813505701"/>
  </r>
  <r>
    <x v="13"/>
    <x v="0"/>
    <x v="1"/>
    <x v="3"/>
    <n v="6"/>
    <n v="2"/>
    <n v="25.855017131025299"/>
  </r>
  <r>
    <x v="13"/>
    <x v="0"/>
    <x v="1"/>
    <x v="4"/>
    <n v="8"/>
    <n v="3"/>
    <n v="68.196955463423905"/>
  </r>
  <r>
    <x v="13"/>
    <x v="1"/>
    <x v="0"/>
    <x v="2"/>
    <n v="15"/>
    <n v="7"/>
    <n v="139.53538963419501"/>
  </r>
  <r>
    <x v="13"/>
    <x v="1"/>
    <x v="0"/>
    <x v="0"/>
    <n v="11"/>
    <n v="5"/>
    <n v="75.907441221008696"/>
  </r>
  <r>
    <x v="13"/>
    <x v="1"/>
    <x v="0"/>
    <x v="1"/>
    <n v="7"/>
    <n v="5"/>
    <n v="70.874064496149998"/>
  </r>
  <r>
    <x v="13"/>
    <x v="1"/>
    <x v="1"/>
    <x v="3"/>
    <n v="335"/>
    <n v="123"/>
    <n v="5100.5471310310404"/>
  </r>
  <r>
    <x v="13"/>
    <x v="1"/>
    <x v="1"/>
    <x v="4"/>
    <n v="331"/>
    <n v="97"/>
    <n v="4030.6866304049499"/>
  </r>
  <r>
    <x v="13"/>
    <x v="1"/>
    <x v="1"/>
    <x v="5"/>
    <n v="472"/>
    <n v="147"/>
    <n v="6034.5840340684399"/>
  </r>
  <r>
    <x v="13"/>
    <x v="2"/>
    <x v="0"/>
    <x v="1"/>
    <n v="2"/>
    <n v="1"/>
    <n v="14.735910699700501"/>
  </r>
  <r>
    <x v="13"/>
    <x v="2"/>
    <x v="0"/>
    <x v="0"/>
    <n v="4"/>
    <n v="1"/>
    <n v="11.916930517813"/>
  </r>
  <r>
    <x v="13"/>
    <x v="2"/>
    <x v="0"/>
    <x v="2"/>
    <n v="3"/>
    <n v="1"/>
    <n v="3.5663297582959701"/>
  </r>
  <r>
    <x v="13"/>
    <x v="2"/>
    <x v="1"/>
    <x v="5"/>
    <n v="63"/>
    <n v="13"/>
    <n v="472.58357532880302"/>
  </r>
  <r>
    <x v="13"/>
    <x v="2"/>
    <x v="1"/>
    <x v="4"/>
    <n v="48"/>
    <n v="12"/>
    <n v="386.60866752248597"/>
  </r>
  <r>
    <x v="13"/>
    <x v="2"/>
    <x v="1"/>
    <x v="3"/>
    <n v="58"/>
    <n v="15"/>
    <n v="369.52393599170898"/>
  </r>
  <r>
    <x v="13"/>
    <x v="3"/>
    <x v="0"/>
    <x v="2"/>
    <n v="57"/>
    <n v="21"/>
    <n v="127.229834648145"/>
  </r>
  <r>
    <x v="13"/>
    <x v="3"/>
    <x v="0"/>
    <x v="1"/>
    <n v="34"/>
    <n v="20"/>
    <n v="119.276360111364"/>
  </r>
  <r>
    <x v="13"/>
    <x v="3"/>
    <x v="0"/>
    <x v="0"/>
    <n v="38"/>
    <n v="13"/>
    <n v="63.619846424939901"/>
  </r>
  <r>
    <x v="13"/>
    <x v="3"/>
    <x v="1"/>
    <x v="4"/>
    <n v="110"/>
    <n v="30"/>
    <n v="491.137498309335"/>
  </r>
  <r>
    <x v="13"/>
    <x v="3"/>
    <x v="1"/>
    <x v="5"/>
    <n v="119"/>
    <n v="43"/>
    <n v="618.735430722366"/>
  </r>
  <r>
    <x v="13"/>
    <x v="3"/>
    <x v="1"/>
    <x v="3"/>
    <n v="86"/>
    <n v="25"/>
    <n v="434.97713063486998"/>
  </r>
  <r>
    <x v="14"/>
    <x v="0"/>
    <x v="0"/>
    <x v="1"/>
    <n v="2"/>
    <n v="0"/>
    <n v="0"/>
  </r>
  <r>
    <x v="14"/>
    <x v="0"/>
    <x v="0"/>
    <x v="0"/>
    <n v="0"/>
    <n v="0"/>
    <n v="0"/>
  </r>
  <r>
    <x v="14"/>
    <x v="0"/>
    <x v="0"/>
    <x v="2"/>
    <n v="0"/>
    <n v="0"/>
    <n v="0"/>
  </r>
  <r>
    <x v="14"/>
    <x v="0"/>
    <x v="1"/>
    <x v="3"/>
    <n v="5"/>
    <n v="0"/>
    <n v="0"/>
  </r>
  <r>
    <x v="14"/>
    <x v="0"/>
    <x v="1"/>
    <x v="5"/>
    <n v="13"/>
    <n v="4"/>
    <n v="76.852094858775402"/>
  </r>
  <r>
    <x v="14"/>
    <x v="0"/>
    <x v="1"/>
    <x v="4"/>
    <n v="10"/>
    <n v="3"/>
    <n v="27.1193165743774"/>
  </r>
  <r>
    <x v="14"/>
    <x v="1"/>
    <x v="0"/>
    <x v="2"/>
    <n v="19"/>
    <n v="10"/>
    <n v="122.628004231647"/>
  </r>
  <r>
    <x v="14"/>
    <x v="1"/>
    <x v="0"/>
    <x v="0"/>
    <n v="11"/>
    <n v="6"/>
    <n v="110.294346991748"/>
  </r>
  <r>
    <x v="14"/>
    <x v="1"/>
    <x v="0"/>
    <x v="1"/>
    <n v="8"/>
    <n v="5"/>
    <n v="72.528440923364599"/>
  </r>
  <r>
    <x v="14"/>
    <x v="1"/>
    <x v="1"/>
    <x v="5"/>
    <n v="401"/>
    <n v="145"/>
    <n v="5966.4041626935596"/>
  </r>
  <r>
    <x v="14"/>
    <x v="1"/>
    <x v="1"/>
    <x v="3"/>
    <n v="331"/>
    <n v="106"/>
    <n v="4790.8234921814101"/>
  </r>
  <r>
    <x v="14"/>
    <x v="1"/>
    <x v="1"/>
    <x v="4"/>
    <n v="360"/>
    <n v="129"/>
    <n v="5679.3764904605696"/>
  </r>
  <r>
    <x v="14"/>
    <x v="2"/>
    <x v="0"/>
    <x v="1"/>
    <n v="2"/>
    <n v="0"/>
    <n v="0"/>
  </r>
  <r>
    <x v="14"/>
    <x v="2"/>
    <x v="0"/>
    <x v="0"/>
    <n v="4"/>
    <n v="2"/>
    <n v="21.2833133253318"/>
  </r>
  <r>
    <x v="14"/>
    <x v="2"/>
    <x v="0"/>
    <x v="2"/>
    <n v="9"/>
    <n v="2"/>
    <n v="23.333021376148"/>
  </r>
  <r>
    <x v="14"/>
    <x v="2"/>
    <x v="1"/>
    <x v="5"/>
    <n v="61"/>
    <n v="21"/>
    <n v="647.43580985631604"/>
  </r>
  <r>
    <x v="14"/>
    <x v="2"/>
    <x v="1"/>
    <x v="3"/>
    <n v="48"/>
    <n v="11"/>
    <n v="279.282196207185"/>
  </r>
  <r>
    <x v="14"/>
    <x v="2"/>
    <x v="1"/>
    <x v="4"/>
    <n v="47"/>
    <n v="8"/>
    <n v="241.19473187009001"/>
  </r>
  <r>
    <x v="14"/>
    <x v="3"/>
    <x v="0"/>
    <x v="0"/>
    <n v="53"/>
    <n v="17"/>
    <n v="96.007992198408701"/>
  </r>
  <r>
    <x v="14"/>
    <x v="3"/>
    <x v="0"/>
    <x v="2"/>
    <n v="54"/>
    <n v="21"/>
    <n v="112.21970952592"/>
  </r>
  <r>
    <x v="14"/>
    <x v="3"/>
    <x v="0"/>
    <x v="1"/>
    <n v="33"/>
    <n v="18"/>
    <n v="104.07880466081799"/>
  </r>
  <r>
    <x v="14"/>
    <x v="3"/>
    <x v="1"/>
    <x v="4"/>
    <n v="105"/>
    <n v="29"/>
    <n v="452.42582894545598"/>
  </r>
  <r>
    <x v="14"/>
    <x v="3"/>
    <x v="1"/>
    <x v="3"/>
    <n v="118"/>
    <n v="44"/>
    <n v="625.53798033913597"/>
  </r>
  <r>
    <x v="14"/>
    <x v="3"/>
    <x v="1"/>
    <x v="5"/>
    <n v="123"/>
    <n v="42"/>
    <n v="626.45517558502002"/>
  </r>
  <r>
    <x v="15"/>
    <x v="0"/>
    <x v="0"/>
    <x v="0"/>
    <n v="3"/>
    <n v="0"/>
    <n v="0"/>
  </r>
  <r>
    <x v="15"/>
    <x v="0"/>
    <x v="0"/>
    <x v="2"/>
    <n v="1"/>
    <n v="0"/>
    <n v="0"/>
  </r>
  <r>
    <x v="15"/>
    <x v="0"/>
    <x v="0"/>
    <x v="1"/>
    <n v="0"/>
    <n v="0"/>
    <n v="0"/>
  </r>
  <r>
    <x v="15"/>
    <x v="0"/>
    <x v="1"/>
    <x v="3"/>
    <n v="6"/>
    <n v="2"/>
    <n v="81.016293377871307"/>
  </r>
  <r>
    <x v="15"/>
    <x v="0"/>
    <x v="1"/>
    <x v="5"/>
    <n v="9"/>
    <n v="3"/>
    <n v="44.442647672829096"/>
  </r>
  <r>
    <x v="15"/>
    <x v="0"/>
    <x v="1"/>
    <x v="4"/>
    <n v="8"/>
    <n v="4"/>
    <n v="124.58140726907099"/>
  </r>
  <r>
    <x v="15"/>
    <x v="1"/>
    <x v="0"/>
    <x v="0"/>
    <n v="17"/>
    <n v="12"/>
    <n v="258.64767678830901"/>
  </r>
  <r>
    <x v="15"/>
    <x v="1"/>
    <x v="0"/>
    <x v="1"/>
    <n v="12"/>
    <n v="9"/>
    <n v="70.775516108257904"/>
  </r>
  <r>
    <x v="15"/>
    <x v="1"/>
    <x v="0"/>
    <x v="2"/>
    <n v="18"/>
    <n v="9"/>
    <n v="167.248000025528"/>
  </r>
  <r>
    <x v="15"/>
    <x v="1"/>
    <x v="1"/>
    <x v="3"/>
    <n v="377"/>
    <n v="127"/>
    <n v="5711.46527218747"/>
  </r>
  <r>
    <x v="15"/>
    <x v="1"/>
    <x v="1"/>
    <x v="5"/>
    <n v="453"/>
    <n v="149"/>
    <n v="6106.4634063469202"/>
  </r>
  <r>
    <x v="15"/>
    <x v="1"/>
    <x v="1"/>
    <x v="4"/>
    <n v="425"/>
    <n v="136"/>
    <n v="5639.4719791286097"/>
  </r>
  <r>
    <x v="15"/>
    <x v="2"/>
    <x v="0"/>
    <x v="0"/>
    <n v="7"/>
    <n v="6"/>
    <n v="69.275477797188302"/>
  </r>
  <r>
    <x v="15"/>
    <x v="2"/>
    <x v="0"/>
    <x v="1"/>
    <n v="6"/>
    <n v="3"/>
    <n v="35.098319362404702"/>
  </r>
  <r>
    <x v="15"/>
    <x v="2"/>
    <x v="0"/>
    <x v="2"/>
    <n v="4"/>
    <n v="1"/>
    <n v="11.996275031118699"/>
  </r>
  <r>
    <x v="15"/>
    <x v="2"/>
    <x v="1"/>
    <x v="3"/>
    <n v="51"/>
    <n v="5"/>
    <n v="181.22366230941901"/>
  </r>
  <r>
    <x v="15"/>
    <x v="2"/>
    <x v="1"/>
    <x v="4"/>
    <n v="60"/>
    <n v="15"/>
    <n v="300.121600501464"/>
  </r>
  <r>
    <x v="15"/>
    <x v="2"/>
    <x v="1"/>
    <x v="5"/>
    <n v="72"/>
    <n v="20"/>
    <n v="501.85236050505699"/>
  </r>
  <r>
    <x v="15"/>
    <x v="3"/>
    <x v="0"/>
    <x v="0"/>
    <n v="48"/>
    <n v="14"/>
    <n v="75.429086985811097"/>
  </r>
  <r>
    <x v="15"/>
    <x v="3"/>
    <x v="0"/>
    <x v="1"/>
    <n v="36"/>
    <n v="14"/>
    <n v="64.698343864439494"/>
  </r>
  <r>
    <x v="15"/>
    <x v="3"/>
    <x v="0"/>
    <x v="2"/>
    <n v="59"/>
    <n v="24"/>
    <n v="133.43902566973"/>
  </r>
  <r>
    <x v="15"/>
    <x v="3"/>
    <x v="1"/>
    <x v="5"/>
    <n v="154"/>
    <n v="52"/>
    <n v="877.57704826005204"/>
  </r>
  <r>
    <x v="15"/>
    <x v="3"/>
    <x v="1"/>
    <x v="3"/>
    <n v="99"/>
    <n v="32"/>
    <n v="531.48157196965496"/>
  </r>
  <r>
    <x v="15"/>
    <x v="3"/>
    <x v="1"/>
    <x v="4"/>
    <n v="139"/>
    <n v="42"/>
    <n v="801.89227040512696"/>
  </r>
  <r>
    <x v="16"/>
    <x v="0"/>
    <x v="0"/>
    <x v="2"/>
    <n v="2"/>
    <n v="1"/>
    <n v="2.5773181640751899"/>
  </r>
  <r>
    <x v="16"/>
    <x v="0"/>
    <x v="0"/>
    <x v="0"/>
    <n v="1"/>
    <n v="0"/>
    <n v="0"/>
  </r>
  <r>
    <x v="16"/>
    <x v="0"/>
    <x v="0"/>
    <x v="1"/>
    <n v="0"/>
    <n v="0"/>
    <n v="0"/>
  </r>
  <r>
    <x v="16"/>
    <x v="0"/>
    <x v="1"/>
    <x v="5"/>
    <n v="10"/>
    <n v="4"/>
    <n v="156.222080764503"/>
  </r>
  <r>
    <x v="16"/>
    <x v="0"/>
    <x v="1"/>
    <x v="4"/>
    <n v="15"/>
    <n v="4"/>
    <n v="119.86021182771999"/>
  </r>
  <r>
    <x v="16"/>
    <x v="0"/>
    <x v="1"/>
    <x v="3"/>
    <n v="13"/>
    <n v="6"/>
    <n v="222.67683026579499"/>
  </r>
  <r>
    <x v="16"/>
    <x v="1"/>
    <x v="0"/>
    <x v="1"/>
    <n v="8"/>
    <n v="7"/>
    <n v="127.32862825882"/>
  </r>
  <r>
    <x v="16"/>
    <x v="1"/>
    <x v="0"/>
    <x v="0"/>
    <n v="16"/>
    <n v="11"/>
    <n v="187.10184038826301"/>
  </r>
  <r>
    <x v="16"/>
    <x v="1"/>
    <x v="0"/>
    <x v="2"/>
    <n v="16"/>
    <n v="7"/>
    <n v="103.265738332767"/>
  </r>
  <r>
    <x v="16"/>
    <x v="1"/>
    <x v="1"/>
    <x v="5"/>
    <n v="590"/>
    <n v="176"/>
    <n v="7003.8436191773799"/>
  </r>
  <r>
    <x v="16"/>
    <x v="1"/>
    <x v="1"/>
    <x v="4"/>
    <n v="487"/>
    <n v="133"/>
    <n v="5303.4078826596897"/>
  </r>
  <r>
    <x v="16"/>
    <x v="1"/>
    <x v="1"/>
    <x v="3"/>
    <n v="513"/>
    <n v="155"/>
    <n v="6088.2283501668499"/>
  </r>
  <r>
    <x v="16"/>
    <x v="2"/>
    <x v="0"/>
    <x v="2"/>
    <n v="10"/>
    <n v="3"/>
    <n v="21.628586777187099"/>
  </r>
  <r>
    <x v="16"/>
    <x v="2"/>
    <x v="0"/>
    <x v="1"/>
    <n v="8"/>
    <n v="3"/>
    <n v="14.2558858047936"/>
  </r>
  <r>
    <x v="16"/>
    <x v="2"/>
    <x v="0"/>
    <x v="0"/>
    <n v="6"/>
    <n v="3"/>
    <n v="30.594913439890998"/>
  </r>
  <r>
    <x v="16"/>
    <x v="2"/>
    <x v="1"/>
    <x v="5"/>
    <n v="73"/>
    <n v="22"/>
    <n v="525.83690074873095"/>
  </r>
  <r>
    <x v="16"/>
    <x v="2"/>
    <x v="1"/>
    <x v="3"/>
    <n v="67"/>
    <n v="13"/>
    <n v="377.427910604472"/>
  </r>
  <r>
    <x v="16"/>
    <x v="2"/>
    <x v="1"/>
    <x v="4"/>
    <n v="54"/>
    <n v="13"/>
    <n v="318.96624511664902"/>
  </r>
  <r>
    <x v="16"/>
    <x v="3"/>
    <x v="0"/>
    <x v="2"/>
    <n v="55"/>
    <n v="25"/>
    <n v="161.87354397235299"/>
  </r>
  <r>
    <x v="16"/>
    <x v="3"/>
    <x v="0"/>
    <x v="1"/>
    <n v="48"/>
    <n v="19"/>
    <n v="97.493546283434497"/>
  </r>
  <r>
    <x v="16"/>
    <x v="3"/>
    <x v="0"/>
    <x v="0"/>
    <n v="58"/>
    <n v="24"/>
    <n v="114.77872697286701"/>
  </r>
  <r>
    <x v="16"/>
    <x v="3"/>
    <x v="1"/>
    <x v="5"/>
    <n v="236"/>
    <n v="85"/>
    <n v="1304.6703299047099"/>
  </r>
  <r>
    <x v="16"/>
    <x v="3"/>
    <x v="1"/>
    <x v="3"/>
    <n v="176"/>
    <n v="49"/>
    <n v="701.95088992118394"/>
  </r>
  <r>
    <x v="16"/>
    <x v="3"/>
    <x v="1"/>
    <x v="4"/>
    <n v="169"/>
    <n v="44"/>
    <n v="647.98966545399196"/>
  </r>
  <r>
    <x v="17"/>
    <x v="0"/>
    <x v="0"/>
    <x v="1"/>
    <n v="0"/>
    <n v="0"/>
    <n v="0"/>
  </r>
  <r>
    <x v="17"/>
    <x v="0"/>
    <x v="0"/>
    <x v="0"/>
    <n v="1"/>
    <n v="0"/>
    <n v="0"/>
  </r>
  <r>
    <x v="17"/>
    <x v="0"/>
    <x v="0"/>
    <x v="2"/>
    <n v="3"/>
    <n v="2"/>
    <n v="19.905004234203101"/>
  </r>
  <r>
    <x v="17"/>
    <x v="0"/>
    <x v="1"/>
    <x v="4"/>
    <n v="13"/>
    <n v="7"/>
    <n v="135.042615629392"/>
  </r>
  <r>
    <x v="17"/>
    <x v="0"/>
    <x v="1"/>
    <x v="5"/>
    <n v="22"/>
    <n v="6"/>
    <n v="324.44485395885999"/>
  </r>
  <r>
    <x v="17"/>
    <x v="0"/>
    <x v="1"/>
    <x v="3"/>
    <n v="9"/>
    <n v="4"/>
    <n v="50.806439351451402"/>
  </r>
  <r>
    <x v="17"/>
    <x v="1"/>
    <x v="0"/>
    <x v="2"/>
    <n v="28"/>
    <n v="10"/>
    <n v="111.210290893888"/>
  </r>
  <r>
    <x v="17"/>
    <x v="1"/>
    <x v="0"/>
    <x v="0"/>
    <n v="13"/>
    <n v="5"/>
    <n v="72.588591064539898"/>
  </r>
  <r>
    <x v="17"/>
    <x v="1"/>
    <x v="0"/>
    <x v="1"/>
    <n v="13"/>
    <n v="6"/>
    <n v="128.78414206495401"/>
  </r>
  <r>
    <x v="17"/>
    <x v="1"/>
    <x v="1"/>
    <x v="5"/>
    <n v="813"/>
    <n v="242"/>
    <n v="9857.0574221001207"/>
  </r>
  <r>
    <x v="17"/>
    <x v="1"/>
    <x v="1"/>
    <x v="4"/>
    <n v="626"/>
    <n v="177"/>
    <n v="6599.7645979663703"/>
  </r>
  <r>
    <x v="17"/>
    <x v="1"/>
    <x v="1"/>
    <x v="3"/>
    <n v="609"/>
    <n v="182"/>
    <n v="7151.4666951017998"/>
  </r>
  <r>
    <x v="17"/>
    <x v="2"/>
    <x v="0"/>
    <x v="2"/>
    <n v="16"/>
    <n v="6"/>
    <n v="47.278367586804997"/>
  </r>
  <r>
    <x v="17"/>
    <x v="2"/>
    <x v="0"/>
    <x v="0"/>
    <n v="10"/>
    <n v="5"/>
    <n v="59.7743799283488"/>
  </r>
  <r>
    <x v="17"/>
    <x v="2"/>
    <x v="0"/>
    <x v="1"/>
    <n v="8"/>
    <n v="2"/>
    <n v="9.1124286590203791"/>
  </r>
  <r>
    <x v="17"/>
    <x v="2"/>
    <x v="1"/>
    <x v="3"/>
    <n v="86"/>
    <n v="17"/>
    <n v="479.44049562554898"/>
  </r>
  <r>
    <x v="17"/>
    <x v="2"/>
    <x v="1"/>
    <x v="4"/>
    <n v="62"/>
    <n v="14"/>
    <n v="290.45294638290699"/>
  </r>
  <r>
    <x v="17"/>
    <x v="2"/>
    <x v="1"/>
    <x v="5"/>
    <n v="72"/>
    <n v="21"/>
    <n v="626.70336079987396"/>
  </r>
  <r>
    <x v="17"/>
    <x v="3"/>
    <x v="0"/>
    <x v="1"/>
    <n v="49"/>
    <n v="19"/>
    <n v="83.809591789201306"/>
  </r>
  <r>
    <x v="17"/>
    <x v="3"/>
    <x v="0"/>
    <x v="2"/>
    <n v="80"/>
    <n v="21"/>
    <n v="108.018399832189"/>
  </r>
  <r>
    <x v="17"/>
    <x v="3"/>
    <x v="0"/>
    <x v="0"/>
    <n v="68"/>
    <n v="25"/>
    <n v="147.20393506551699"/>
  </r>
  <r>
    <x v="17"/>
    <x v="3"/>
    <x v="1"/>
    <x v="4"/>
    <n v="226"/>
    <n v="54"/>
    <n v="745.66464415050905"/>
  </r>
  <r>
    <x v="17"/>
    <x v="3"/>
    <x v="1"/>
    <x v="5"/>
    <n v="231"/>
    <n v="58"/>
    <n v="802.21162768296699"/>
  </r>
  <r>
    <x v="17"/>
    <x v="3"/>
    <x v="1"/>
    <x v="3"/>
    <n v="223"/>
    <n v="64"/>
    <n v="897.063589981936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ADD44-B4F8-A04F-ACDF-868B4DFB7CBD}" name="数据透视表10" cacheId="18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 chartFormat="1">
  <location ref="P5:Z22" firstHeaderRow="1" firstDataRow="3" firstDataCol="1" rowPageCount="2" colPageCount="1"/>
  <pivotFields count="9">
    <pivotField axis="axisPage" showAll="0">
      <items count="3">
        <item x="0"/>
        <item x="1"/>
        <item t="default"/>
      </items>
    </pivotField>
    <pivotField axis="axisRow" showAll="0">
      <items count="7">
        <item x="3"/>
        <item x="4"/>
        <item x="5"/>
        <item x="0"/>
        <item x="1"/>
        <item x="2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Page" numFmtId="14" multipleItemSelectionAllowed="1" showAll="0">
      <items count="19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dataField="1" showAll="0"/>
    <pivotField dataField="1" showAll="0"/>
    <pivotField showAll="0"/>
  </pivotFields>
  <rowFields count="2">
    <field x="3"/>
    <field x="1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2">
    <pageField fld="0" hier="-1"/>
    <pageField fld="4" hier="-1"/>
  </pageFields>
  <dataFields count="2">
    <dataField name="求和项:re0" fld="6" baseField="0" baseItem="0"/>
    <dataField name="求和项:re1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835DA-AA3E-7846-96A2-8F0F5213E886}" name="数据透视表11" cacheId="19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AH4:AM9" firstHeaderRow="1" firstDataRow="2" firstDataCol="1" rowPageCount="2" colPageCount="1"/>
  <pivotFields count="7">
    <pivotField axis="axisPage" numFmtId="14" multipleItemSelectionAllowed="1" showAll="0">
      <items count="19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axis="axisRow" showAll="0">
      <items count="7">
        <item x="5"/>
        <item x="3"/>
        <item x="4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3"/>
  </rowFields>
  <rowItems count="4"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2">
    <pageField fld="0" hier="-1"/>
    <pageField fld="2" hier="-1"/>
  </pageFields>
  <dataFields count="1">
    <dataField name="求和项:sub_success_to_paid_gmv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DB8F-3CDE-EA4A-802F-DE499DCD3747}">
  <dimension ref="A1:AN859"/>
  <sheetViews>
    <sheetView topLeftCell="AL37" workbookViewId="0">
      <selection activeCell="AP48" sqref="AP48:BB53"/>
    </sheetView>
  </sheetViews>
  <sheetFormatPr baseColWidth="10" defaultRowHeight="16"/>
  <cols>
    <col min="3" max="3" width="10.83203125" style="43"/>
    <col min="16" max="16" width="14.6640625" bestFit="1" customWidth="1"/>
    <col min="17" max="24" width="11.33203125" bestFit="1" customWidth="1"/>
    <col min="25" max="26" width="15.6640625" bestFit="1" customWidth="1"/>
    <col min="27" max="27" width="11.33203125" bestFit="1" customWidth="1"/>
    <col min="28" max="29" width="15.6640625" bestFit="1" customWidth="1"/>
  </cols>
  <sheetData>
    <row r="1" spans="1:26">
      <c r="A1" s="1"/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59</v>
      </c>
    </row>
    <row r="2" spans="1:26">
      <c r="A2" s="2" t="s">
        <v>0</v>
      </c>
      <c r="F2" s="4" t="s">
        <v>49</v>
      </c>
      <c r="G2" s="4">
        <v>11075</v>
      </c>
      <c r="H2" s="4"/>
      <c r="I2" s="4" t="s">
        <v>50</v>
      </c>
      <c r="J2" s="6">
        <v>45750</v>
      </c>
      <c r="K2" s="4">
        <v>4</v>
      </c>
      <c r="L2" s="4">
        <v>4</v>
      </c>
      <c r="M2" s="4">
        <v>1</v>
      </c>
      <c r="N2">
        <f>M2/L2</f>
        <v>0.25</v>
      </c>
      <c r="P2" s="7" t="s">
        <v>41</v>
      </c>
      <c r="Q2" t="s">
        <v>56</v>
      </c>
    </row>
    <row r="3" spans="1:26">
      <c r="A3" s="2" t="s">
        <v>1</v>
      </c>
      <c r="F3" s="4" t="s">
        <v>49</v>
      </c>
      <c r="G3" s="4">
        <v>11075</v>
      </c>
      <c r="H3" s="4"/>
      <c r="I3" s="4" t="s">
        <v>50</v>
      </c>
      <c r="J3" s="6">
        <v>45751</v>
      </c>
      <c r="K3" s="4">
        <v>5</v>
      </c>
      <c r="L3" s="4">
        <v>5</v>
      </c>
      <c r="M3" s="4">
        <v>0</v>
      </c>
      <c r="N3">
        <f t="shared" ref="N3:N66" si="0">M3/L3</f>
        <v>0</v>
      </c>
      <c r="P3" s="7" t="s">
        <v>45</v>
      </c>
      <c r="Q3" t="s">
        <v>61</v>
      </c>
    </row>
    <row r="4" spans="1:26">
      <c r="A4" s="2" t="s">
        <v>2</v>
      </c>
      <c r="F4" s="4" t="s">
        <v>49</v>
      </c>
      <c r="G4" s="4">
        <v>11075</v>
      </c>
      <c r="H4" s="4"/>
      <c r="I4" s="4" t="s">
        <v>50</v>
      </c>
      <c r="J4" s="6">
        <v>45752</v>
      </c>
      <c r="K4" s="4">
        <v>6</v>
      </c>
      <c r="L4" s="4">
        <v>6</v>
      </c>
      <c r="M4" s="4">
        <v>1</v>
      </c>
      <c r="N4">
        <f t="shared" si="0"/>
        <v>0.16666666666666666</v>
      </c>
    </row>
    <row r="5" spans="1:26">
      <c r="A5" s="3" t="s">
        <v>3</v>
      </c>
      <c r="F5" s="4" t="s">
        <v>49</v>
      </c>
      <c r="G5" s="4">
        <v>11075</v>
      </c>
      <c r="H5" s="4"/>
      <c r="I5" s="4" t="s">
        <v>50</v>
      </c>
      <c r="J5" s="6">
        <v>45753</v>
      </c>
      <c r="K5" s="4">
        <v>6</v>
      </c>
      <c r="L5" s="4">
        <v>6</v>
      </c>
      <c r="M5" s="4">
        <v>1</v>
      </c>
      <c r="N5">
        <f t="shared" si="0"/>
        <v>0.16666666666666666</v>
      </c>
      <c r="Q5" s="7" t="s">
        <v>60</v>
      </c>
    </row>
    <row r="6" spans="1:26">
      <c r="A6" s="3" t="s">
        <v>4</v>
      </c>
      <c r="F6" s="4" t="s">
        <v>49</v>
      </c>
      <c r="G6" s="4">
        <v>11075</v>
      </c>
      <c r="H6" s="4"/>
      <c r="I6" s="4" t="s">
        <v>50</v>
      </c>
      <c r="J6" s="6">
        <v>45754</v>
      </c>
      <c r="K6" s="4">
        <v>20</v>
      </c>
      <c r="L6" s="4">
        <v>20</v>
      </c>
      <c r="M6" s="4">
        <v>4</v>
      </c>
      <c r="N6">
        <f t="shared" si="0"/>
        <v>0.2</v>
      </c>
      <c r="Q6" t="s">
        <v>52</v>
      </c>
      <c r="S6" t="s">
        <v>53</v>
      </c>
      <c r="U6" t="s">
        <v>54</v>
      </c>
      <c r="W6" t="s">
        <v>66</v>
      </c>
      <c r="Y6" t="s">
        <v>63</v>
      </c>
      <c r="Z6" t="s">
        <v>64</v>
      </c>
    </row>
    <row r="7" spans="1:26">
      <c r="A7" s="3" t="s">
        <v>5</v>
      </c>
      <c r="F7" s="4" t="s">
        <v>49</v>
      </c>
      <c r="G7" s="4">
        <v>11075</v>
      </c>
      <c r="H7" s="4"/>
      <c r="I7" s="4" t="s">
        <v>50</v>
      </c>
      <c r="J7" s="6">
        <v>45755</v>
      </c>
      <c r="K7" s="4">
        <v>15</v>
      </c>
      <c r="L7" s="4">
        <v>15</v>
      </c>
      <c r="M7" s="4">
        <v>7</v>
      </c>
      <c r="N7">
        <f t="shared" si="0"/>
        <v>0.46666666666666667</v>
      </c>
      <c r="P7" s="7" t="s">
        <v>57</v>
      </c>
      <c r="Q7" t="s">
        <v>62</v>
      </c>
      <c r="R7" t="s">
        <v>65</v>
      </c>
      <c r="S7" t="s">
        <v>62</v>
      </c>
      <c r="T7" t="s">
        <v>65</v>
      </c>
      <c r="U7" t="s">
        <v>62</v>
      </c>
      <c r="V7" t="s">
        <v>65</v>
      </c>
      <c r="W7" t="s">
        <v>62</v>
      </c>
      <c r="X7" t="s">
        <v>65</v>
      </c>
    </row>
    <row r="8" spans="1:26">
      <c r="A8" s="3" t="s">
        <v>6</v>
      </c>
      <c r="F8" s="4" t="s">
        <v>49</v>
      </c>
      <c r="G8" s="4">
        <v>11075</v>
      </c>
      <c r="H8" s="4"/>
      <c r="I8" s="4" t="s">
        <v>50</v>
      </c>
      <c r="J8" s="6">
        <v>45756</v>
      </c>
      <c r="K8" s="4">
        <v>22</v>
      </c>
      <c r="L8" s="4">
        <v>22</v>
      </c>
      <c r="M8" s="4">
        <v>5</v>
      </c>
      <c r="N8">
        <f t="shared" si="0"/>
        <v>0.22727272727272727</v>
      </c>
      <c r="P8" s="8" t="s">
        <v>50</v>
      </c>
      <c r="Q8" s="9">
        <v>62737</v>
      </c>
      <c r="R8" s="9">
        <v>9864</v>
      </c>
      <c r="S8" s="9">
        <v>34520</v>
      </c>
      <c r="T8" s="9">
        <v>5600</v>
      </c>
      <c r="U8" s="9">
        <v>140502</v>
      </c>
      <c r="V8" s="9">
        <v>22215</v>
      </c>
      <c r="W8" s="9">
        <v>2446</v>
      </c>
      <c r="X8" s="9">
        <v>561</v>
      </c>
      <c r="Y8" s="9">
        <v>240205</v>
      </c>
      <c r="Z8" s="9">
        <v>38240</v>
      </c>
    </row>
    <row r="9" spans="1:26">
      <c r="A9" s="3" t="s">
        <v>7</v>
      </c>
      <c r="F9" s="4" t="s">
        <v>49</v>
      </c>
      <c r="G9" s="4">
        <v>11075</v>
      </c>
      <c r="H9" s="4"/>
      <c r="I9" s="4" t="s">
        <v>50</v>
      </c>
      <c r="J9" s="6">
        <v>45757</v>
      </c>
      <c r="K9" s="4">
        <v>25</v>
      </c>
      <c r="L9" s="4">
        <v>25</v>
      </c>
      <c r="M9" s="4">
        <v>4</v>
      </c>
      <c r="N9">
        <f t="shared" si="0"/>
        <v>0.16</v>
      </c>
      <c r="P9" s="12">
        <v>11072</v>
      </c>
      <c r="Q9" s="9">
        <v>17724</v>
      </c>
      <c r="R9" s="9">
        <v>2507</v>
      </c>
      <c r="S9" s="9">
        <v>5662</v>
      </c>
      <c r="T9" s="9">
        <v>879</v>
      </c>
      <c r="U9" s="9">
        <v>11934</v>
      </c>
      <c r="V9" s="9">
        <v>2129</v>
      </c>
      <c r="W9" s="9">
        <v>469</v>
      </c>
      <c r="X9" s="9">
        <v>84</v>
      </c>
      <c r="Y9" s="9">
        <v>35789</v>
      </c>
      <c r="Z9" s="9">
        <v>5599</v>
      </c>
    </row>
    <row r="10" spans="1:26">
      <c r="A10" s="1" t="s">
        <v>8</v>
      </c>
      <c r="F10" s="4" t="s">
        <v>49</v>
      </c>
      <c r="G10" s="4">
        <v>11075</v>
      </c>
      <c r="H10" s="4"/>
      <c r="I10" s="4" t="s">
        <v>50</v>
      </c>
      <c r="J10" s="6">
        <v>45758</v>
      </c>
      <c r="K10" s="4">
        <v>24</v>
      </c>
      <c r="L10" s="4">
        <v>24</v>
      </c>
      <c r="M10" s="4">
        <v>5</v>
      </c>
      <c r="N10">
        <f t="shared" si="0"/>
        <v>0.20833333333333334</v>
      </c>
      <c r="P10" s="12">
        <v>11073</v>
      </c>
      <c r="Q10" s="9">
        <v>18083</v>
      </c>
      <c r="R10" s="9">
        <v>3056</v>
      </c>
      <c r="S10" s="9">
        <v>5659</v>
      </c>
      <c r="T10" s="9">
        <v>1078</v>
      </c>
      <c r="U10" s="9">
        <v>12167</v>
      </c>
      <c r="V10" s="9">
        <v>2590</v>
      </c>
      <c r="W10" s="9">
        <v>465</v>
      </c>
      <c r="X10" s="9">
        <v>98</v>
      </c>
      <c r="Y10" s="9">
        <v>36374</v>
      </c>
      <c r="Z10" s="9">
        <v>6822</v>
      </c>
    </row>
    <row r="11" spans="1:26">
      <c r="A11" s="2" t="s">
        <v>9</v>
      </c>
      <c r="F11" s="4" t="s">
        <v>49</v>
      </c>
      <c r="G11" s="4">
        <v>11075</v>
      </c>
      <c r="H11" s="4"/>
      <c r="I11" s="4" t="s">
        <v>50</v>
      </c>
      <c r="J11" s="6">
        <v>45759</v>
      </c>
      <c r="K11" s="4">
        <v>15</v>
      </c>
      <c r="L11" s="4">
        <v>15</v>
      </c>
      <c r="M11" s="4">
        <v>3</v>
      </c>
      <c r="N11">
        <f t="shared" si="0"/>
        <v>0.2</v>
      </c>
      <c r="P11" s="12">
        <v>11074</v>
      </c>
      <c r="Q11" s="9">
        <v>17829</v>
      </c>
      <c r="R11" s="9">
        <v>2785</v>
      </c>
      <c r="S11" s="9">
        <v>5577</v>
      </c>
      <c r="T11" s="9">
        <v>1023</v>
      </c>
      <c r="U11" s="9">
        <v>11999</v>
      </c>
      <c r="V11" s="9">
        <v>2446</v>
      </c>
      <c r="W11" s="9">
        <v>461</v>
      </c>
      <c r="X11" s="9">
        <v>103</v>
      </c>
      <c r="Y11" s="9">
        <v>35866</v>
      </c>
      <c r="Z11" s="9">
        <v>6357</v>
      </c>
    </row>
    <row r="12" spans="1:26">
      <c r="A12" s="2" t="s">
        <v>10</v>
      </c>
      <c r="F12" s="4" t="s">
        <v>49</v>
      </c>
      <c r="G12" s="4">
        <v>11075</v>
      </c>
      <c r="H12" s="4"/>
      <c r="I12" s="4" t="s">
        <v>50</v>
      </c>
      <c r="J12" s="6">
        <v>45760</v>
      </c>
      <c r="K12" s="4">
        <v>30</v>
      </c>
      <c r="L12" s="4">
        <v>30</v>
      </c>
      <c r="M12" s="4">
        <v>6</v>
      </c>
      <c r="N12">
        <f t="shared" si="0"/>
        <v>0.2</v>
      </c>
      <c r="P12" s="12">
        <v>11075</v>
      </c>
      <c r="Q12" s="9">
        <v>3058</v>
      </c>
      <c r="R12" s="9">
        <v>450</v>
      </c>
      <c r="S12" s="9">
        <v>5855</v>
      </c>
      <c r="T12" s="9">
        <v>825</v>
      </c>
      <c r="U12" s="9">
        <v>35035</v>
      </c>
      <c r="V12" s="9">
        <v>4496</v>
      </c>
      <c r="W12" s="9">
        <v>347</v>
      </c>
      <c r="X12" s="9">
        <v>77</v>
      </c>
      <c r="Y12" s="9">
        <v>44295</v>
      </c>
      <c r="Z12" s="9">
        <v>5848</v>
      </c>
    </row>
    <row r="13" spans="1:26">
      <c r="A13" s="2" t="s">
        <v>11</v>
      </c>
      <c r="F13" s="4" t="s">
        <v>49</v>
      </c>
      <c r="G13" s="4">
        <v>11075</v>
      </c>
      <c r="H13" s="4"/>
      <c r="I13" s="4" t="s">
        <v>50</v>
      </c>
      <c r="J13" s="6">
        <v>45761</v>
      </c>
      <c r="K13" s="4">
        <v>24</v>
      </c>
      <c r="L13" s="4">
        <v>24</v>
      </c>
      <c r="M13" s="4">
        <v>2</v>
      </c>
      <c r="N13">
        <f t="shared" si="0"/>
        <v>8.3333333333333329E-2</v>
      </c>
      <c r="P13" s="12">
        <v>11076</v>
      </c>
      <c r="Q13" s="9">
        <v>3011</v>
      </c>
      <c r="R13" s="9">
        <v>543</v>
      </c>
      <c r="S13" s="9">
        <v>5894</v>
      </c>
      <c r="T13" s="9">
        <v>892</v>
      </c>
      <c r="U13" s="9">
        <v>34734</v>
      </c>
      <c r="V13" s="9">
        <v>5479</v>
      </c>
      <c r="W13" s="9">
        <v>358</v>
      </c>
      <c r="X13" s="9">
        <v>102</v>
      </c>
      <c r="Y13" s="9">
        <v>43997</v>
      </c>
      <c r="Z13" s="9">
        <v>7016</v>
      </c>
    </row>
    <row r="14" spans="1:26">
      <c r="A14" s="3" t="s">
        <v>12</v>
      </c>
      <c r="F14" s="4" t="s">
        <v>49</v>
      </c>
      <c r="G14" s="4">
        <v>11075</v>
      </c>
      <c r="H14" s="4"/>
      <c r="I14" s="4" t="s">
        <v>50</v>
      </c>
      <c r="J14" s="6">
        <v>45762</v>
      </c>
      <c r="K14" s="4">
        <v>16</v>
      </c>
      <c r="L14" s="4">
        <v>16</v>
      </c>
      <c r="M14" s="4">
        <v>5</v>
      </c>
      <c r="N14">
        <f t="shared" si="0"/>
        <v>0.3125</v>
      </c>
      <c r="P14" s="12">
        <v>11077</v>
      </c>
      <c r="Q14" s="9">
        <v>3032</v>
      </c>
      <c r="R14" s="9">
        <v>523</v>
      </c>
      <c r="S14" s="9">
        <v>5873</v>
      </c>
      <c r="T14" s="9">
        <v>903</v>
      </c>
      <c r="U14" s="9">
        <v>34633</v>
      </c>
      <c r="V14" s="9">
        <v>5075</v>
      </c>
      <c r="W14" s="9">
        <v>346</v>
      </c>
      <c r="X14" s="9">
        <v>97</v>
      </c>
      <c r="Y14" s="9">
        <v>43884</v>
      </c>
      <c r="Z14" s="9">
        <v>6598</v>
      </c>
    </row>
    <row r="15" spans="1:26">
      <c r="A15" s="3" t="s">
        <v>13</v>
      </c>
      <c r="F15" s="4" t="s">
        <v>49</v>
      </c>
      <c r="G15" s="4">
        <v>11075</v>
      </c>
      <c r="H15" s="4"/>
      <c r="I15" s="4" t="s">
        <v>50</v>
      </c>
      <c r="J15" s="6">
        <v>45763</v>
      </c>
      <c r="K15" s="4">
        <v>26</v>
      </c>
      <c r="L15" s="4">
        <v>26</v>
      </c>
      <c r="M15" s="4">
        <v>3</v>
      </c>
      <c r="N15">
        <f t="shared" si="0"/>
        <v>0.11538461538461539</v>
      </c>
      <c r="P15" s="8" t="s">
        <v>51</v>
      </c>
      <c r="Q15" s="9">
        <v>165336</v>
      </c>
      <c r="R15" s="9">
        <v>37626</v>
      </c>
      <c r="S15" s="9">
        <v>58536</v>
      </c>
      <c r="T15" s="9">
        <v>15158</v>
      </c>
      <c r="U15" s="9">
        <v>214409</v>
      </c>
      <c r="V15" s="9">
        <v>59411</v>
      </c>
      <c r="W15" s="9">
        <v>6694</v>
      </c>
      <c r="X15" s="9">
        <v>1827</v>
      </c>
      <c r="Y15" s="9">
        <v>444975</v>
      </c>
      <c r="Z15" s="9">
        <v>114022</v>
      </c>
    </row>
    <row r="16" spans="1:26">
      <c r="A16" s="2" t="s">
        <v>14</v>
      </c>
      <c r="F16" s="4" t="s">
        <v>49</v>
      </c>
      <c r="G16" s="4">
        <v>11075</v>
      </c>
      <c r="H16" s="4"/>
      <c r="I16" s="4" t="s">
        <v>50</v>
      </c>
      <c r="J16" s="6">
        <v>45764</v>
      </c>
      <c r="K16" s="4">
        <v>19</v>
      </c>
      <c r="L16" s="4">
        <v>19</v>
      </c>
      <c r="M16" s="4">
        <v>5</v>
      </c>
      <c r="N16">
        <f t="shared" si="0"/>
        <v>0.26315789473684209</v>
      </c>
      <c r="P16" s="12">
        <v>11072</v>
      </c>
      <c r="Q16" s="9">
        <v>50227</v>
      </c>
      <c r="R16" s="9">
        <v>11247</v>
      </c>
      <c r="S16" s="9">
        <v>13767</v>
      </c>
      <c r="T16" s="9">
        <v>3389</v>
      </c>
      <c r="U16" s="9">
        <v>42670</v>
      </c>
      <c r="V16" s="9">
        <v>11810</v>
      </c>
      <c r="W16" s="9">
        <v>1510</v>
      </c>
      <c r="X16" s="9">
        <v>386</v>
      </c>
      <c r="Y16" s="9">
        <v>108174</v>
      </c>
      <c r="Z16" s="9">
        <v>26832</v>
      </c>
    </row>
    <row r="17" spans="1:29">
      <c r="A17" s="3" t="s">
        <v>15</v>
      </c>
      <c r="F17" s="4" t="s">
        <v>49</v>
      </c>
      <c r="G17" s="4">
        <v>11075</v>
      </c>
      <c r="H17" s="4"/>
      <c r="I17" s="4" t="s">
        <v>50</v>
      </c>
      <c r="J17" s="6">
        <v>45765</v>
      </c>
      <c r="K17" s="4">
        <v>44</v>
      </c>
      <c r="L17" s="4">
        <v>44</v>
      </c>
      <c r="M17" s="4">
        <v>9</v>
      </c>
      <c r="N17">
        <f t="shared" si="0"/>
        <v>0.20454545454545456</v>
      </c>
      <c r="P17" s="12">
        <v>11073</v>
      </c>
      <c r="Q17" s="9">
        <v>53445</v>
      </c>
      <c r="R17" s="9">
        <v>12050</v>
      </c>
      <c r="S17" s="9">
        <v>14591</v>
      </c>
      <c r="T17" s="9">
        <v>3731</v>
      </c>
      <c r="U17" s="9">
        <v>46251</v>
      </c>
      <c r="V17" s="9">
        <v>12967</v>
      </c>
      <c r="W17" s="9">
        <v>1623</v>
      </c>
      <c r="X17" s="9">
        <v>422</v>
      </c>
      <c r="Y17" s="9">
        <v>115910</v>
      </c>
      <c r="Z17" s="9">
        <v>29170</v>
      </c>
    </row>
    <row r="18" spans="1:29">
      <c r="A18" s="2" t="s">
        <v>16</v>
      </c>
      <c r="F18" s="4" t="s">
        <v>49</v>
      </c>
      <c r="G18" s="4">
        <v>11075</v>
      </c>
      <c r="H18" s="4"/>
      <c r="I18" s="4" t="s">
        <v>50</v>
      </c>
      <c r="J18" s="6">
        <v>45766</v>
      </c>
      <c r="K18" s="4">
        <v>30</v>
      </c>
      <c r="L18" s="4">
        <v>30</v>
      </c>
      <c r="M18" s="4">
        <v>10</v>
      </c>
      <c r="N18">
        <f t="shared" si="0"/>
        <v>0.33333333333333331</v>
      </c>
      <c r="P18" s="12">
        <v>11074</v>
      </c>
      <c r="Q18" s="9">
        <v>51994</v>
      </c>
      <c r="R18" s="9">
        <v>11698</v>
      </c>
      <c r="S18" s="9">
        <v>14746</v>
      </c>
      <c r="T18" s="9">
        <v>3721</v>
      </c>
      <c r="U18" s="9">
        <v>44470</v>
      </c>
      <c r="V18" s="9">
        <v>12273</v>
      </c>
      <c r="W18" s="9">
        <v>1516</v>
      </c>
      <c r="X18" s="9">
        <v>364</v>
      </c>
      <c r="Y18" s="9">
        <v>112726</v>
      </c>
      <c r="Z18" s="9">
        <v>28056</v>
      </c>
    </row>
    <row r="19" spans="1:29">
      <c r="A19" s="2" t="s">
        <v>17</v>
      </c>
      <c r="F19" s="4" t="s">
        <v>49</v>
      </c>
      <c r="G19" s="4">
        <v>11075</v>
      </c>
      <c r="H19" s="4"/>
      <c r="I19" s="4" t="s">
        <v>50</v>
      </c>
      <c r="J19" s="6">
        <v>45767</v>
      </c>
      <c r="K19" s="4">
        <v>37</v>
      </c>
      <c r="L19" s="4">
        <v>37</v>
      </c>
      <c r="M19" s="4">
        <v>9</v>
      </c>
      <c r="N19">
        <f t="shared" si="0"/>
        <v>0.24324324324324326</v>
      </c>
      <c r="P19" s="12">
        <v>11075</v>
      </c>
      <c r="Q19" s="9">
        <v>3151</v>
      </c>
      <c r="R19" s="9">
        <v>901</v>
      </c>
      <c r="S19" s="9">
        <v>4744</v>
      </c>
      <c r="T19" s="9">
        <v>1318</v>
      </c>
      <c r="U19" s="9">
        <v>25473</v>
      </c>
      <c r="V19" s="9">
        <v>6974</v>
      </c>
      <c r="W19" s="9">
        <v>597</v>
      </c>
      <c r="X19" s="9">
        <v>207</v>
      </c>
      <c r="Y19" s="9">
        <v>33965</v>
      </c>
      <c r="Z19" s="9">
        <v>9400</v>
      </c>
    </row>
    <row r="20" spans="1:29">
      <c r="A20" s="1" t="s">
        <v>18</v>
      </c>
      <c r="F20" s="4" t="s">
        <v>49</v>
      </c>
      <c r="G20" s="4">
        <v>11075</v>
      </c>
      <c r="H20" s="4"/>
      <c r="I20" s="4" t="s">
        <v>51</v>
      </c>
      <c r="J20" s="6">
        <v>45751</v>
      </c>
      <c r="K20" s="4">
        <v>1</v>
      </c>
      <c r="L20" s="4">
        <v>1</v>
      </c>
      <c r="M20" s="4">
        <v>0</v>
      </c>
      <c r="N20">
        <f t="shared" si="0"/>
        <v>0</v>
      </c>
      <c r="P20" s="12">
        <v>11076</v>
      </c>
      <c r="Q20" s="9">
        <v>3335</v>
      </c>
      <c r="R20" s="9">
        <v>884</v>
      </c>
      <c r="S20" s="9">
        <v>5553</v>
      </c>
      <c r="T20" s="9">
        <v>1544</v>
      </c>
      <c r="U20" s="9">
        <v>28402</v>
      </c>
      <c r="V20" s="9">
        <v>7958</v>
      </c>
      <c r="W20" s="9">
        <v>773</v>
      </c>
      <c r="X20" s="9">
        <v>238</v>
      </c>
      <c r="Y20" s="9">
        <v>38063</v>
      </c>
      <c r="Z20" s="9">
        <v>10624</v>
      </c>
    </row>
    <row r="21" spans="1:29">
      <c r="A21" s="2" t="s">
        <v>19</v>
      </c>
      <c r="F21" s="4" t="s">
        <v>49</v>
      </c>
      <c r="G21" s="4">
        <v>11075</v>
      </c>
      <c r="H21" s="4"/>
      <c r="I21" s="4" t="s">
        <v>51</v>
      </c>
      <c r="J21" s="6">
        <v>45752</v>
      </c>
      <c r="K21" s="4">
        <v>1</v>
      </c>
      <c r="L21" s="4">
        <v>1</v>
      </c>
      <c r="M21" s="4">
        <v>0</v>
      </c>
      <c r="N21">
        <f t="shared" si="0"/>
        <v>0</v>
      </c>
      <c r="P21" s="12">
        <v>11077</v>
      </c>
      <c r="Q21" s="9">
        <v>3184</v>
      </c>
      <c r="R21" s="9">
        <v>846</v>
      </c>
      <c r="S21" s="9">
        <v>5135</v>
      </c>
      <c r="T21" s="9">
        <v>1455</v>
      </c>
      <c r="U21" s="9">
        <v>27143</v>
      </c>
      <c r="V21" s="9">
        <v>7429</v>
      </c>
      <c r="W21" s="9">
        <v>675</v>
      </c>
      <c r="X21" s="9">
        <v>210</v>
      </c>
      <c r="Y21" s="9">
        <v>36137</v>
      </c>
      <c r="Z21" s="9">
        <v>9940</v>
      </c>
    </row>
    <row r="22" spans="1:29">
      <c r="A22" s="3" t="s">
        <v>20</v>
      </c>
      <c r="F22" s="4" t="s">
        <v>49</v>
      </c>
      <c r="G22" s="4">
        <v>11075</v>
      </c>
      <c r="H22" s="4"/>
      <c r="I22" s="4" t="s">
        <v>51</v>
      </c>
      <c r="J22" s="6">
        <v>45753</v>
      </c>
      <c r="K22" s="4">
        <v>5</v>
      </c>
      <c r="L22" s="4">
        <v>5</v>
      </c>
      <c r="M22" s="4">
        <v>2</v>
      </c>
      <c r="N22">
        <f t="shared" si="0"/>
        <v>0.4</v>
      </c>
      <c r="P22" s="8" t="s">
        <v>58</v>
      </c>
      <c r="Q22" s="9">
        <v>228073</v>
      </c>
      <c r="R22" s="9">
        <v>47490</v>
      </c>
      <c r="S22" s="9">
        <v>93056</v>
      </c>
      <c r="T22" s="9">
        <v>20758</v>
      </c>
      <c r="U22" s="9">
        <v>354911</v>
      </c>
      <c r="V22" s="9">
        <v>81626</v>
      </c>
      <c r="W22" s="9">
        <v>9140</v>
      </c>
      <c r="X22" s="9">
        <v>2388</v>
      </c>
      <c r="Y22" s="9">
        <v>685180</v>
      </c>
      <c r="Z22" s="9">
        <v>152262</v>
      </c>
    </row>
    <row r="23" spans="1:29">
      <c r="A23" s="2" t="s">
        <v>21</v>
      </c>
      <c r="F23" s="4" t="s">
        <v>49</v>
      </c>
      <c r="G23" s="4">
        <v>11075</v>
      </c>
      <c r="H23" s="4"/>
      <c r="I23" s="4" t="s">
        <v>51</v>
      </c>
      <c r="J23" s="6">
        <v>45754</v>
      </c>
      <c r="K23" s="4">
        <v>10</v>
      </c>
      <c r="L23" s="4">
        <v>10</v>
      </c>
      <c r="M23" s="4">
        <v>2</v>
      </c>
      <c r="N23">
        <f t="shared" si="0"/>
        <v>0.2</v>
      </c>
    </row>
    <row r="24" spans="1:29">
      <c r="A24" s="3" t="s">
        <v>12</v>
      </c>
      <c r="F24" s="4" t="s">
        <v>49</v>
      </c>
      <c r="G24" s="4">
        <v>11075</v>
      </c>
      <c r="H24" s="4"/>
      <c r="I24" s="4" t="s">
        <v>51</v>
      </c>
      <c r="J24" s="6">
        <v>45755</v>
      </c>
      <c r="K24" s="4">
        <v>20</v>
      </c>
      <c r="L24" s="4">
        <v>20</v>
      </c>
      <c r="M24" s="4">
        <v>11</v>
      </c>
      <c r="N24">
        <f t="shared" si="0"/>
        <v>0.55000000000000004</v>
      </c>
      <c r="P24" t="s">
        <v>213</v>
      </c>
    </row>
    <row r="25" spans="1:29">
      <c r="A25" s="3" t="s">
        <v>22</v>
      </c>
      <c r="F25" s="4" t="s">
        <v>49</v>
      </c>
      <c r="G25" s="4">
        <v>11075</v>
      </c>
      <c r="H25" s="4"/>
      <c r="I25" s="4" t="s">
        <v>51</v>
      </c>
      <c r="J25" s="6">
        <v>45756</v>
      </c>
      <c r="K25" s="4">
        <v>25</v>
      </c>
      <c r="L25" s="4">
        <v>25</v>
      </c>
      <c r="M25" s="4">
        <v>10</v>
      </c>
      <c r="N25">
        <f t="shared" si="0"/>
        <v>0.4</v>
      </c>
      <c r="P25" t="s">
        <v>214</v>
      </c>
    </row>
    <row r="26" spans="1:29">
      <c r="A26" s="1" t="s">
        <v>23</v>
      </c>
      <c r="F26" s="4" t="s">
        <v>49</v>
      </c>
      <c r="G26" s="4">
        <v>11075</v>
      </c>
      <c r="H26" s="4"/>
      <c r="I26" s="4" t="s">
        <v>51</v>
      </c>
      <c r="J26" s="6">
        <v>45757</v>
      </c>
      <c r="K26" s="4">
        <v>36</v>
      </c>
      <c r="L26" s="4">
        <v>36</v>
      </c>
      <c r="M26" s="4">
        <v>10</v>
      </c>
      <c r="N26">
        <f t="shared" si="0"/>
        <v>0.27777777777777779</v>
      </c>
    </row>
    <row r="27" spans="1:29">
      <c r="A27" s="2" t="s">
        <v>14</v>
      </c>
      <c r="F27" s="4" t="s">
        <v>49</v>
      </c>
      <c r="G27" s="4">
        <v>11075</v>
      </c>
      <c r="H27" s="4"/>
      <c r="I27" s="4" t="s">
        <v>51</v>
      </c>
      <c r="J27" s="6">
        <v>45758</v>
      </c>
      <c r="K27" s="4">
        <v>36</v>
      </c>
      <c r="L27" s="4">
        <v>36</v>
      </c>
      <c r="M27" s="4">
        <v>14</v>
      </c>
      <c r="N27">
        <f t="shared" si="0"/>
        <v>0.3888888888888889</v>
      </c>
    </row>
    <row r="28" spans="1:29">
      <c r="A28" s="3" t="s">
        <v>24</v>
      </c>
      <c r="F28" s="4" t="s">
        <v>49</v>
      </c>
      <c r="G28" s="4">
        <v>11075</v>
      </c>
      <c r="H28" s="4"/>
      <c r="I28" s="4" t="s">
        <v>51</v>
      </c>
      <c r="J28" s="6">
        <v>45759</v>
      </c>
      <c r="K28" s="4">
        <v>38</v>
      </c>
      <c r="L28" s="4">
        <v>38</v>
      </c>
      <c r="M28" s="4">
        <v>13</v>
      </c>
      <c r="N28">
        <f t="shared" si="0"/>
        <v>0.34210526315789475</v>
      </c>
      <c r="P28" s="11"/>
      <c r="Q28" s="11" t="s">
        <v>52</v>
      </c>
      <c r="R28" s="11"/>
      <c r="S28" s="11" t="s">
        <v>53</v>
      </c>
      <c r="T28" s="11"/>
      <c r="U28" s="11" t="s">
        <v>54</v>
      </c>
      <c r="V28" s="11"/>
      <c r="X28" t="s">
        <v>274</v>
      </c>
    </row>
    <row r="29" spans="1:29">
      <c r="A29" s="2" t="s">
        <v>25</v>
      </c>
      <c r="F29" s="4" t="s">
        <v>49</v>
      </c>
      <c r="G29" s="4">
        <v>11075</v>
      </c>
      <c r="H29" s="4"/>
      <c r="I29" s="4" t="s">
        <v>51</v>
      </c>
      <c r="J29" s="6">
        <v>45760</v>
      </c>
      <c r="K29" s="4">
        <v>46</v>
      </c>
      <c r="L29" s="4">
        <v>46</v>
      </c>
      <c r="M29" s="4">
        <v>17</v>
      </c>
      <c r="N29">
        <f t="shared" si="0"/>
        <v>0.36956521739130432</v>
      </c>
      <c r="P29" s="10" t="s">
        <v>57</v>
      </c>
      <c r="Q29" s="10" t="s">
        <v>62</v>
      </c>
      <c r="R29" s="10" t="s">
        <v>65</v>
      </c>
      <c r="S29" s="10" t="s">
        <v>62</v>
      </c>
      <c r="T29" s="10" t="s">
        <v>65</v>
      </c>
      <c r="U29" s="10" t="s">
        <v>62</v>
      </c>
      <c r="V29" s="10" t="s">
        <v>65</v>
      </c>
      <c r="X29" s="11" t="s">
        <v>52</v>
      </c>
      <c r="Y29" s="11"/>
      <c r="Z29" s="11" t="s">
        <v>53</v>
      </c>
      <c r="AA29" s="11"/>
      <c r="AB29" s="11" t="s">
        <v>54</v>
      </c>
      <c r="AC29" s="11"/>
    </row>
    <row r="30" spans="1:29">
      <c r="A30" s="2" t="s">
        <v>26</v>
      </c>
      <c r="F30" s="4" t="s">
        <v>49</v>
      </c>
      <c r="G30" s="4">
        <v>11075</v>
      </c>
      <c r="H30" s="4"/>
      <c r="I30" s="4" t="s">
        <v>51</v>
      </c>
      <c r="J30" s="6">
        <v>45761</v>
      </c>
      <c r="K30" s="4">
        <v>42</v>
      </c>
      <c r="L30" s="4">
        <v>42</v>
      </c>
      <c r="M30" s="4">
        <v>14</v>
      </c>
      <c r="N30">
        <f t="shared" si="0"/>
        <v>0.33333333333333331</v>
      </c>
      <c r="P30" s="13" t="s">
        <v>50</v>
      </c>
      <c r="Q30" s="14">
        <v>77625</v>
      </c>
      <c r="R30" s="14">
        <v>12213</v>
      </c>
      <c r="S30" s="14">
        <v>41122</v>
      </c>
      <c r="T30" s="14">
        <v>6690</v>
      </c>
      <c r="U30" s="14">
        <v>158915</v>
      </c>
      <c r="V30" s="14">
        <v>25395</v>
      </c>
    </row>
    <row r="31" spans="1:29">
      <c r="A31" s="3" t="s">
        <v>27</v>
      </c>
      <c r="F31" s="4" t="s">
        <v>49</v>
      </c>
      <c r="G31" s="4">
        <v>11075</v>
      </c>
      <c r="H31" s="4"/>
      <c r="I31" s="4" t="s">
        <v>51</v>
      </c>
      <c r="J31" s="6">
        <v>45762</v>
      </c>
      <c r="K31" s="4">
        <v>43</v>
      </c>
      <c r="L31" s="4">
        <v>43</v>
      </c>
      <c r="M31" s="4">
        <v>13</v>
      </c>
      <c r="N31">
        <f t="shared" si="0"/>
        <v>0.30232558139534882</v>
      </c>
      <c r="P31" s="12">
        <v>11072</v>
      </c>
      <c r="Q31" s="9">
        <v>22500</v>
      </c>
      <c r="R31" s="9">
        <v>3179</v>
      </c>
      <c r="S31" s="9">
        <v>7172</v>
      </c>
      <c r="T31" s="9">
        <v>1150</v>
      </c>
      <c r="U31" s="9">
        <v>15177</v>
      </c>
      <c r="V31" s="9">
        <v>2712</v>
      </c>
    </row>
    <row r="32" spans="1:29">
      <c r="A32" s="2" t="s">
        <v>28</v>
      </c>
      <c r="F32" s="4" t="s">
        <v>49</v>
      </c>
      <c r="G32" s="4">
        <v>11075</v>
      </c>
      <c r="H32" s="4"/>
      <c r="I32" s="4" t="s">
        <v>51</v>
      </c>
      <c r="J32" s="6">
        <v>45763</v>
      </c>
      <c r="K32" s="4">
        <v>52</v>
      </c>
      <c r="L32" s="4">
        <v>52</v>
      </c>
      <c r="M32" s="4">
        <v>18</v>
      </c>
      <c r="N32">
        <f t="shared" si="0"/>
        <v>0.34615384615384615</v>
      </c>
      <c r="P32" s="12">
        <v>11073</v>
      </c>
      <c r="Q32" s="9">
        <v>22861</v>
      </c>
      <c r="R32" s="9">
        <v>3883</v>
      </c>
      <c r="S32" s="9">
        <v>7144</v>
      </c>
      <c r="T32" s="9">
        <v>1345</v>
      </c>
      <c r="U32" s="9">
        <v>15435</v>
      </c>
      <c r="V32" s="9">
        <v>3316</v>
      </c>
    </row>
    <row r="33" spans="1:40">
      <c r="A33" s="3" t="s">
        <v>12</v>
      </c>
      <c r="F33" s="4" t="s">
        <v>49</v>
      </c>
      <c r="G33" s="4">
        <v>11075</v>
      </c>
      <c r="H33" s="4"/>
      <c r="I33" s="4" t="s">
        <v>51</v>
      </c>
      <c r="J33" s="6">
        <v>45764</v>
      </c>
      <c r="K33" s="4">
        <v>59</v>
      </c>
      <c r="L33" s="4">
        <v>59</v>
      </c>
      <c r="M33" s="4">
        <v>24</v>
      </c>
      <c r="N33">
        <f t="shared" si="0"/>
        <v>0.40677966101694918</v>
      </c>
      <c r="P33" s="12">
        <v>11074</v>
      </c>
      <c r="Q33" s="9">
        <v>22553</v>
      </c>
      <c r="R33" s="9">
        <v>3522</v>
      </c>
      <c r="S33" s="9">
        <v>7099</v>
      </c>
      <c r="T33" s="9">
        <v>1327</v>
      </c>
      <c r="U33" s="9">
        <v>15201</v>
      </c>
      <c r="V33" s="9">
        <v>3087</v>
      </c>
      <c r="X33" s="37">
        <f>AVERAGE(Q31:Q33)/17</f>
        <v>1331.6470588235295</v>
      </c>
      <c r="Y33" s="37"/>
      <c r="Z33" s="37">
        <f>AVERAGE(S31:S33)/17</f>
        <v>419.9019607843137</v>
      </c>
      <c r="AA33" s="37"/>
      <c r="AB33" s="37">
        <f>AVERAGE(U31:U33)/17</f>
        <v>898.29411764705878</v>
      </c>
    </row>
    <row r="34" spans="1:40">
      <c r="F34" s="4" t="s">
        <v>49</v>
      </c>
      <c r="G34" s="4">
        <v>11075</v>
      </c>
      <c r="H34" s="4"/>
      <c r="I34" s="4" t="s">
        <v>51</v>
      </c>
      <c r="J34" s="6">
        <v>45765</v>
      </c>
      <c r="K34" s="4">
        <v>59</v>
      </c>
      <c r="L34" s="4">
        <v>59</v>
      </c>
      <c r="M34" s="4">
        <v>17</v>
      </c>
      <c r="N34">
        <f t="shared" si="0"/>
        <v>0.28813559322033899</v>
      </c>
      <c r="P34" s="12">
        <v>11075</v>
      </c>
      <c r="Q34" s="9">
        <v>3058</v>
      </c>
      <c r="R34" s="9">
        <v>450</v>
      </c>
      <c r="S34" s="9">
        <v>5855</v>
      </c>
      <c r="T34" s="9">
        <v>825</v>
      </c>
      <c r="U34" s="9">
        <v>35035</v>
      </c>
      <c r="V34" s="9">
        <v>4496</v>
      </c>
      <c r="X34" s="37"/>
      <c r="Y34" s="37"/>
      <c r="Z34" s="37"/>
      <c r="AA34" s="37"/>
      <c r="AB34" s="37"/>
    </row>
    <row r="35" spans="1:40">
      <c r="A35" s="2" t="s">
        <v>14</v>
      </c>
      <c r="F35" s="4" t="s">
        <v>49</v>
      </c>
      <c r="G35" s="4">
        <v>11075</v>
      </c>
      <c r="H35" s="4"/>
      <c r="I35" s="4" t="s">
        <v>51</v>
      </c>
      <c r="J35" s="6">
        <v>45766</v>
      </c>
      <c r="K35" s="4">
        <v>60</v>
      </c>
      <c r="L35" s="4">
        <v>60</v>
      </c>
      <c r="M35" s="4">
        <v>22</v>
      </c>
      <c r="N35">
        <f t="shared" si="0"/>
        <v>0.36666666666666664</v>
      </c>
      <c r="P35" s="12">
        <v>11076</v>
      </c>
      <c r="Q35" s="9">
        <v>3011</v>
      </c>
      <c r="R35" s="9">
        <v>543</v>
      </c>
      <c r="S35" s="9">
        <v>5894</v>
      </c>
      <c r="T35" s="9">
        <v>892</v>
      </c>
      <c r="U35" s="9">
        <v>34734</v>
      </c>
      <c r="V35" s="9">
        <v>5479</v>
      </c>
      <c r="X35" s="37"/>
      <c r="Y35" s="37"/>
      <c r="Z35" s="37"/>
      <c r="AA35" s="37"/>
      <c r="AB35" s="37"/>
    </row>
    <row r="36" spans="1:40">
      <c r="A36" s="3" t="s">
        <v>29</v>
      </c>
      <c r="F36" s="4" t="s">
        <v>49</v>
      </c>
      <c r="G36" s="4">
        <v>11075</v>
      </c>
      <c r="H36" s="4"/>
      <c r="I36" s="4" t="s">
        <v>51</v>
      </c>
      <c r="J36" s="6">
        <v>45767</v>
      </c>
      <c r="K36" s="4">
        <v>71</v>
      </c>
      <c r="L36" s="4">
        <v>71</v>
      </c>
      <c r="M36" s="4">
        <v>22</v>
      </c>
      <c r="N36">
        <f t="shared" si="0"/>
        <v>0.30985915492957744</v>
      </c>
      <c r="P36" s="12">
        <v>11077</v>
      </c>
      <c r="Q36" s="9">
        <v>3032</v>
      </c>
      <c r="R36" s="9">
        <v>523</v>
      </c>
      <c r="S36" s="9">
        <v>5873</v>
      </c>
      <c r="T36" s="9">
        <v>903</v>
      </c>
      <c r="U36" s="9">
        <v>34633</v>
      </c>
      <c r="V36" s="9">
        <v>5075</v>
      </c>
      <c r="X36" s="37">
        <f>AVERAGE(Q34:Q36)/17</f>
        <v>178.45098039215685</v>
      </c>
      <c r="Y36" s="37"/>
      <c r="Z36" s="37">
        <f>AVERAGE(S34:S36)/17</f>
        <v>345.52941176470586</v>
      </c>
      <c r="AA36" s="37"/>
      <c r="AB36" s="37">
        <f>AVERAGE(U34:U36)/17</f>
        <v>2047.0980392156862</v>
      </c>
    </row>
    <row r="37" spans="1:40">
      <c r="A37" s="3" t="s">
        <v>30</v>
      </c>
      <c r="F37" s="4" t="s">
        <v>49</v>
      </c>
      <c r="G37" s="4">
        <v>11075</v>
      </c>
      <c r="H37" s="4" t="s">
        <v>52</v>
      </c>
      <c r="I37" s="4" t="s">
        <v>50</v>
      </c>
      <c r="J37" s="6">
        <v>45750</v>
      </c>
      <c r="K37" s="4">
        <v>6</v>
      </c>
      <c r="L37" s="4">
        <v>6</v>
      </c>
      <c r="M37" s="4">
        <v>1</v>
      </c>
      <c r="N37">
        <f t="shared" si="0"/>
        <v>0.16666666666666666</v>
      </c>
      <c r="P37" s="13" t="s">
        <v>67</v>
      </c>
      <c r="Q37" s="14">
        <v>182848</v>
      </c>
      <c r="R37" s="14">
        <v>41189</v>
      </c>
      <c r="S37" s="14">
        <v>63605</v>
      </c>
      <c r="T37" s="14">
        <v>16256</v>
      </c>
      <c r="U37" s="14">
        <v>231052</v>
      </c>
      <c r="V37" s="14">
        <v>63339</v>
      </c>
      <c r="X37" s="37"/>
      <c r="Y37" s="37"/>
      <c r="Z37" s="37"/>
      <c r="AA37" s="37"/>
      <c r="AB37" s="37"/>
    </row>
    <row r="38" spans="1:40">
      <c r="A38" s="2" t="s">
        <v>31</v>
      </c>
      <c r="F38" s="4" t="s">
        <v>49</v>
      </c>
      <c r="G38" s="4">
        <v>11075</v>
      </c>
      <c r="H38" s="4" t="s">
        <v>52</v>
      </c>
      <c r="I38" s="4" t="s">
        <v>50</v>
      </c>
      <c r="J38" s="6">
        <v>45751</v>
      </c>
      <c r="K38" s="4">
        <v>48</v>
      </c>
      <c r="L38" s="4">
        <v>48</v>
      </c>
      <c r="M38" s="4">
        <v>16</v>
      </c>
      <c r="N38">
        <f t="shared" si="0"/>
        <v>0.33333333333333331</v>
      </c>
      <c r="P38" s="12">
        <v>11072</v>
      </c>
      <c r="Q38" s="9">
        <v>55817</v>
      </c>
      <c r="R38" s="9">
        <v>12388</v>
      </c>
      <c r="S38" s="9">
        <v>15340</v>
      </c>
      <c r="T38" s="9">
        <v>3697</v>
      </c>
      <c r="U38" s="9">
        <v>47329</v>
      </c>
      <c r="V38" s="9">
        <v>12860</v>
      </c>
      <c r="X38" s="37"/>
      <c r="Y38" s="37"/>
      <c r="Z38" s="37"/>
      <c r="AA38" s="37"/>
      <c r="AB38" s="37"/>
    </row>
    <row r="39" spans="1:40">
      <c r="A39" s="3" t="s">
        <v>32</v>
      </c>
      <c r="F39" s="4" t="s">
        <v>49</v>
      </c>
      <c r="G39" s="4">
        <v>11075</v>
      </c>
      <c r="H39" s="4" t="s">
        <v>52</v>
      </c>
      <c r="I39" s="4" t="s">
        <v>50</v>
      </c>
      <c r="J39" s="6">
        <v>45752</v>
      </c>
      <c r="K39" s="4">
        <v>66</v>
      </c>
      <c r="L39" s="4">
        <v>66</v>
      </c>
      <c r="M39" s="4">
        <v>12</v>
      </c>
      <c r="N39">
        <f t="shared" si="0"/>
        <v>0.18181818181818182</v>
      </c>
      <c r="P39" s="12">
        <v>11073</v>
      </c>
      <c r="Q39" s="9">
        <v>59414</v>
      </c>
      <c r="R39" s="9">
        <v>13298</v>
      </c>
      <c r="S39" s="9">
        <v>16029</v>
      </c>
      <c r="T39" s="9">
        <v>4019</v>
      </c>
      <c r="U39" s="9">
        <v>51002</v>
      </c>
      <c r="V39" s="9">
        <v>14095</v>
      </c>
      <c r="X39" s="37"/>
      <c r="Y39" s="37"/>
      <c r="Z39" s="37"/>
      <c r="AA39" s="37"/>
      <c r="AB39" s="37"/>
    </row>
    <row r="40" spans="1:40">
      <c r="A40" s="3" t="s">
        <v>33</v>
      </c>
      <c r="F40" s="4" t="s">
        <v>49</v>
      </c>
      <c r="G40" s="4">
        <v>11075</v>
      </c>
      <c r="H40" s="4" t="s">
        <v>52</v>
      </c>
      <c r="I40" s="4" t="s">
        <v>50</v>
      </c>
      <c r="J40" s="6">
        <v>45753</v>
      </c>
      <c r="K40" s="4">
        <v>102</v>
      </c>
      <c r="L40" s="4">
        <v>102</v>
      </c>
      <c r="M40" s="4">
        <v>13</v>
      </c>
      <c r="N40">
        <f t="shared" si="0"/>
        <v>0.12745098039215685</v>
      </c>
      <c r="P40" s="12">
        <v>11074</v>
      </c>
      <c r="Q40" s="9">
        <v>57665</v>
      </c>
      <c r="R40" s="9">
        <v>12799</v>
      </c>
      <c r="S40" s="9">
        <v>16231</v>
      </c>
      <c r="T40" s="9">
        <v>4051</v>
      </c>
      <c r="U40" s="9">
        <v>49197</v>
      </c>
      <c r="V40" s="9">
        <v>13358</v>
      </c>
      <c r="X40" s="37">
        <f>AVERAGE(Q38:Q40)/14</f>
        <v>4116.5714285714284</v>
      </c>
      <c r="Y40" s="37"/>
      <c r="Z40" s="37">
        <f>AVERAGE(S38:S40)/14</f>
        <v>1133.3333333333333</v>
      </c>
      <c r="AA40" s="37"/>
      <c r="AB40" s="37">
        <f>AVERAGE(U38:U40)/14</f>
        <v>3512.5714285714284</v>
      </c>
    </row>
    <row r="41" spans="1:40">
      <c r="A41" s="3" t="s">
        <v>34</v>
      </c>
      <c r="F41" s="4" t="s">
        <v>49</v>
      </c>
      <c r="G41" s="4">
        <v>11075</v>
      </c>
      <c r="H41" s="4" t="s">
        <v>52</v>
      </c>
      <c r="I41" s="4" t="s">
        <v>50</v>
      </c>
      <c r="J41" s="6">
        <v>45754</v>
      </c>
      <c r="K41" s="4">
        <v>138</v>
      </c>
      <c r="L41" s="4">
        <v>138</v>
      </c>
      <c r="M41" s="4">
        <v>31</v>
      </c>
      <c r="N41">
        <f t="shared" si="0"/>
        <v>0.22463768115942029</v>
      </c>
      <c r="P41" s="12">
        <v>11075</v>
      </c>
      <c r="Q41" s="9">
        <v>3151</v>
      </c>
      <c r="R41" s="9">
        <v>901</v>
      </c>
      <c r="S41" s="9">
        <v>4744</v>
      </c>
      <c r="T41" s="9">
        <v>1318</v>
      </c>
      <c r="U41" s="9">
        <v>25473</v>
      </c>
      <c r="V41" s="9">
        <v>6974</v>
      </c>
      <c r="X41" s="37"/>
      <c r="Y41" s="37"/>
      <c r="Z41" s="37"/>
      <c r="AA41" s="37"/>
      <c r="AB41" s="37"/>
    </row>
    <row r="42" spans="1:40">
      <c r="A42" s="3" t="s">
        <v>35</v>
      </c>
      <c r="F42" s="4" t="s">
        <v>49</v>
      </c>
      <c r="G42" s="4">
        <v>11075</v>
      </c>
      <c r="H42" s="4" t="s">
        <v>52</v>
      </c>
      <c r="I42" s="4" t="s">
        <v>50</v>
      </c>
      <c r="J42" s="6">
        <v>45755</v>
      </c>
      <c r="K42" s="4">
        <v>203</v>
      </c>
      <c r="L42" s="4">
        <v>203</v>
      </c>
      <c r="M42" s="4">
        <v>28</v>
      </c>
      <c r="N42">
        <f t="shared" si="0"/>
        <v>0.13793103448275862</v>
      </c>
      <c r="P42" s="12">
        <v>11076</v>
      </c>
      <c r="Q42" s="9">
        <v>3335</v>
      </c>
      <c r="R42" s="9">
        <v>884</v>
      </c>
      <c r="S42" s="9">
        <v>5553</v>
      </c>
      <c r="T42" s="9">
        <v>1544</v>
      </c>
      <c r="U42" s="9">
        <v>28402</v>
      </c>
      <c r="V42" s="9">
        <v>7958</v>
      </c>
      <c r="X42" s="37"/>
      <c r="Y42" s="37"/>
      <c r="Z42" s="37"/>
      <c r="AA42" s="37"/>
      <c r="AB42" s="37"/>
    </row>
    <row r="43" spans="1:40">
      <c r="A43" s="2" t="s">
        <v>36</v>
      </c>
      <c r="F43" s="4" t="s">
        <v>49</v>
      </c>
      <c r="G43" s="4">
        <v>11075</v>
      </c>
      <c r="H43" s="4" t="s">
        <v>52</v>
      </c>
      <c r="I43" s="4" t="s">
        <v>50</v>
      </c>
      <c r="J43" s="6">
        <v>45756</v>
      </c>
      <c r="K43" s="4">
        <v>208</v>
      </c>
      <c r="L43" s="4">
        <v>208</v>
      </c>
      <c r="M43" s="4">
        <v>29</v>
      </c>
      <c r="N43">
        <f t="shared" si="0"/>
        <v>0.13942307692307693</v>
      </c>
      <c r="P43" s="12">
        <v>11077</v>
      </c>
      <c r="Q43" s="9">
        <v>3184</v>
      </c>
      <c r="R43" s="9">
        <v>846</v>
      </c>
      <c r="S43" s="9">
        <v>5135</v>
      </c>
      <c r="T43" s="9">
        <v>1455</v>
      </c>
      <c r="U43" s="9">
        <v>27143</v>
      </c>
      <c r="V43" s="9">
        <v>7429</v>
      </c>
      <c r="X43" s="37">
        <f>AVERAGE(Q41:Q43)/14</f>
        <v>230.23809523809524</v>
      </c>
      <c r="Y43" s="37"/>
      <c r="Z43" s="37">
        <f>AVERAGE(S41:S43)/14</f>
        <v>367.42857142857144</v>
      </c>
      <c r="AA43" s="37"/>
      <c r="AB43" s="37">
        <f>AVERAGE(U41:U43)/14</f>
        <v>1929</v>
      </c>
    </row>
    <row r="44" spans="1:40">
      <c r="A44" s="2" t="s">
        <v>37</v>
      </c>
      <c r="F44" s="4" t="s">
        <v>49</v>
      </c>
      <c r="G44" s="4">
        <v>11075</v>
      </c>
      <c r="H44" s="4" t="s">
        <v>52</v>
      </c>
      <c r="I44" s="4" t="s">
        <v>50</v>
      </c>
      <c r="J44" s="6">
        <v>45757</v>
      </c>
      <c r="K44" s="4">
        <v>211</v>
      </c>
      <c r="L44" s="4">
        <v>211</v>
      </c>
      <c r="M44" s="4">
        <v>31</v>
      </c>
      <c r="N44">
        <f t="shared" si="0"/>
        <v>0.14691943127962084</v>
      </c>
      <c r="X44" s="37"/>
      <c r="Y44" s="37"/>
      <c r="Z44" s="37"/>
      <c r="AA44" s="37"/>
      <c r="AB44" s="37"/>
    </row>
    <row r="45" spans="1:40">
      <c r="A45" s="2" t="s">
        <v>38</v>
      </c>
      <c r="F45" s="4" t="s">
        <v>49</v>
      </c>
      <c r="G45" s="4">
        <v>11075</v>
      </c>
      <c r="H45" s="4" t="s">
        <v>52</v>
      </c>
      <c r="I45" s="4" t="s">
        <v>50</v>
      </c>
      <c r="J45" s="6">
        <v>45758</v>
      </c>
      <c r="K45" s="4">
        <v>207</v>
      </c>
      <c r="L45" s="4">
        <v>207</v>
      </c>
      <c r="M45" s="4">
        <v>30</v>
      </c>
      <c r="N45">
        <f t="shared" si="0"/>
        <v>0.14492753623188406</v>
      </c>
      <c r="P45" t="s">
        <v>213</v>
      </c>
    </row>
    <row r="46" spans="1:40">
      <c r="A46" s="2" t="s">
        <v>39</v>
      </c>
      <c r="F46" s="4" t="s">
        <v>49</v>
      </c>
      <c r="G46" s="4">
        <v>11075</v>
      </c>
      <c r="H46" s="4" t="s">
        <v>52</v>
      </c>
      <c r="I46" s="4" t="s">
        <v>50</v>
      </c>
      <c r="J46" s="6">
        <v>45759</v>
      </c>
      <c r="K46" s="4">
        <v>230</v>
      </c>
      <c r="L46" s="4">
        <v>230</v>
      </c>
      <c r="M46" s="4">
        <v>40</v>
      </c>
      <c r="N46">
        <f t="shared" si="0"/>
        <v>0.17391304347826086</v>
      </c>
      <c r="P46" t="s">
        <v>214</v>
      </c>
    </row>
    <row r="47" spans="1:40">
      <c r="A47" s="2" t="s">
        <v>40</v>
      </c>
      <c r="F47" s="4" t="s">
        <v>49</v>
      </c>
      <c r="G47" s="4">
        <v>11075</v>
      </c>
      <c r="H47" s="4" t="s">
        <v>52</v>
      </c>
      <c r="I47" s="4" t="s">
        <v>50</v>
      </c>
      <c r="J47" s="6">
        <v>45760</v>
      </c>
      <c r="K47" s="4">
        <v>290</v>
      </c>
      <c r="L47" s="4">
        <v>290</v>
      </c>
      <c r="M47" s="4">
        <v>46</v>
      </c>
      <c r="N47">
        <f t="shared" si="0"/>
        <v>0.15862068965517243</v>
      </c>
      <c r="Q47" s="15"/>
      <c r="Y47" t="s">
        <v>275</v>
      </c>
    </row>
    <row r="48" spans="1:40">
      <c r="F48" s="4" t="s">
        <v>49</v>
      </c>
      <c r="G48" s="4">
        <v>11075</v>
      </c>
      <c r="H48" s="4" t="s">
        <v>52</v>
      </c>
      <c r="I48" s="4" t="s">
        <v>50</v>
      </c>
      <c r="J48" s="6">
        <v>45761</v>
      </c>
      <c r="K48" s="4">
        <v>251</v>
      </c>
      <c r="L48" s="4">
        <v>251</v>
      </c>
      <c r="M48" s="4">
        <v>34</v>
      </c>
      <c r="N48">
        <f t="shared" si="0"/>
        <v>0.13545816733067728</v>
      </c>
      <c r="P48" t="s">
        <v>68</v>
      </c>
      <c r="R48" s="11" t="s">
        <v>52</v>
      </c>
      <c r="S48" s="11"/>
      <c r="T48" s="11" t="s">
        <v>53</v>
      </c>
      <c r="U48" s="11"/>
      <c r="V48" s="11" t="s">
        <v>54</v>
      </c>
      <c r="X48" s="11" t="s">
        <v>52</v>
      </c>
      <c r="Y48" s="11"/>
      <c r="Z48" s="11" t="s">
        <v>53</v>
      </c>
      <c r="AA48" s="11"/>
      <c r="AB48" s="11" t="s">
        <v>54</v>
      </c>
      <c r="AC48" s="11"/>
      <c r="AL48" t="s">
        <v>52</v>
      </c>
      <c r="AM48" t="s">
        <v>53</v>
      </c>
      <c r="AN48" t="s">
        <v>54</v>
      </c>
    </row>
    <row r="49" spans="6:40">
      <c r="F49" s="4" t="s">
        <v>49</v>
      </c>
      <c r="G49" s="4">
        <v>11075</v>
      </c>
      <c r="H49" s="4" t="s">
        <v>52</v>
      </c>
      <c r="I49" s="4" t="s">
        <v>50</v>
      </c>
      <c r="J49" s="6">
        <v>45762</v>
      </c>
      <c r="K49" s="4">
        <v>184</v>
      </c>
      <c r="L49" s="4">
        <v>184</v>
      </c>
      <c r="M49" s="4">
        <v>23</v>
      </c>
      <c r="N49">
        <f t="shared" si="0"/>
        <v>0.125</v>
      </c>
      <c r="O49" s="49" t="s">
        <v>74</v>
      </c>
      <c r="P49" s="44" t="s">
        <v>69</v>
      </c>
      <c r="Q49" s="16" t="s">
        <v>70</v>
      </c>
      <c r="R49">
        <f>R31/Q31</f>
        <v>0.14128888888888888</v>
      </c>
      <c r="T49">
        <f>T31/S31</f>
        <v>0.160345789180145</v>
      </c>
      <c r="V49">
        <f>V31/U31</f>
        <v>0.17869144099624432</v>
      </c>
      <c r="AD49" s="49" t="s">
        <v>74</v>
      </c>
      <c r="AE49" s="44" t="s">
        <v>69</v>
      </c>
      <c r="AF49" s="16" t="s">
        <v>70</v>
      </c>
      <c r="AI49" t="s">
        <v>50</v>
      </c>
      <c r="AJ49" t="s">
        <v>69</v>
      </c>
      <c r="AK49" t="s">
        <v>70</v>
      </c>
    </row>
    <row r="50" spans="6:40">
      <c r="F50" s="4" t="s">
        <v>49</v>
      </c>
      <c r="G50" s="4">
        <v>11075</v>
      </c>
      <c r="H50" s="4" t="s">
        <v>52</v>
      </c>
      <c r="I50" s="4" t="s">
        <v>50</v>
      </c>
      <c r="J50" s="6">
        <v>45763</v>
      </c>
      <c r="K50" s="4">
        <v>187</v>
      </c>
      <c r="L50" s="4">
        <v>187</v>
      </c>
      <c r="M50" s="4">
        <v>29</v>
      </c>
      <c r="N50">
        <f t="shared" si="0"/>
        <v>0.15508021390374332</v>
      </c>
      <c r="O50" s="49"/>
      <c r="P50" s="45"/>
      <c r="Q50" s="16" t="s">
        <v>71</v>
      </c>
      <c r="R50">
        <f t="shared" ref="R50:R54" si="1">R32/Q32</f>
        <v>0.16985258737588033</v>
      </c>
      <c r="S50">
        <f>R50-R49</f>
        <v>2.8563698486991446E-2</v>
      </c>
      <c r="T50">
        <f t="shared" ref="T50:T54" si="2">T32/S32</f>
        <v>0.18826987681970886</v>
      </c>
      <c r="U50">
        <f>T50-T49</f>
        <v>2.792408763956386E-2</v>
      </c>
      <c r="V50">
        <f t="shared" ref="V50:V53" si="3">V32/U32</f>
        <v>0.21483641075477811</v>
      </c>
      <c r="W50">
        <f>V50-V49</f>
        <v>3.614496975853379E-2</v>
      </c>
      <c r="Y50" s="60">
        <f>X33*S50</f>
        <v>38.036765079324262</v>
      </c>
      <c r="AA50" s="60">
        <f>Z33*U50</f>
        <v>11.725379152965884</v>
      </c>
      <c r="AC50" s="60">
        <f>AB33*W50</f>
        <v>32.468813716621732</v>
      </c>
      <c r="AD50" s="49"/>
      <c r="AE50" s="45"/>
      <c r="AF50" s="16" t="s">
        <v>71</v>
      </c>
      <c r="AK50" t="s">
        <v>71</v>
      </c>
      <c r="AL50">
        <v>38.036765079324262</v>
      </c>
      <c r="AM50">
        <v>11.725379152965884</v>
      </c>
      <c r="AN50">
        <v>32.468813716621732</v>
      </c>
    </row>
    <row r="51" spans="6:40">
      <c r="F51" s="4" t="s">
        <v>49</v>
      </c>
      <c r="G51" s="4">
        <v>11075</v>
      </c>
      <c r="H51" s="4" t="s">
        <v>52</v>
      </c>
      <c r="I51" s="4" t="s">
        <v>50</v>
      </c>
      <c r="J51" s="6">
        <v>45764</v>
      </c>
      <c r="K51" s="4">
        <v>217</v>
      </c>
      <c r="L51" s="4">
        <v>217</v>
      </c>
      <c r="M51" s="4">
        <v>26</v>
      </c>
      <c r="N51">
        <f t="shared" si="0"/>
        <v>0.11981566820276497</v>
      </c>
      <c r="O51" s="49"/>
      <c r="P51" s="46"/>
      <c r="Q51" s="16" t="s">
        <v>72</v>
      </c>
      <c r="R51">
        <f>R33/Q33</f>
        <v>0.15616547687669047</v>
      </c>
      <c r="S51">
        <f>R51-R49</f>
        <v>1.4876587987801587E-2</v>
      </c>
      <c r="T51">
        <f t="shared" si="2"/>
        <v>0.18692773630088744</v>
      </c>
      <c r="U51">
        <f>T51-T49</f>
        <v>2.6581947120742438E-2</v>
      </c>
      <c r="V51">
        <f>V33/U33</f>
        <v>0.20307874481941979</v>
      </c>
      <c r="W51">
        <f>V51-V49</f>
        <v>2.4387303823175471E-2</v>
      </c>
      <c r="Y51" s="60">
        <f>X33*S51</f>
        <v>19.810364639285432</v>
      </c>
      <c r="AA51" s="60">
        <f>Z33*U51</f>
        <v>11.161811717464692</v>
      </c>
      <c r="AC51" s="60">
        <f>AB33*W51</f>
        <v>21.906971569630155</v>
      </c>
      <c r="AD51" s="49"/>
      <c r="AE51" s="46"/>
      <c r="AF51" s="16" t="s">
        <v>72</v>
      </c>
      <c r="AK51" t="s">
        <v>72</v>
      </c>
      <c r="AL51">
        <v>19.810364639285432</v>
      </c>
      <c r="AM51">
        <v>11.161811717464692</v>
      </c>
      <c r="AN51">
        <v>21.906971569630155</v>
      </c>
    </row>
    <row r="52" spans="6:40">
      <c r="F52" s="4" t="s">
        <v>49</v>
      </c>
      <c r="G52" s="4">
        <v>11075</v>
      </c>
      <c r="H52" s="4" t="s">
        <v>52</v>
      </c>
      <c r="I52" s="4" t="s">
        <v>50</v>
      </c>
      <c r="J52" s="6">
        <v>45765</v>
      </c>
      <c r="K52" s="4">
        <v>214</v>
      </c>
      <c r="L52" s="4">
        <v>214</v>
      </c>
      <c r="M52" s="4">
        <v>29</v>
      </c>
      <c r="N52">
        <f t="shared" si="0"/>
        <v>0.13551401869158877</v>
      </c>
      <c r="O52" s="49"/>
      <c r="P52" s="47" t="s">
        <v>73</v>
      </c>
      <c r="Q52" s="17" t="s">
        <v>70</v>
      </c>
      <c r="R52">
        <f t="shared" si="1"/>
        <v>0.14715500327011119</v>
      </c>
      <c r="T52">
        <f t="shared" si="2"/>
        <v>0.14090520922288644</v>
      </c>
      <c r="V52">
        <f t="shared" si="3"/>
        <v>0.12832881404309976</v>
      </c>
      <c r="AD52" s="49"/>
      <c r="AE52" s="47" t="s">
        <v>73</v>
      </c>
      <c r="AF52" s="17" t="s">
        <v>70</v>
      </c>
      <c r="AJ52" t="s">
        <v>73</v>
      </c>
      <c r="AK52" t="s">
        <v>70</v>
      </c>
    </row>
    <row r="53" spans="6:40">
      <c r="F53" s="4" t="s">
        <v>49</v>
      </c>
      <c r="G53" s="4">
        <v>11075</v>
      </c>
      <c r="H53" s="4" t="s">
        <v>52</v>
      </c>
      <c r="I53" s="4" t="s">
        <v>50</v>
      </c>
      <c r="J53" s="6">
        <v>45766</v>
      </c>
      <c r="K53" s="4">
        <v>256</v>
      </c>
      <c r="L53" s="4">
        <v>256</v>
      </c>
      <c r="M53" s="4">
        <v>41</v>
      </c>
      <c r="N53">
        <f t="shared" si="0"/>
        <v>0.16015625</v>
      </c>
      <c r="O53" s="49"/>
      <c r="P53" s="45"/>
      <c r="Q53" s="16" t="s">
        <v>71</v>
      </c>
      <c r="R53">
        <f t="shared" si="1"/>
        <v>0.18033875788774492</v>
      </c>
      <c r="S53">
        <f>R53-R52</f>
        <v>3.3183754617633732E-2</v>
      </c>
      <c r="T53">
        <f t="shared" si="2"/>
        <v>0.15134034611469291</v>
      </c>
      <c r="U53">
        <f>T53-T52</f>
        <v>1.0435136891806474E-2</v>
      </c>
      <c r="V53">
        <f t="shared" si="3"/>
        <v>0.1577416940173893</v>
      </c>
      <c r="W53">
        <f>V53-V52</f>
        <v>2.9412879974289541E-2</v>
      </c>
      <c r="Y53" s="60">
        <f>X36*S53</f>
        <v>5.9216735446095017</v>
      </c>
      <c r="AA53" s="60">
        <f>Z36*U53</f>
        <v>3.6056467119100719</v>
      </c>
      <c r="AC53" s="60">
        <f>AB36*W53</f>
        <v>60.211048923054442</v>
      </c>
      <c r="AD53" s="49"/>
      <c r="AE53" s="45"/>
      <c r="AF53" s="16" t="s">
        <v>71</v>
      </c>
      <c r="AK53" t="s">
        <v>71</v>
      </c>
      <c r="AL53">
        <v>5.9216735446095017</v>
      </c>
      <c r="AM53">
        <v>3.6056467119100719</v>
      </c>
      <c r="AN53">
        <v>60.211048923054442</v>
      </c>
    </row>
    <row r="54" spans="6:40">
      <c r="F54" s="4" t="s">
        <v>49</v>
      </c>
      <c r="G54" s="4">
        <v>11075</v>
      </c>
      <c r="H54" s="4" t="s">
        <v>52</v>
      </c>
      <c r="I54" s="4" t="s">
        <v>50</v>
      </c>
      <c r="J54" s="6">
        <v>45767</v>
      </c>
      <c r="K54" s="4">
        <v>262</v>
      </c>
      <c r="L54" s="4">
        <v>262</v>
      </c>
      <c r="M54" s="4">
        <v>33</v>
      </c>
      <c r="N54">
        <f t="shared" si="0"/>
        <v>0.12595419847328243</v>
      </c>
      <c r="O54" s="49"/>
      <c r="P54" s="48"/>
      <c r="Q54" s="18" t="s">
        <v>72</v>
      </c>
      <c r="R54">
        <f t="shared" si="1"/>
        <v>0.1724934036939314</v>
      </c>
      <c r="S54">
        <f>R54-R52</f>
        <v>2.5338400423820212E-2</v>
      </c>
      <c r="T54">
        <f t="shared" si="2"/>
        <v>0.1537544696066746</v>
      </c>
      <c r="U54">
        <f>T54-T52</f>
        <v>1.2849260383788169E-2</v>
      </c>
      <c r="V54">
        <f>V36/U36</f>
        <v>0.14653654029393931</v>
      </c>
      <c r="W54">
        <f>V54-V52</f>
        <v>1.8207726250839551E-2</v>
      </c>
      <c r="Y54" s="60">
        <f>X36*S54</f>
        <v>4.5216623971997594</v>
      </c>
      <c r="AA54" s="60">
        <f>Z36*U54</f>
        <v>4.4397973820218644</v>
      </c>
      <c r="AC54" s="60">
        <f>AB36*W54</f>
        <v>37.27300070666962</v>
      </c>
      <c r="AD54" s="49"/>
      <c r="AE54" s="48"/>
      <c r="AF54" s="18" t="s">
        <v>72</v>
      </c>
      <c r="AK54" t="s">
        <v>72</v>
      </c>
      <c r="AL54">
        <v>4.5216623971997594</v>
      </c>
      <c r="AM54">
        <v>4.4397973820218644</v>
      </c>
      <c r="AN54">
        <v>37.27300070666962</v>
      </c>
    </row>
    <row r="55" spans="6:40">
      <c r="F55" s="4" t="s">
        <v>49</v>
      </c>
      <c r="G55" s="4">
        <v>11075</v>
      </c>
      <c r="H55" s="4" t="s">
        <v>52</v>
      </c>
      <c r="I55" s="4" t="s">
        <v>51</v>
      </c>
      <c r="J55" s="6">
        <v>45751</v>
      </c>
      <c r="K55" s="4">
        <v>12</v>
      </c>
      <c r="L55" s="4">
        <v>12</v>
      </c>
      <c r="M55" s="4">
        <v>3</v>
      </c>
      <c r="N55">
        <f t="shared" si="0"/>
        <v>0.25</v>
      </c>
      <c r="O55" s="49" t="s">
        <v>67</v>
      </c>
      <c r="P55" s="44" t="s">
        <v>69</v>
      </c>
      <c r="Q55" s="16" t="s">
        <v>70</v>
      </c>
      <c r="R55">
        <f>R38/Q38</f>
        <v>0.22193955246609456</v>
      </c>
      <c r="T55">
        <f>T38/S38</f>
        <v>0.24100391134289439</v>
      </c>
      <c r="V55">
        <f>V38/U38</f>
        <v>0.27171501616345156</v>
      </c>
      <c r="AD55" s="49" t="s">
        <v>67</v>
      </c>
      <c r="AE55" s="44" t="s">
        <v>69</v>
      </c>
      <c r="AF55" s="16" t="s">
        <v>70</v>
      </c>
      <c r="AI55" t="s">
        <v>51</v>
      </c>
      <c r="AJ55" t="s">
        <v>69</v>
      </c>
      <c r="AK55" t="s">
        <v>70</v>
      </c>
    </row>
    <row r="56" spans="6:40">
      <c r="F56" s="4" t="s">
        <v>49</v>
      </c>
      <c r="G56" s="4">
        <v>11075</v>
      </c>
      <c r="H56" s="4" t="s">
        <v>52</v>
      </c>
      <c r="I56" s="4" t="s">
        <v>51</v>
      </c>
      <c r="J56" s="6">
        <v>45752</v>
      </c>
      <c r="K56" s="4">
        <v>36</v>
      </c>
      <c r="L56" s="4">
        <v>36</v>
      </c>
      <c r="M56" s="4">
        <v>9</v>
      </c>
      <c r="N56">
        <f t="shared" si="0"/>
        <v>0.25</v>
      </c>
      <c r="O56" s="49"/>
      <c r="P56" s="45"/>
      <c r="Q56" s="16" t="s">
        <v>71</v>
      </c>
      <c r="R56">
        <f t="shared" ref="R56:R60" si="4">R39/Q39</f>
        <v>0.22381930184804927</v>
      </c>
      <c r="S56">
        <f>R56-R55</f>
        <v>1.879749381954704E-3</v>
      </c>
      <c r="T56">
        <f t="shared" ref="T56:T60" si="5">T39/S39</f>
        <v>0.25073304635348431</v>
      </c>
      <c r="U56">
        <f>T56-T55</f>
        <v>9.7291350105899177E-3</v>
      </c>
      <c r="V56">
        <f t="shared" ref="V56:V60" si="6">V39/U39</f>
        <v>0.27636171130543902</v>
      </c>
      <c r="W56">
        <f>V56-V55</f>
        <v>4.6466951419874558E-3</v>
      </c>
      <c r="Y56" s="60">
        <f>S56*X40</f>
        <v>7.7381225986295359</v>
      </c>
      <c r="AA56" s="60">
        <f>U56*Z40</f>
        <v>11.026353012001906</v>
      </c>
      <c r="AC56" s="60">
        <f>W56*AB40</f>
        <v>16.321848593026793</v>
      </c>
      <c r="AD56" s="49"/>
      <c r="AE56" s="45"/>
      <c r="AF56" s="16" t="s">
        <v>71</v>
      </c>
      <c r="AK56" t="s">
        <v>71</v>
      </c>
      <c r="AL56">
        <v>7.7381225986295359</v>
      </c>
      <c r="AM56">
        <v>11.026353012001906</v>
      </c>
      <c r="AN56">
        <v>16.321848593026793</v>
      </c>
    </row>
    <row r="57" spans="6:40">
      <c r="F57" s="4" t="s">
        <v>49</v>
      </c>
      <c r="G57" s="4">
        <v>11075</v>
      </c>
      <c r="H57" s="4" t="s">
        <v>52</v>
      </c>
      <c r="I57" s="4" t="s">
        <v>51</v>
      </c>
      <c r="J57" s="6">
        <v>45753</v>
      </c>
      <c r="K57" s="4">
        <v>58</v>
      </c>
      <c r="L57" s="4">
        <v>58</v>
      </c>
      <c r="M57" s="4">
        <v>15</v>
      </c>
      <c r="N57">
        <f t="shared" si="0"/>
        <v>0.25862068965517243</v>
      </c>
      <c r="O57" s="49"/>
      <c r="P57" s="46"/>
      <c r="Q57" s="16" t="s">
        <v>72</v>
      </c>
      <c r="R57">
        <f t="shared" si="4"/>
        <v>0.22195439174542617</v>
      </c>
      <c r="S57">
        <f>R57-R55</f>
        <v>1.4839279331602118E-5</v>
      </c>
      <c r="T57">
        <f t="shared" si="5"/>
        <v>0.24958412913560471</v>
      </c>
      <c r="U57">
        <f>T57-T55</f>
        <v>8.5802177927103152E-3</v>
      </c>
      <c r="V57">
        <f t="shared" si="6"/>
        <v>0.271520621176088</v>
      </c>
      <c r="W57">
        <f>V57-V55</f>
        <v>-1.9439498736356642E-4</v>
      </c>
      <c r="Y57" s="60">
        <f>S57*X40</f>
        <v>6.1086953317063798E-2</v>
      </c>
      <c r="AA57" s="60">
        <f>U57*Z40</f>
        <v>9.7242468317383572</v>
      </c>
      <c r="AC57" s="60">
        <f>W57*AB40</f>
        <v>-0.68282627847076727</v>
      </c>
      <c r="AD57" s="49"/>
      <c r="AE57" s="46"/>
      <c r="AF57" s="16" t="s">
        <v>72</v>
      </c>
      <c r="AK57" t="s">
        <v>72</v>
      </c>
      <c r="AL57">
        <v>6.1086953317063798E-2</v>
      </c>
      <c r="AM57">
        <v>9.7242468317383572</v>
      </c>
      <c r="AN57">
        <v>-0.68282627847076727</v>
      </c>
    </row>
    <row r="58" spans="6:40">
      <c r="F58" s="4" t="s">
        <v>49</v>
      </c>
      <c r="G58" s="4">
        <v>11075</v>
      </c>
      <c r="H58" s="4" t="s">
        <v>52</v>
      </c>
      <c r="I58" s="4" t="s">
        <v>51</v>
      </c>
      <c r="J58" s="6">
        <v>45754</v>
      </c>
      <c r="K58" s="4">
        <v>75</v>
      </c>
      <c r="L58" s="4">
        <v>75</v>
      </c>
      <c r="M58" s="4">
        <v>22</v>
      </c>
      <c r="N58">
        <f t="shared" si="0"/>
        <v>0.29333333333333333</v>
      </c>
      <c r="O58" s="49"/>
      <c r="P58" s="47" t="s">
        <v>73</v>
      </c>
      <c r="Q58" s="17" t="s">
        <v>70</v>
      </c>
      <c r="R58">
        <f t="shared" si="4"/>
        <v>0.28594097112027927</v>
      </c>
      <c r="T58">
        <f t="shared" si="5"/>
        <v>0.27782462057335583</v>
      </c>
      <c r="V58">
        <f t="shared" si="6"/>
        <v>0.27378008086994071</v>
      </c>
      <c r="AD58" s="49"/>
      <c r="AE58" s="47" t="s">
        <v>73</v>
      </c>
      <c r="AF58" s="17" t="s">
        <v>70</v>
      </c>
      <c r="AJ58" t="s">
        <v>73</v>
      </c>
      <c r="AK58" t="s">
        <v>70</v>
      </c>
    </row>
    <row r="59" spans="6:40">
      <c r="F59" s="4" t="s">
        <v>49</v>
      </c>
      <c r="G59" s="4">
        <v>11075</v>
      </c>
      <c r="H59" s="4" t="s">
        <v>52</v>
      </c>
      <c r="I59" s="4" t="s">
        <v>51</v>
      </c>
      <c r="J59" s="6">
        <v>45755</v>
      </c>
      <c r="K59" s="4">
        <v>116</v>
      </c>
      <c r="L59" s="4">
        <v>116</v>
      </c>
      <c r="M59" s="4">
        <v>32</v>
      </c>
      <c r="N59">
        <f t="shared" si="0"/>
        <v>0.27586206896551724</v>
      </c>
      <c r="O59" s="49"/>
      <c r="P59" s="45"/>
      <c r="Q59" s="16" t="s">
        <v>71</v>
      </c>
      <c r="R59">
        <f t="shared" si="4"/>
        <v>0.26506746626686656</v>
      </c>
      <c r="S59">
        <f>R59-R58</f>
        <v>-2.0873504853412717E-2</v>
      </c>
      <c r="T59">
        <f t="shared" si="5"/>
        <v>0.27804790203493607</v>
      </c>
      <c r="U59">
        <f>T59-T58</f>
        <v>2.2328146158023809E-4</v>
      </c>
      <c r="V59">
        <f t="shared" si="6"/>
        <v>0.28019153580733752</v>
      </c>
      <c r="W59">
        <f>V59-V58</f>
        <v>6.4114549373968099E-3</v>
      </c>
      <c r="Y59" s="60">
        <f>S59*X43</f>
        <v>-4.8058759983928807</v>
      </c>
      <c r="AA59" s="60">
        <f>U59*Z43</f>
        <v>8.203998845491034E-2</v>
      </c>
      <c r="AC59" s="60">
        <f>W59*AB43</f>
        <v>12.367696574238446</v>
      </c>
      <c r="AD59" s="49"/>
      <c r="AE59" s="45"/>
      <c r="AF59" s="16" t="s">
        <v>71</v>
      </c>
      <c r="AK59" t="s">
        <v>71</v>
      </c>
      <c r="AL59">
        <v>-4.8058759983928807</v>
      </c>
      <c r="AM59">
        <v>8.203998845491034E-2</v>
      </c>
      <c r="AN59">
        <v>12.367696574238446</v>
      </c>
    </row>
    <row r="60" spans="6:40">
      <c r="F60" s="4" t="s">
        <v>49</v>
      </c>
      <c r="G60" s="4">
        <v>11075</v>
      </c>
      <c r="H60" s="4" t="s">
        <v>52</v>
      </c>
      <c r="I60" s="4" t="s">
        <v>51</v>
      </c>
      <c r="J60" s="6">
        <v>45756</v>
      </c>
      <c r="K60" s="4">
        <v>160</v>
      </c>
      <c r="L60" s="4">
        <v>160</v>
      </c>
      <c r="M60" s="4">
        <v>53</v>
      </c>
      <c r="N60">
        <f t="shared" si="0"/>
        <v>0.33124999999999999</v>
      </c>
      <c r="O60" s="49"/>
      <c r="P60" s="48"/>
      <c r="Q60" s="18" t="s">
        <v>72</v>
      </c>
      <c r="R60">
        <f t="shared" si="4"/>
        <v>0.2657035175879397</v>
      </c>
      <c r="S60">
        <f>R60-R58</f>
        <v>-2.0237453532339578E-2</v>
      </c>
      <c r="T60">
        <f t="shared" si="5"/>
        <v>0.28334956183057447</v>
      </c>
      <c r="U60">
        <f>T60-T58</f>
        <v>5.5249412572186407E-3</v>
      </c>
      <c r="V60">
        <f t="shared" si="6"/>
        <v>0.27369855948126587</v>
      </c>
      <c r="W60">
        <f>V60-V58</f>
        <v>-8.1521388674843376E-5</v>
      </c>
      <c r="Y60" s="60">
        <f>S60*X43</f>
        <v>-4.6594327537553264</v>
      </c>
      <c r="AA60" s="60">
        <f>U60*Z43</f>
        <v>2.0300212733666205</v>
      </c>
      <c r="AC60" s="60">
        <f>W60*AB43</f>
        <v>-0.15725475875377287</v>
      </c>
      <c r="AD60" s="49"/>
      <c r="AE60" s="48"/>
      <c r="AF60" s="18" t="s">
        <v>72</v>
      </c>
      <c r="AK60" t="s">
        <v>72</v>
      </c>
      <c r="AL60">
        <v>-4.6594327537553264</v>
      </c>
      <c r="AM60">
        <v>2.0300212733666205</v>
      </c>
      <c r="AN60">
        <v>-0.15725475875377287</v>
      </c>
    </row>
    <row r="61" spans="6:40">
      <c r="F61" s="4" t="s">
        <v>49</v>
      </c>
      <c r="G61" s="4">
        <v>11075</v>
      </c>
      <c r="H61" s="4" t="s">
        <v>52</v>
      </c>
      <c r="I61" s="4" t="s">
        <v>51</v>
      </c>
      <c r="J61" s="6">
        <v>45757</v>
      </c>
      <c r="K61" s="4">
        <v>186</v>
      </c>
      <c r="L61" s="4">
        <v>186</v>
      </c>
      <c r="M61" s="4">
        <v>44</v>
      </c>
      <c r="N61">
        <f t="shared" si="0"/>
        <v>0.23655913978494625</v>
      </c>
    </row>
    <row r="62" spans="6:40">
      <c r="F62" s="4" t="s">
        <v>49</v>
      </c>
      <c r="G62" s="4">
        <v>11075</v>
      </c>
      <c r="H62" s="4" t="s">
        <v>52</v>
      </c>
      <c r="I62" s="4" t="s">
        <v>51</v>
      </c>
      <c r="J62" s="6">
        <v>45758</v>
      </c>
      <c r="K62" s="4">
        <v>178</v>
      </c>
      <c r="L62" s="4">
        <v>178</v>
      </c>
      <c r="M62" s="4">
        <v>52</v>
      </c>
      <c r="N62">
        <f t="shared" si="0"/>
        <v>0.29213483146067415</v>
      </c>
    </row>
    <row r="63" spans="6:40">
      <c r="F63" s="4" t="s">
        <v>49</v>
      </c>
      <c r="G63" s="4">
        <v>11075</v>
      </c>
      <c r="H63" s="4" t="s">
        <v>52</v>
      </c>
      <c r="I63" s="4" t="s">
        <v>51</v>
      </c>
      <c r="J63" s="6">
        <v>45759</v>
      </c>
      <c r="K63" s="4">
        <v>215</v>
      </c>
      <c r="L63" s="4">
        <v>215</v>
      </c>
      <c r="M63" s="4">
        <v>61</v>
      </c>
      <c r="N63">
        <f t="shared" si="0"/>
        <v>0.28372093023255812</v>
      </c>
    </row>
    <row r="64" spans="6:40">
      <c r="F64" s="4" t="s">
        <v>49</v>
      </c>
      <c r="G64" s="4">
        <v>11075</v>
      </c>
      <c r="H64" s="4" t="s">
        <v>52</v>
      </c>
      <c r="I64" s="4" t="s">
        <v>51</v>
      </c>
      <c r="J64" s="6">
        <v>45760</v>
      </c>
      <c r="K64" s="4">
        <v>277</v>
      </c>
      <c r="L64" s="4">
        <v>277</v>
      </c>
      <c r="M64" s="4">
        <v>73</v>
      </c>
      <c r="N64">
        <f t="shared" si="0"/>
        <v>0.26353790613718414</v>
      </c>
    </row>
    <row r="65" spans="6:33">
      <c r="F65" s="4" t="s">
        <v>49</v>
      </c>
      <c r="G65" s="4">
        <v>11075</v>
      </c>
      <c r="H65" s="4" t="s">
        <v>52</v>
      </c>
      <c r="I65" s="4" t="s">
        <v>51</v>
      </c>
      <c r="J65" s="6">
        <v>45761</v>
      </c>
      <c r="K65" s="4">
        <v>262</v>
      </c>
      <c r="L65" s="4">
        <v>262</v>
      </c>
      <c r="M65" s="4">
        <v>69</v>
      </c>
      <c r="N65">
        <f t="shared" si="0"/>
        <v>0.26335877862595419</v>
      </c>
      <c r="Q65" t="s">
        <v>41</v>
      </c>
      <c r="R65" t="s">
        <v>56</v>
      </c>
    </row>
    <row r="66" spans="6:33">
      <c r="F66" s="4" t="s">
        <v>49</v>
      </c>
      <c r="G66" s="4">
        <v>11075</v>
      </c>
      <c r="H66" s="4" t="s">
        <v>52</v>
      </c>
      <c r="I66" s="4" t="s">
        <v>51</v>
      </c>
      <c r="J66" s="6">
        <v>45762</v>
      </c>
      <c r="K66" s="4">
        <v>243</v>
      </c>
      <c r="L66" s="4">
        <v>243</v>
      </c>
      <c r="M66" s="4">
        <v>75</v>
      </c>
      <c r="N66">
        <f t="shared" si="0"/>
        <v>0.30864197530864196</v>
      </c>
    </row>
    <row r="67" spans="6:33">
      <c r="F67" s="4" t="s">
        <v>49</v>
      </c>
      <c r="G67" s="4">
        <v>11075</v>
      </c>
      <c r="H67" s="4" t="s">
        <v>52</v>
      </c>
      <c r="I67" s="4" t="s">
        <v>51</v>
      </c>
      <c r="J67" s="6">
        <v>45763</v>
      </c>
      <c r="K67" s="4">
        <v>255</v>
      </c>
      <c r="L67" s="4">
        <v>255</v>
      </c>
      <c r="M67" s="4">
        <v>70</v>
      </c>
      <c r="N67">
        <f t="shared" ref="N67:N130" si="7">M67/L67</f>
        <v>0.27450980392156865</v>
      </c>
      <c r="Q67" t="s">
        <v>163</v>
      </c>
    </row>
    <row r="68" spans="6:33">
      <c r="F68" s="4" t="s">
        <v>49</v>
      </c>
      <c r="G68" s="4">
        <v>11075</v>
      </c>
      <c r="H68" s="4" t="s">
        <v>52</v>
      </c>
      <c r="I68" s="4" t="s">
        <v>51</v>
      </c>
      <c r="J68" s="6">
        <v>45764</v>
      </c>
      <c r="K68" s="4">
        <v>266</v>
      </c>
      <c r="L68" s="4">
        <v>266</v>
      </c>
      <c r="M68" s="4">
        <v>71</v>
      </c>
      <c r="N68">
        <f t="shared" si="7"/>
        <v>0.26691729323308272</v>
      </c>
      <c r="Q68" t="s">
        <v>57</v>
      </c>
      <c r="R68" t="s">
        <v>52</v>
      </c>
      <c r="S68" t="s">
        <v>53</v>
      </c>
      <c r="T68" t="s">
        <v>54</v>
      </c>
    </row>
    <row r="69" spans="6:33">
      <c r="F69" s="4" t="s">
        <v>49</v>
      </c>
      <c r="G69" s="4">
        <v>11075</v>
      </c>
      <c r="H69" s="4" t="s">
        <v>52</v>
      </c>
      <c r="I69" s="4" t="s">
        <v>51</v>
      </c>
      <c r="J69" s="6">
        <v>45765</v>
      </c>
      <c r="K69" s="4">
        <v>255</v>
      </c>
      <c r="L69" s="4">
        <v>255</v>
      </c>
      <c r="M69" s="4">
        <v>71</v>
      </c>
      <c r="N69">
        <f t="shared" si="7"/>
        <v>0.27843137254901962</v>
      </c>
      <c r="Q69" s="8" t="s">
        <v>50</v>
      </c>
      <c r="R69" s="9"/>
      <c r="S69" s="9" t="s">
        <v>166</v>
      </c>
      <c r="T69" s="9">
        <v>158915</v>
      </c>
      <c r="Y69" t="s">
        <v>52</v>
      </c>
      <c r="Z69" t="s">
        <v>53</v>
      </c>
      <c r="AA69" t="s">
        <v>54</v>
      </c>
      <c r="AE69" t="s">
        <v>52</v>
      </c>
      <c r="AF69" t="s">
        <v>53</v>
      </c>
      <c r="AG69" t="s">
        <v>54</v>
      </c>
    </row>
    <row r="70" spans="6:33">
      <c r="F70" s="4" t="s">
        <v>49</v>
      </c>
      <c r="G70" s="4">
        <v>11075</v>
      </c>
      <c r="H70" s="4" t="s">
        <v>52</v>
      </c>
      <c r="I70" s="4" t="s">
        <v>51</v>
      </c>
      <c r="J70" s="6">
        <v>45766</v>
      </c>
      <c r="K70" s="4">
        <v>296</v>
      </c>
      <c r="L70" s="4">
        <v>296</v>
      </c>
      <c r="M70" s="4">
        <v>94</v>
      </c>
      <c r="N70">
        <f t="shared" si="7"/>
        <v>0.31756756756756754</v>
      </c>
      <c r="Q70" s="12">
        <v>11072</v>
      </c>
      <c r="R70" s="9">
        <v>22500</v>
      </c>
      <c r="S70" s="9">
        <v>7172</v>
      </c>
      <c r="T70" s="9">
        <v>15177</v>
      </c>
      <c r="W70" s="8" t="s">
        <v>50</v>
      </c>
      <c r="X70" t="s">
        <v>165</v>
      </c>
      <c r="Y70">
        <f>SUM(R70:R72)</f>
        <v>67914</v>
      </c>
      <c r="Z70">
        <f t="shared" ref="Z70:AA70" si="8">SUM(S70:S72)</f>
        <v>21415</v>
      </c>
      <c r="AA70">
        <f t="shared" si="8"/>
        <v>45813</v>
      </c>
      <c r="AC70" s="43" t="s">
        <v>50</v>
      </c>
      <c r="AD70" t="s">
        <v>165</v>
      </c>
      <c r="AE70" s="26">
        <f>Y70/SUM(Y70:AA70)</f>
        <v>0.5025380710659898</v>
      </c>
      <c r="AF70" s="26">
        <f>Z70/SUM(Y70:AA70)</f>
        <v>0.15846295008213582</v>
      </c>
      <c r="AG70" s="26">
        <f>AA70/SUM(Y70:AA70)</f>
        <v>0.3389989788518743</v>
      </c>
    </row>
    <row r="71" spans="6:33">
      <c r="F71" s="4" t="s">
        <v>49</v>
      </c>
      <c r="G71" s="4">
        <v>11075</v>
      </c>
      <c r="H71" s="4" t="s">
        <v>52</v>
      </c>
      <c r="I71" s="4" t="s">
        <v>51</v>
      </c>
      <c r="J71" s="6">
        <v>45767</v>
      </c>
      <c r="K71" s="4">
        <v>367</v>
      </c>
      <c r="L71" s="4">
        <v>367</v>
      </c>
      <c r="M71" s="4">
        <v>114</v>
      </c>
      <c r="N71">
        <f t="shared" si="7"/>
        <v>0.31062670299727518</v>
      </c>
      <c r="Q71" s="12">
        <v>11073</v>
      </c>
      <c r="R71" s="9">
        <v>22861</v>
      </c>
      <c r="S71" s="9">
        <v>7144</v>
      </c>
      <c r="T71" s="9">
        <v>15435</v>
      </c>
      <c r="X71" t="s">
        <v>164</v>
      </c>
      <c r="Y71">
        <f>SUM(R73:R75)</f>
        <v>9711</v>
      </c>
      <c r="Z71">
        <f t="shared" ref="Z71:AA71" si="9">SUM(S73:S75)</f>
        <v>19707</v>
      </c>
      <c r="AA71">
        <f t="shared" si="9"/>
        <v>113102</v>
      </c>
      <c r="AC71" s="43"/>
      <c r="AD71" t="s">
        <v>164</v>
      </c>
      <c r="AE71" s="26">
        <f t="shared" ref="AE71:AE73" si="10">Y71/SUM(Y71:AA71)</f>
        <v>6.8137805220319952E-2</v>
      </c>
      <c r="AF71" s="26">
        <f t="shared" ref="AF71:AF73" si="11">Z71/SUM(Y71:AA71)</f>
        <v>0.13827532977827672</v>
      </c>
      <c r="AG71" s="26">
        <f t="shared" ref="AG71:AG73" si="12">AA71/SUM(Y71:AA71)</f>
        <v>0.7935868650014033</v>
      </c>
    </row>
    <row r="72" spans="6:33">
      <c r="F72" s="4" t="s">
        <v>49</v>
      </c>
      <c r="G72" s="4">
        <v>11075</v>
      </c>
      <c r="H72" s="4" t="s">
        <v>53</v>
      </c>
      <c r="I72" s="4" t="s">
        <v>50</v>
      </c>
      <c r="J72" s="6">
        <v>45750</v>
      </c>
      <c r="K72" s="4">
        <v>16</v>
      </c>
      <c r="L72" s="4">
        <v>16</v>
      </c>
      <c r="M72" s="4">
        <v>3</v>
      </c>
      <c r="N72">
        <f t="shared" si="7"/>
        <v>0.1875</v>
      </c>
      <c r="Q72" s="12">
        <v>11074</v>
      </c>
      <c r="R72" s="9">
        <v>22553</v>
      </c>
      <c r="S72" s="9">
        <v>7099</v>
      </c>
      <c r="T72" s="9">
        <v>15201</v>
      </c>
      <c r="W72" s="8" t="s">
        <v>51</v>
      </c>
      <c r="X72" t="s">
        <v>165</v>
      </c>
      <c r="Y72">
        <f>SUM(R77:R79)</f>
        <v>172896</v>
      </c>
      <c r="Z72">
        <f t="shared" ref="Z72:AA72" si="13">SUM(S77:S79)</f>
        <v>47600</v>
      </c>
      <c r="AA72">
        <f t="shared" si="13"/>
        <v>147528</v>
      </c>
      <c r="AC72" s="43" t="s">
        <v>51</v>
      </c>
      <c r="AD72" t="s">
        <v>165</v>
      </c>
      <c r="AE72" s="26">
        <f t="shared" si="10"/>
        <v>0.46979544812294849</v>
      </c>
      <c r="AF72" s="26">
        <f t="shared" si="11"/>
        <v>0.12933939090928853</v>
      </c>
      <c r="AG72" s="26">
        <f t="shared" si="12"/>
        <v>0.40086516096776298</v>
      </c>
    </row>
    <row r="73" spans="6:33">
      <c r="F73" s="4" t="s">
        <v>49</v>
      </c>
      <c r="G73" s="4">
        <v>11075</v>
      </c>
      <c r="H73" s="4" t="s">
        <v>53</v>
      </c>
      <c r="I73" s="4" t="s">
        <v>50</v>
      </c>
      <c r="J73" s="6">
        <v>45751</v>
      </c>
      <c r="K73" s="4">
        <v>141</v>
      </c>
      <c r="L73" s="4">
        <v>141</v>
      </c>
      <c r="M73" s="4">
        <v>13</v>
      </c>
      <c r="N73">
        <f t="shared" si="7"/>
        <v>9.2198581560283682E-2</v>
      </c>
      <c r="Q73" s="12">
        <v>11075</v>
      </c>
      <c r="R73" s="9">
        <v>3280</v>
      </c>
      <c r="S73" s="9">
        <v>6525</v>
      </c>
      <c r="T73" s="9">
        <v>37949</v>
      </c>
      <c r="X73" t="s">
        <v>164</v>
      </c>
      <c r="Y73">
        <f>SUM(R80:R82)</f>
        <v>9952</v>
      </c>
      <c r="Z73">
        <f t="shared" ref="Z73:AA73" si="14">SUM(S80:S82)</f>
        <v>16005</v>
      </c>
      <c r="AA73">
        <f t="shared" si="14"/>
        <v>83524</v>
      </c>
      <c r="AC73" s="43"/>
      <c r="AD73" t="s">
        <v>164</v>
      </c>
      <c r="AE73" s="26">
        <f t="shared" si="10"/>
        <v>9.090161763228323E-2</v>
      </c>
      <c r="AF73" s="26">
        <f t="shared" si="11"/>
        <v>0.14618974981960339</v>
      </c>
      <c r="AG73" s="26">
        <f t="shared" si="12"/>
        <v>0.76290863254811336</v>
      </c>
    </row>
    <row r="74" spans="6:33">
      <c r="F74" s="4" t="s">
        <v>49</v>
      </c>
      <c r="G74" s="4">
        <v>11075</v>
      </c>
      <c r="H74" s="4" t="s">
        <v>53</v>
      </c>
      <c r="I74" s="4" t="s">
        <v>50</v>
      </c>
      <c r="J74" s="6">
        <v>45752</v>
      </c>
      <c r="K74" s="4">
        <v>230</v>
      </c>
      <c r="L74" s="4">
        <v>230</v>
      </c>
      <c r="M74" s="4">
        <v>23</v>
      </c>
      <c r="N74">
        <f t="shared" si="7"/>
        <v>0.1</v>
      </c>
      <c r="Q74" s="12">
        <v>11076</v>
      </c>
      <c r="R74" s="9">
        <v>3221</v>
      </c>
      <c r="S74" s="9">
        <v>6611</v>
      </c>
      <c r="T74" s="9">
        <v>37597</v>
      </c>
    </row>
    <row r="75" spans="6:33">
      <c r="F75" s="4" t="s">
        <v>49</v>
      </c>
      <c r="G75" s="4">
        <v>11075</v>
      </c>
      <c r="H75" s="4" t="s">
        <v>53</v>
      </c>
      <c r="I75" s="4" t="s">
        <v>50</v>
      </c>
      <c r="J75" s="6">
        <v>45753</v>
      </c>
      <c r="K75" s="4">
        <v>283</v>
      </c>
      <c r="L75" s="4">
        <v>283</v>
      </c>
      <c r="M75" s="4">
        <v>25</v>
      </c>
      <c r="N75">
        <f t="shared" si="7"/>
        <v>8.8339222614840993E-2</v>
      </c>
      <c r="Q75" s="12">
        <v>11077</v>
      </c>
      <c r="R75" s="9">
        <v>3210</v>
      </c>
      <c r="S75" s="9">
        <v>6571</v>
      </c>
      <c r="T75" s="9">
        <v>37556</v>
      </c>
      <c r="X75" t="s">
        <v>165</v>
      </c>
      <c r="Y75">
        <f>Y70+Y72</f>
        <v>240810</v>
      </c>
      <c r="Z75">
        <f t="shared" ref="Z75" si="15">Z70+Z72</f>
        <v>69015</v>
      </c>
      <c r="AA75">
        <f>AA70+AA72</f>
        <v>193341</v>
      </c>
      <c r="AD75" t="s">
        <v>165</v>
      </c>
      <c r="AE75" s="27">
        <f>Y75/SUM(Y75:AA75)</f>
        <v>0.47858957083745723</v>
      </c>
      <c r="AF75" s="27">
        <f>Z75/SUM(Y75:AA75)</f>
        <v>0.13716149342364151</v>
      </c>
      <c r="AG75" s="27">
        <f>AA75/SUM(Y75:AA75)</f>
        <v>0.38424893573890129</v>
      </c>
    </row>
    <row r="76" spans="6:33">
      <c r="F76" s="4" t="s">
        <v>49</v>
      </c>
      <c r="G76" s="4">
        <v>11075</v>
      </c>
      <c r="H76" s="4" t="s">
        <v>53</v>
      </c>
      <c r="I76" s="4" t="s">
        <v>50</v>
      </c>
      <c r="J76" s="6">
        <v>45754</v>
      </c>
      <c r="K76" s="4">
        <v>438</v>
      </c>
      <c r="L76" s="4">
        <v>438</v>
      </c>
      <c r="M76" s="4">
        <v>61</v>
      </c>
      <c r="N76">
        <f t="shared" si="7"/>
        <v>0.13926940639269406</v>
      </c>
      <c r="Q76" s="8" t="s">
        <v>51</v>
      </c>
      <c r="R76" s="9" t="s">
        <v>166</v>
      </c>
      <c r="S76" s="9">
        <v>63605</v>
      </c>
      <c r="T76" s="9">
        <v>231052</v>
      </c>
      <c r="X76" t="s">
        <v>164</v>
      </c>
      <c r="Y76">
        <f>Y71+Y73</f>
        <v>19663</v>
      </c>
      <c r="Z76">
        <f t="shared" ref="Z76" si="16">Z71+Z73</f>
        <v>35712</v>
      </c>
      <c r="AA76">
        <f>AA71+AA73</f>
        <v>196626</v>
      </c>
      <c r="AD76" t="s">
        <v>164</v>
      </c>
      <c r="AE76" s="27">
        <f>Y76/SUM(Y76:AA76)</f>
        <v>7.8027468144967679E-2</v>
      </c>
      <c r="AF76" s="27">
        <f>Z76/SUM(Y76:AA76)</f>
        <v>0.14171372335824065</v>
      </c>
      <c r="AG76" s="27">
        <f>AA76/SUM(Y76:AA76)</f>
        <v>0.78025880849679163</v>
      </c>
    </row>
    <row r="77" spans="6:33">
      <c r="F77" s="4" t="s">
        <v>49</v>
      </c>
      <c r="G77" s="4">
        <v>11075</v>
      </c>
      <c r="H77" s="4" t="s">
        <v>53</v>
      </c>
      <c r="I77" s="4" t="s">
        <v>50</v>
      </c>
      <c r="J77" s="6">
        <v>45755</v>
      </c>
      <c r="K77" s="4">
        <v>510</v>
      </c>
      <c r="L77" s="4">
        <v>510</v>
      </c>
      <c r="M77" s="4">
        <v>77</v>
      </c>
      <c r="N77">
        <f t="shared" si="7"/>
        <v>0.15098039215686274</v>
      </c>
      <c r="Q77" s="12">
        <v>11072</v>
      </c>
      <c r="R77" s="9">
        <v>55817</v>
      </c>
      <c r="S77" s="9">
        <v>15340</v>
      </c>
      <c r="T77" s="9">
        <v>47329</v>
      </c>
    </row>
    <row r="78" spans="6:33">
      <c r="F78" s="4" t="s">
        <v>49</v>
      </c>
      <c r="G78" s="4">
        <v>11075</v>
      </c>
      <c r="H78" s="4" t="s">
        <v>53</v>
      </c>
      <c r="I78" s="4" t="s">
        <v>50</v>
      </c>
      <c r="J78" s="6">
        <v>45756</v>
      </c>
      <c r="K78" s="4">
        <v>478</v>
      </c>
      <c r="L78" s="4">
        <v>478</v>
      </c>
      <c r="M78" s="4">
        <v>53</v>
      </c>
      <c r="N78">
        <f t="shared" si="7"/>
        <v>0.11087866108786611</v>
      </c>
      <c r="Q78" s="12">
        <v>11073</v>
      </c>
      <c r="R78" s="9">
        <v>59414</v>
      </c>
      <c r="S78" s="9">
        <v>16029</v>
      </c>
      <c r="T78" s="9">
        <v>51002</v>
      </c>
    </row>
    <row r="79" spans="6:33">
      <c r="F79" s="4" t="s">
        <v>49</v>
      </c>
      <c r="G79" s="4">
        <v>11075</v>
      </c>
      <c r="H79" s="4" t="s">
        <v>53</v>
      </c>
      <c r="I79" s="4" t="s">
        <v>50</v>
      </c>
      <c r="J79" s="6">
        <v>45757</v>
      </c>
      <c r="K79" s="4">
        <v>480</v>
      </c>
      <c r="L79" s="4">
        <v>480</v>
      </c>
      <c r="M79" s="4">
        <v>66</v>
      </c>
      <c r="N79">
        <f t="shared" si="7"/>
        <v>0.13750000000000001</v>
      </c>
      <c r="Q79" s="12">
        <v>11074</v>
      </c>
      <c r="R79" s="9">
        <v>57665</v>
      </c>
      <c r="S79" s="9">
        <v>16231</v>
      </c>
      <c r="T79" s="9">
        <v>49197</v>
      </c>
    </row>
    <row r="80" spans="6:33">
      <c r="F80" s="4" t="s">
        <v>49</v>
      </c>
      <c r="G80" s="4">
        <v>11075</v>
      </c>
      <c r="H80" s="4" t="s">
        <v>53</v>
      </c>
      <c r="I80" s="4" t="s">
        <v>50</v>
      </c>
      <c r="J80" s="6">
        <v>45758</v>
      </c>
      <c r="K80" s="4">
        <v>518</v>
      </c>
      <c r="L80" s="4">
        <v>518</v>
      </c>
      <c r="M80" s="4">
        <v>60</v>
      </c>
      <c r="N80">
        <f t="shared" si="7"/>
        <v>0.11583011583011583</v>
      </c>
      <c r="Q80" s="12">
        <v>11075</v>
      </c>
      <c r="R80" s="9">
        <v>3257</v>
      </c>
      <c r="S80" s="9">
        <v>4892</v>
      </c>
      <c r="T80" s="9">
        <v>26200</v>
      </c>
    </row>
    <row r="81" spans="6:30">
      <c r="F81" s="4" t="s">
        <v>49</v>
      </c>
      <c r="G81" s="4">
        <v>11075</v>
      </c>
      <c r="H81" s="4" t="s">
        <v>53</v>
      </c>
      <c r="I81" s="4" t="s">
        <v>50</v>
      </c>
      <c r="J81" s="6">
        <v>45759</v>
      </c>
      <c r="K81" s="4">
        <v>366</v>
      </c>
      <c r="L81" s="4">
        <v>366</v>
      </c>
      <c r="M81" s="4">
        <v>59</v>
      </c>
      <c r="N81">
        <f t="shared" si="7"/>
        <v>0.16120218579234974</v>
      </c>
      <c r="Q81" s="12">
        <v>11076</v>
      </c>
      <c r="R81" s="9">
        <v>3429</v>
      </c>
      <c r="S81" s="9">
        <v>5758</v>
      </c>
      <c r="T81" s="9">
        <v>29328</v>
      </c>
    </row>
    <row r="82" spans="6:30">
      <c r="F82" s="4" t="s">
        <v>49</v>
      </c>
      <c r="G82" s="4">
        <v>11075</v>
      </c>
      <c r="H82" s="4" t="s">
        <v>53</v>
      </c>
      <c r="I82" s="4" t="s">
        <v>50</v>
      </c>
      <c r="J82" s="6">
        <v>45760</v>
      </c>
      <c r="K82" s="4">
        <v>400</v>
      </c>
      <c r="L82" s="4">
        <v>400</v>
      </c>
      <c r="M82" s="4">
        <v>54</v>
      </c>
      <c r="N82">
        <f t="shared" si="7"/>
        <v>0.13500000000000001</v>
      </c>
      <c r="Q82" s="12">
        <v>11077</v>
      </c>
      <c r="R82" s="9">
        <v>3266</v>
      </c>
      <c r="S82" s="9">
        <v>5355</v>
      </c>
      <c r="T82" s="9">
        <v>27996</v>
      </c>
    </row>
    <row r="83" spans="6:30">
      <c r="F83" s="4" t="s">
        <v>49</v>
      </c>
      <c r="G83" s="4">
        <v>11075</v>
      </c>
      <c r="H83" s="4" t="s">
        <v>53</v>
      </c>
      <c r="I83" s="4" t="s">
        <v>50</v>
      </c>
      <c r="J83" s="6">
        <v>45761</v>
      </c>
      <c r="K83" s="4">
        <v>331</v>
      </c>
      <c r="L83" s="4">
        <v>331</v>
      </c>
      <c r="M83" s="4">
        <v>47</v>
      </c>
      <c r="N83">
        <f t="shared" si="7"/>
        <v>0.1419939577039275</v>
      </c>
    </row>
    <row r="84" spans="6:30">
      <c r="F84" s="4" t="s">
        <v>49</v>
      </c>
      <c r="G84" s="4">
        <v>11075</v>
      </c>
      <c r="H84" s="4" t="s">
        <v>53</v>
      </c>
      <c r="I84" s="4" t="s">
        <v>50</v>
      </c>
      <c r="J84" s="6">
        <v>45762</v>
      </c>
      <c r="K84" s="4">
        <v>355</v>
      </c>
      <c r="L84" s="4">
        <v>355</v>
      </c>
      <c r="M84" s="4">
        <v>58</v>
      </c>
      <c r="N84">
        <f t="shared" si="7"/>
        <v>0.16338028169014085</v>
      </c>
    </row>
    <row r="85" spans="6:30">
      <c r="F85" s="4" t="s">
        <v>49</v>
      </c>
      <c r="G85" s="4">
        <v>11075</v>
      </c>
      <c r="H85" s="4" t="s">
        <v>53</v>
      </c>
      <c r="I85" s="4" t="s">
        <v>50</v>
      </c>
      <c r="J85" s="6">
        <v>45763</v>
      </c>
      <c r="K85" s="4">
        <v>296</v>
      </c>
      <c r="L85" s="4">
        <v>296</v>
      </c>
      <c r="M85" s="4">
        <v>43</v>
      </c>
      <c r="N85">
        <f t="shared" si="7"/>
        <v>0.14527027027027026</v>
      </c>
      <c r="P85" t="s">
        <v>213</v>
      </c>
      <c r="Q85" t="s">
        <v>221</v>
      </c>
    </row>
    <row r="86" spans="6:30">
      <c r="F86" s="4" t="s">
        <v>49</v>
      </c>
      <c r="G86" s="4">
        <v>11075</v>
      </c>
      <c r="H86" s="4" t="s">
        <v>53</v>
      </c>
      <c r="I86" s="4" t="s">
        <v>50</v>
      </c>
      <c r="J86" s="6">
        <v>45764</v>
      </c>
      <c r="K86" s="4">
        <v>382</v>
      </c>
      <c r="L86" s="4">
        <v>382</v>
      </c>
      <c r="M86" s="4">
        <v>51</v>
      </c>
      <c r="N86">
        <f t="shared" si="7"/>
        <v>0.13350785340314136</v>
      </c>
      <c r="P86" t="s">
        <v>214</v>
      </c>
      <c r="Q86" t="s">
        <v>222</v>
      </c>
      <c r="AA86" s="43" t="s">
        <v>223</v>
      </c>
      <c r="AB86" s="43"/>
      <c r="AC86" s="43"/>
      <c r="AD86" s="43"/>
    </row>
    <row r="87" spans="6:30">
      <c r="F87" s="4" t="s">
        <v>49</v>
      </c>
      <c r="G87" s="4">
        <v>11075</v>
      </c>
      <c r="H87" s="4" t="s">
        <v>53</v>
      </c>
      <c r="I87" s="4" t="s">
        <v>50</v>
      </c>
      <c r="J87" s="6">
        <v>45765</v>
      </c>
      <c r="K87" s="4">
        <v>399</v>
      </c>
      <c r="L87" s="4">
        <v>399</v>
      </c>
      <c r="M87" s="4">
        <v>54</v>
      </c>
      <c r="N87">
        <f t="shared" si="7"/>
        <v>0.13533834586466165</v>
      </c>
      <c r="Q87" s="11"/>
      <c r="R87" s="11" t="s">
        <v>52</v>
      </c>
      <c r="S87" s="11"/>
      <c r="T87" s="11" t="s">
        <v>53</v>
      </c>
      <c r="U87" s="11"/>
      <c r="V87" s="11" t="s">
        <v>54</v>
      </c>
      <c r="W87" s="11"/>
      <c r="X87" s="11" t="s">
        <v>66</v>
      </c>
      <c r="Y87" s="11"/>
    </row>
    <row r="88" spans="6:30">
      <c r="F88" s="4" t="s">
        <v>49</v>
      </c>
      <c r="G88" s="4">
        <v>11075</v>
      </c>
      <c r="H88" s="4" t="s">
        <v>53</v>
      </c>
      <c r="I88" s="4" t="s">
        <v>50</v>
      </c>
      <c r="J88" s="6">
        <v>45766</v>
      </c>
      <c r="K88" s="4">
        <v>401</v>
      </c>
      <c r="L88" s="4">
        <v>401</v>
      </c>
      <c r="M88" s="4">
        <v>68</v>
      </c>
      <c r="N88">
        <f t="shared" si="7"/>
        <v>0.16957605985037408</v>
      </c>
      <c r="Q88" s="10" t="s">
        <v>57</v>
      </c>
      <c r="R88" s="10" t="s">
        <v>62</v>
      </c>
      <c r="S88" s="10" t="s">
        <v>65</v>
      </c>
      <c r="T88" s="10" t="s">
        <v>62</v>
      </c>
      <c r="U88" s="10" t="s">
        <v>65</v>
      </c>
      <c r="V88" s="10" t="s">
        <v>62</v>
      </c>
      <c r="W88" s="10" t="s">
        <v>65</v>
      </c>
      <c r="X88" s="10" t="s">
        <v>62</v>
      </c>
      <c r="Y88" s="10" t="s">
        <v>65</v>
      </c>
      <c r="Z88" s="30"/>
      <c r="AA88" s="30" t="s">
        <v>207</v>
      </c>
      <c r="AB88" s="30" t="s">
        <v>208</v>
      </c>
      <c r="AC88" s="30" t="s">
        <v>209</v>
      </c>
      <c r="AD88" s="30" t="s">
        <v>210</v>
      </c>
    </row>
    <row r="89" spans="6:30" ht="17">
      <c r="F89" s="4" t="s">
        <v>49</v>
      </c>
      <c r="G89" s="4">
        <v>11075</v>
      </c>
      <c r="H89" s="4" t="s">
        <v>53</v>
      </c>
      <c r="I89" s="4" t="s">
        <v>50</v>
      </c>
      <c r="J89" s="6">
        <v>45767</v>
      </c>
      <c r="K89" s="4">
        <v>501</v>
      </c>
      <c r="L89" s="4">
        <v>501</v>
      </c>
      <c r="M89" s="4">
        <v>74</v>
      </c>
      <c r="N89">
        <f t="shared" si="7"/>
        <v>0.14770459081836326</v>
      </c>
      <c r="P89" s="44" t="s">
        <v>69</v>
      </c>
      <c r="Q89" s="8">
        <v>11072</v>
      </c>
      <c r="R89" s="9">
        <v>76624</v>
      </c>
      <c r="S89" s="9">
        <v>15332</v>
      </c>
      <c r="T89" s="9">
        <v>21942</v>
      </c>
      <c r="U89" s="9">
        <v>4732</v>
      </c>
      <c r="V89" s="9">
        <v>61168</v>
      </c>
      <c r="W89" s="9">
        <v>15372</v>
      </c>
      <c r="X89" s="9">
        <v>2189</v>
      </c>
      <c r="Y89" s="9">
        <v>513</v>
      </c>
      <c r="Z89" s="32" t="s">
        <v>212</v>
      </c>
      <c r="AA89">
        <f>AVERAGE(R89:R91)/17</f>
        <v>4622.2549019607841</v>
      </c>
      <c r="AB89">
        <f>AVERAGE(T89:T91)/17</f>
        <v>1321.0980392156864</v>
      </c>
      <c r="AC89">
        <f>AVERAGE(V89:V91)/17</f>
        <v>3711.6862745098038</v>
      </c>
      <c r="AD89">
        <f>AVERAGE(X89:X91)/17</f>
        <v>131.15686274509804</v>
      </c>
    </row>
    <row r="90" spans="6:30">
      <c r="F90" s="4" t="s">
        <v>49</v>
      </c>
      <c r="G90" s="4">
        <v>11075</v>
      </c>
      <c r="H90" s="4" t="s">
        <v>53</v>
      </c>
      <c r="I90" s="4" t="s">
        <v>51</v>
      </c>
      <c r="J90" s="6">
        <v>45751</v>
      </c>
      <c r="K90" s="4">
        <v>15</v>
      </c>
      <c r="L90" s="4">
        <v>15</v>
      </c>
      <c r="M90" s="4">
        <v>6</v>
      </c>
      <c r="N90">
        <f t="shared" si="7"/>
        <v>0.4</v>
      </c>
      <c r="P90" s="45"/>
      <c r="Q90" s="8">
        <v>11073</v>
      </c>
      <c r="R90" s="9">
        <v>80556</v>
      </c>
      <c r="S90" s="9">
        <v>16936</v>
      </c>
      <c r="T90" s="9">
        <v>22660</v>
      </c>
      <c r="U90" s="9">
        <v>5274</v>
      </c>
      <c r="V90" s="9">
        <v>65132</v>
      </c>
      <c r="W90" s="9">
        <v>17176</v>
      </c>
      <c r="X90" s="9">
        <v>2317</v>
      </c>
      <c r="Y90" s="9">
        <v>574</v>
      </c>
      <c r="Z90" s="33" t="s">
        <v>187</v>
      </c>
      <c r="AA90" s="31">
        <f>AA89*R99-R98*AA89</f>
        <v>46.892196924362906</v>
      </c>
      <c r="AB90" s="31">
        <f>U99*AB89</f>
        <v>22.57156653378965</v>
      </c>
      <c r="AC90" s="31">
        <f>W99*AC89</f>
        <v>46.035098525834272</v>
      </c>
      <c r="AD90" s="31">
        <f>Y99*AD89</f>
        <v>1.7549513349688912</v>
      </c>
    </row>
    <row r="91" spans="6:30">
      <c r="F91" s="4" t="s">
        <v>49</v>
      </c>
      <c r="G91" s="4">
        <v>11075</v>
      </c>
      <c r="H91" s="4" t="s">
        <v>53</v>
      </c>
      <c r="I91" s="4" t="s">
        <v>51</v>
      </c>
      <c r="J91" s="6">
        <v>45752</v>
      </c>
      <c r="K91" s="4">
        <v>50</v>
      </c>
      <c r="L91" s="4">
        <v>50</v>
      </c>
      <c r="M91" s="4">
        <v>10</v>
      </c>
      <c r="N91">
        <f t="shared" si="7"/>
        <v>0.2</v>
      </c>
      <c r="P91" s="46"/>
      <c r="Q91" s="8">
        <v>11074</v>
      </c>
      <c r="R91" s="9">
        <v>78555</v>
      </c>
      <c r="S91" s="9">
        <v>16097</v>
      </c>
      <c r="T91" s="9">
        <v>22774</v>
      </c>
      <c r="U91" s="9">
        <v>5279</v>
      </c>
      <c r="V91" s="9">
        <v>62996</v>
      </c>
      <c r="W91" s="9">
        <v>16179</v>
      </c>
      <c r="X91" s="9">
        <v>2183</v>
      </c>
      <c r="Y91" s="9">
        <v>511</v>
      </c>
      <c r="Z91" s="34" t="s">
        <v>72</v>
      </c>
      <c r="AA91" s="31">
        <f>S100*AA89</f>
        <v>22.278294981498135</v>
      </c>
      <c r="AB91" s="31">
        <f>U100*AB89</f>
        <v>21.322462278812164</v>
      </c>
      <c r="AC91" s="31">
        <f>W100*AC89</f>
        <v>20.480924568328387</v>
      </c>
      <c r="AD91" s="31">
        <f>Y100*AD89</f>
        <v>-3.5680823969223979E-2</v>
      </c>
    </row>
    <row r="92" spans="6:30" ht="34">
      <c r="F92" s="4" t="s">
        <v>49</v>
      </c>
      <c r="G92" s="4">
        <v>11075</v>
      </c>
      <c r="H92" s="4" t="s">
        <v>53</v>
      </c>
      <c r="I92" s="4" t="s">
        <v>51</v>
      </c>
      <c r="J92" s="6">
        <v>45753</v>
      </c>
      <c r="K92" s="4">
        <v>83</v>
      </c>
      <c r="L92" s="4">
        <v>83</v>
      </c>
      <c r="M92" s="4">
        <v>17</v>
      </c>
      <c r="N92">
        <f t="shared" si="7"/>
        <v>0.20481927710843373</v>
      </c>
      <c r="P92" s="47" t="s">
        <v>73</v>
      </c>
      <c r="Q92" s="8">
        <v>11075</v>
      </c>
      <c r="R92" s="9">
        <v>6209</v>
      </c>
      <c r="S92" s="9">
        <v>1351</v>
      </c>
      <c r="T92" s="9">
        <v>10599</v>
      </c>
      <c r="U92" s="9">
        <v>2143</v>
      </c>
      <c r="V92" s="9">
        <v>60508</v>
      </c>
      <c r="W92" s="9">
        <v>11470</v>
      </c>
      <c r="X92" s="9">
        <v>944</v>
      </c>
      <c r="Y92" s="9">
        <v>284</v>
      </c>
      <c r="Z92" s="32" t="s">
        <v>211</v>
      </c>
      <c r="AA92">
        <f>AVERAGE(R92:R94)/14</f>
        <v>446.92857142857144</v>
      </c>
      <c r="AB92">
        <f>AVERAGE(T92:T94)/14</f>
        <v>787</v>
      </c>
      <c r="AC92">
        <f>AVERAGE(V92:V94)/14</f>
        <v>4414.7619047619046</v>
      </c>
      <c r="AD92">
        <f>AVERAGE(X92:X94)/14</f>
        <v>73.714285714285708</v>
      </c>
    </row>
    <row r="93" spans="6:30">
      <c r="F93" s="4" t="s">
        <v>49</v>
      </c>
      <c r="G93" s="4">
        <v>11075</v>
      </c>
      <c r="H93" s="4" t="s">
        <v>53</v>
      </c>
      <c r="I93" s="4" t="s">
        <v>51</v>
      </c>
      <c r="J93" s="6">
        <v>45754</v>
      </c>
      <c r="K93" s="4">
        <v>131</v>
      </c>
      <c r="L93" s="4">
        <v>131</v>
      </c>
      <c r="M93" s="4">
        <v>36</v>
      </c>
      <c r="N93">
        <f t="shared" si="7"/>
        <v>0.27480916030534353</v>
      </c>
      <c r="P93" s="45"/>
      <c r="Q93" s="8">
        <v>11076</v>
      </c>
      <c r="R93" s="9">
        <v>6346</v>
      </c>
      <c r="S93" s="9">
        <v>1427</v>
      </c>
      <c r="T93" s="9">
        <v>11447</v>
      </c>
      <c r="U93" s="9">
        <v>2436</v>
      </c>
      <c r="V93" s="9">
        <v>63136</v>
      </c>
      <c r="W93" s="9">
        <v>13437</v>
      </c>
      <c r="X93" s="9">
        <v>1131</v>
      </c>
      <c r="Y93" s="9">
        <v>340</v>
      </c>
      <c r="Z93" s="33" t="s">
        <v>71</v>
      </c>
      <c r="AA93" s="31">
        <f>S102*AA92</f>
        <v>3.2530519273563492</v>
      </c>
      <c r="AB93" s="31">
        <f>U102*AB92</f>
        <v>8.3563370479386343</v>
      </c>
      <c r="AC93" s="31">
        <f>W102*AC92</f>
        <v>102.70753263773727</v>
      </c>
      <c r="AD93" s="31">
        <f>Y102*AD92</f>
        <v>-1.6846391481106209E-2</v>
      </c>
    </row>
    <row r="94" spans="6:30">
      <c r="F94" s="4" t="s">
        <v>49</v>
      </c>
      <c r="G94" s="4">
        <v>11075</v>
      </c>
      <c r="H94" s="4" t="s">
        <v>53</v>
      </c>
      <c r="I94" s="4" t="s">
        <v>51</v>
      </c>
      <c r="J94" s="6">
        <v>45755</v>
      </c>
      <c r="K94" s="4">
        <v>217</v>
      </c>
      <c r="L94" s="4">
        <v>217</v>
      </c>
      <c r="M94" s="4">
        <v>50</v>
      </c>
      <c r="N94">
        <f t="shared" si="7"/>
        <v>0.2304147465437788</v>
      </c>
      <c r="P94" s="48"/>
      <c r="Q94" s="8">
        <v>11077</v>
      </c>
      <c r="R94" s="9">
        <v>6216</v>
      </c>
      <c r="S94" s="9">
        <v>1369</v>
      </c>
      <c r="T94" s="9">
        <v>11008</v>
      </c>
      <c r="U94" s="9">
        <v>2358</v>
      </c>
      <c r="V94" s="9">
        <v>61776</v>
      </c>
      <c r="W94" s="9">
        <v>12504</v>
      </c>
      <c r="X94" s="9">
        <v>1021</v>
      </c>
      <c r="Y94" s="9">
        <v>307</v>
      </c>
      <c r="Z94" s="34" t="s">
        <v>72</v>
      </c>
      <c r="AA94" s="31">
        <f>S103*AA92</f>
        <v>1.1846834280499097</v>
      </c>
      <c r="AB94" s="31">
        <f>U103*AB92</f>
        <v>9.4589239544044261</v>
      </c>
      <c r="AC94" s="31">
        <f>W103*AC92</f>
        <v>56.716408932314188</v>
      </c>
      <c r="AD94" s="31">
        <f>Y103*AD92</f>
        <v>-1.1931046094958302E-2</v>
      </c>
    </row>
    <row r="95" spans="6:30">
      <c r="F95" s="4" t="s">
        <v>49</v>
      </c>
      <c r="G95" s="4">
        <v>11075</v>
      </c>
      <c r="H95" s="4" t="s">
        <v>53</v>
      </c>
      <c r="I95" s="4" t="s">
        <v>51</v>
      </c>
      <c r="J95" s="6">
        <v>45756</v>
      </c>
      <c r="K95" s="4">
        <v>275</v>
      </c>
      <c r="L95" s="4">
        <v>275</v>
      </c>
      <c r="M95" s="4">
        <v>68</v>
      </c>
      <c r="N95">
        <f t="shared" si="7"/>
        <v>0.24727272727272728</v>
      </c>
      <c r="Q95" s="12"/>
      <c r="R95" s="9"/>
      <c r="S95" s="9"/>
      <c r="T95" s="9"/>
      <c r="U95" s="9"/>
      <c r="Z95" s="24"/>
    </row>
    <row r="96" spans="6:30">
      <c r="F96" s="4" t="s">
        <v>49</v>
      </c>
      <c r="G96" s="4">
        <v>11075</v>
      </c>
      <c r="H96" s="4" t="s">
        <v>53</v>
      </c>
      <c r="I96" s="4" t="s">
        <v>51</v>
      </c>
      <c r="J96" s="6">
        <v>45757</v>
      </c>
      <c r="K96" s="4">
        <v>304</v>
      </c>
      <c r="L96" s="4">
        <v>304</v>
      </c>
      <c r="M96" s="4">
        <v>81</v>
      </c>
      <c r="N96">
        <f t="shared" si="7"/>
        <v>0.26644736842105265</v>
      </c>
      <c r="Q96" s="13"/>
      <c r="R96" s="14"/>
      <c r="S96" s="14"/>
      <c r="T96" s="14"/>
      <c r="U96" s="14"/>
    </row>
    <row r="97" spans="6:25">
      <c r="F97" s="4" t="s">
        <v>49</v>
      </c>
      <c r="G97" s="4">
        <v>11075</v>
      </c>
      <c r="H97" s="4" t="s">
        <v>53</v>
      </c>
      <c r="I97" s="4" t="s">
        <v>51</v>
      </c>
      <c r="J97" s="6">
        <v>45758</v>
      </c>
      <c r="K97" s="4">
        <v>336</v>
      </c>
      <c r="L97" s="4">
        <v>336</v>
      </c>
      <c r="M97" s="4">
        <v>86</v>
      </c>
      <c r="N97">
        <f t="shared" si="7"/>
        <v>0.25595238095238093</v>
      </c>
      <c r="Q97" s="12"/>
      <c r="R97" s="9" t="s">
        <v>201</v>
      </c>
      <c r="S97" s="9"/>
      <c r="T97" s="9" t="s">
        <v>202</v>
      </c>
      <c r="U97" s="9"/>
      <c r="V97" s="9" t="s">
        <v>203</v>
      </c>
    </row>
    <row r="98" spans="6:25">
      <c r="F98" s="4" t="s">
        <v>49</v>
      </c>
      <c r="G98" s="4">
        <v>11075</v>
      </c>
      <c r="H98" s="4" t="s">
        <v>53</v>
      </c>
      <c r="I98" s="4" t="s">
        <v>51</v>
      </c>
      <c r="J98" s="6">
        <v>45759</v>
      </c>
      <c r="K98" s="4">
        <v>330</v>
      </c>
      <c r="L98" s="4">
        <v>330</v>
      </c>
      <c r="M98" s="4">
        <v>95</v>
      </c>
      <c r="N98">
        <f t="shared" si="7"/>
        <v>0.2878787878787879</v>
      </c>
      <c r="P98" s="44" t="s">
        <v>69</v>
      </c>
      <c r="Q98" s="16" t="s">
        <v>70</v>
      </c>
      <c r="R98" s="26">
        <f>S89/R89</f>
        <v>0.20009396533723114</v>
      </c>
      <c r="S98" s="26"/>
      <c r="T98" s="26">
        <f>U89/T89</f>
        <v>0.21565946586455201</v>
      </c>
      <c r="U98" s="26"/>
      <c r="V98" s="26">
        <f>W89/V89</f>
        <v>0.2513078733978551</v>
      </c>
      <c r="X98" s="26">
        <f>Y89/X89</f>
        <v>0.23435358611238008</v>
      </c>
    </row>
    <row r="99" spans="6:25">
      <c r="F99" s="4" t="s">
        <v>49</v>
      </c>
      <c r="G99" s="4">
        <v>11075</v>
      </c>
      <c r="H99" s="4" t="s">
        <v>53</v>
      </c>
      <c r="I99" s="4" t="s">
        <v>51</v>
      </c>
      <c r="J99" s="6">
        <v>45760</v>
      </c>
      <c r="K99" s="4">
        <v>370</v>
      </c>
      <c r="L99" s="4">
        <v>370</v>
      </c>
      <c r="M99" s="4">
        <v>105</v>
      </c>
      <c r="N99">
        <f t="shared" si="7"/>
        <v>0.28378378378378377</v>
      </c>
      <c r="P99" s="45"/>
      <c r="Q99" s="16" t="s">
        <v>71</v>
      </c>
      <c r="R99" s="26">
        <f>S90/R90</f>
        <v>0.21023884006157206</v>
      </c>
      <c r="S99" s="26">
        <f>R99-R98</f>
        <v>1.0144874724340919E-2</v>
      </c>
      <c r="T99" s="26">
        <f t="shared" ref="R99:T103" si="17">U90/T90</f>
        <v>0.2327449249779347</v>
      </c>
      <c r="U99" s="26">
        <f>T99-T98</f>
        <v>1.7085459113382689E-2</v>
      </c>
      <c r="V99" s="26">
        <f t="shared" ref="V99" si="18">W90/V90</f>
        <v>0.26371061843640609</v>
      </c>
      <c r="W99" s="26">
        <f>V99-V98</f>
        <v>1.2402745038550989E-2</v>
      </c>
      <c r="X99" s="26">
        <f>Y90/X90</f>
        <v>0.24773413897280966</v>
      </c>
      <c r="Y99" s="26">
        <f>X99-X98</f>
        <v>1.3380552860429579E-2</v>
      </c>
    </row>
    <row r="100" spans="6:25">
      <c r="F100" s="4" t="s">
        <v>49</v>
      </c>
      <c r="G100" s="4">
        <v>11075</v>
      </c>
      <c r="H100" s="4" t="s">
        <v>53</v>
      </c>
      <c r="I100" s="4" t="s">
        <v>51</v>
      </c>
      <c r="J100" s="6">
        <v>45761</v>
      </c>
      <c r="K100" s="4">
        <v>378</v>
      </c>
      <c r="L100" s="4">
        <v>378</v>
      </c>
      <c r="M100" s="4">
        <v>100</v>
      </c>
      <c r="N100">
        <f t="shared" si="7"/>
        <v>0.26455026455026454</v>
      </c>
      <c r="P100" s="46"/>
      <c r="Q100" s="18" t="s">
        <v>72</v>
      </c>
      <c r="R100" s="26">
        <f t="shared" si="17"/>
        <v>0.20491375469416331</v>
      </c>
      <c r="S100" s="26">
        <f>R100-R98</f>
        <v>4.8197893569321693E-3</v>
      </c>
      <c r="T100" s="26">
        <f t="shared" si="17"/>
        <v>0.23179942039167473</v>
      </c>
      <c r="U100" s="26">
        <f>T100-T98</f>
        <v>1.6139954527122718E-2</v>
      </c>
      <c r="V100" s="26">
        <f t="shared" ref="V100:X100" si="19">W91/V91</f>
        <v>0.25682583021144201</v>
      </c>
      <c r="W100" s="26">
        <f>V100-V98</f>
        <v>5.5179568135869106E-3</v>
      </c>
      <c r="X100" s="26">
        <f t="shared" si="19"/>
        <v>0.23408153916628494</v>
      </c>
      <c r="Y100" s="26">
        <f>X100-X98</f>
        <v>-2.7204694609514468E-4</v>
      </c>
    </row>
    <row r="101" spans="6:25">
      <c r="F101" s="4" t="s">
        <v>49</v>
      </c>
      <c r="G101" s="4">
        <v>11075</v>
      </c>
      <c r="H101" s="4" t="s">
        <v>53</v>
      </c>
      <c r="I101" s="4" t="s">
        <v>51</v>
      </c>
      <c r="J101" s="6">
        <v>45762</v>
      </c>
      <c r="K101" s="4">
        <v>357</v>
      </c>
      <c r="L101" s="4">
        <v>357</v>
      </c>
      <c r="M101" s="4">
        <v>112</v>
      </c>
      <c r="N101">
        <f t="shared" si="7"/>
        <v>0.31372549019607843</v>
      </c>
      <c r="P101" s="47" t="s">
        <v>73</v>
      </c>
      <c r="Q101" s="17" t="s">
        <v>70</v>
      </c>
      <c r="R101" s="26">
        <f t="shared" si="17"/>
        <v>0.21758737316798196</v>
      </c>
      <c r="S101" s="26"/>
      <c r="T101" s="26">
        <f t="shared" si="17"/>
        <v>0.20218888574393812</v>
      </c>
      <c r="U101" s="26"/>
      <c r="V101" s="26">
        <f t="shared" ref="V101:X101" si="20">W92/V92</f>
        <v>0.18956171084815232</v>
      </c>
      <c r="X101" s="26">
        <f t="shared" si="20"/>
        <v>0.30084745762711862</v>
      </c>
    </row>
    <row r="102" spans="6:25">
      <c r="F102" s="4" t="s">
        <v>49</v>
      </c>
      <c r="G102" s="4">
        <v>11075</v>
      </c>
      <c r="H102" s="4" t="s">
        <v>53</v>
      </c>
      <c r="I102" s="4" t="s">
        <v>51</v>
      </c>
      <c r="J102" s="6">
        <v>45763</v>
      </c>
      <c r="K102" s="4">
        <v>371</v>
      </c>
      <c r="L102" s="4">
        <v>371</v>
      </c>
      <c r="M102" s="4">
        <v>100</v>
      </c>
      <c r="N102">
        <f t="shared" si="7"/>
        <v>0.26954177897574122</v>
      </c>
      <c r="P102" s="45"/>
      <c r="Q102" s="16" t="s">
        <v>71</v>
      </c>
      <c r="R102" s="26">
        <f t="shared" si="17"/>
        <v>0.22486605735896628</v>
      </c>
      <c r="S102" s="26">
        <f>R102-R101</f>
        <v>7.2786841909843192E-3</v>
      </c>
      <c r="T102" s="26">
        <f t="shared" si="17"/>
        <v>0.21280684895605836</v>
      </c>
      <c r="U102" s="26">
        <f>T102-T101</f>
        <v>1.0617963212120246E-2</v>
      </c>
      <c r="V102" s="26">
        <f t="shared" ref="V102:X102" si="21">W93/V93</f>
        <v>0.21282627977698937</v>
      </c>
      <c r="W102" s="26">
        <f>V102-V101</f>
        <v>2.3264568928837048E-2</v>
      </c>
      <c r="X102" s="26">
        <f t="shared" si="21"/>
        <v>0.30061892130857648</v>
      </c>
      <c r="Y102" s="26">
        <f>X102-X101</f>
        <v>-2.2853631854213852E-4</v>
      </c>
    </row>
    <row r="103" spans="6:25">
      <c r="F103" s="4" t="s">
        <v>49</v>
      </c>
      <c r="G103" s="4">
        <v>11075</v>
      </c>
      <c r="H103" s="4" t="s">
        <v>53</v>
      </c>
      <c r="I103" s="4" t="s">
        <v>51</v>
      </c>
      <c r="J103" s="6">
        <v>45764</v>
      </c>
      <c r="K103" s="4">
        <v>359</v>
      </c>
      <c r="L103" s="4">
        <v>359</v>
      </c>
      <c r="M103" s="4">
        <v>101</v>
      </c>
      <c r="N103">
        <f t="shared" si="7"/>
        <v>0.28133704735376047</v>
      </c>
      <c r="P103" s="48"/>
      <c r="Q103" s="18" t="s">
        <v>72</v>
      </c>
      <c r="R103" s="26">
        <f t="shared" si="17"/>
        <v>0.22023809523809523</v>
      </c>
      <c r="S103" s="26">
        <f>R103-R101</f>
        <v>2.6507220701132705E-3</v>
      </c>
      <c r="T103" s="26">
        <f t="shared" si="17"/>
        <v>0.21420784883720931</v>
      </c>
      <c r="U103" s="26">
        <f>T103-T101</f>
        <v>1.201896309327119E-2</v>
      </c>
      <c r="V103" s="26">
        <f t="shared" ref="V103:X103" si="22">W94/V94</f>
        <v>0.2024087024087024</v>
      </c>
      <c r="W103" s="26">
        <f>V103-V101</f>
        <v>1.2846991560550081E-2</v>
      </c>
      <c r="X103" s="26">
        <f t="shared" si="22"/>
        <v>0.30068560235063663</v>
      </c>
      <c r="Y103" s="26">
        <f>X103-X101</f>
        <v>-1.6185527648199249E-4</v>
      </c>
    </row>
    <row r="104" spans="6:25">
      <c r="F104" s="4" t="s">
        <v>49</v>
      </c>
      <c r="G104" s="4">
        <v>11075</v>
      </c>
      <c r="H104" s="4" t="s">
        <v>53</v>
      </c>
      <c r="I104" s="4" t="s">
        <v>51</v>
      </c>
      <c r="J104" s="6">
        <v>45765</v>
      </c>
      <c r="K104" s="4">
        <v>389</v>
      </c>
      <c r="L104" s="4">
        <v>389</v>
      </c>
      <c r="M104" s="4">
        <v>110</v>
      </c>
      <c r="N104">
        <f t="shared" si="7"/>
        <v>0.28277634961439591</v>
      </c>
      <c r="R104" s="25"/>
      <c r="S104" s="25"/>
      <c r="T104" s="25"/>
      <c r="U104" s="25"/>
      <c r="V104" s="25"/>
    </row>
    <row r="105" spans="6:25" ht="34">
      <c r="F105" s="4" t="s">
        <v>49</v>
      </c>
      <c r="G105" s="4">
        <v>11075</v>
      </c>
      <c r="H105" s="4" t="s">
        <v>53</v>
      </c>
      <c r="I105" s="4" t="s">
        <v>51</v>
      </c>
      <c r="J105" s="6">
        <v>45766</v>
      </c>
      <c r="K105" s="4">
        <v>425</v>
      </c>
      <c r="L105" s="4">
        <v>425</v>
      </c>
      <c r="M105" s="4">
        <v>136</v>
      </c>
      <c r="N105">
        <f t="shared" si="7"/>
        <v>0.32</v>
      </c>
      <c r="R105" s="24" t="s">
        <v>204</v>
      </c>
      <c r="S105" s="24" t="s">
        <v>206</v>
      </c>
      <c r="V105" s="24" t="s">
        <v>204</v>
      </c>
      <c r="W105" s="24" t="s">
        <v>206</v>
      </c>
    </row>
    <row r="106" spans="6:25">
      <c r="F106" s="4" t="s">
        <v>49</v>
      </c>
      <c r="G106" s="4">
        <v>11075</v>
      </c>
      <c r="H106" s="4" t="s">
        <v>53</v>
      </c>
      <c r="I106" s="4" t="s">
        <v>51</v>
      </c>
      <c r="J106" s="6">
        <v>45767</v>
      </c>
      <c r="K106" s="4">
        <v>502</v>
      </c>
      <c r="L106" s="4">
        <v>502</v>
      </c>
      <c r="M106" s="4">
        <v>138</v>
      </c>
      <c r="N106">
        <f t="shared" si="7"/>
        <v>0.27490039840637448</v>
      </c>
      <c r="P106" t="s">
        <v>52</v>
      </c>
      <c r="Q106" t="s">
        <v>49</v>
      </c>
      <c r="R106">
        <v>3.2530519273563501</v>
      </c>
      <c r="S106">
        <v>1.1846834280499097</v>
      </c>
      <c r="U106" t="s">
        <v>243</v>
      </c>
      <c r="V106">
        <f>SUM(R106:R113)</f>
        <v>231.55388854050688</v>
      </c>
      <c r="W106">
        <f>SUM(S106:S113)</f>
        <v>131.39408627334305</v>
      </c>
    </row>
    <row r="107" spans="6:25">
      <c r="F107" s="4" t="s">
        <v>49</v>
      </c>
      <c r="G107" s="4">
        <v>11075</v>
      </c>
      <c r="H107" s="4" t="s">
        <v>54</v>
      </c>
      <c r="I107" s="4" t="s">
        <v>50</v>
      </c>
      <c r="J107" s="6">
        <v>45750</v>
      </c>
      <c r="K107" s="4">
        <v>108</v>
      </c>
      <c r="L107" s="4">
        <v>108</v>
      </c>
      <c r="M107" s="4">
        <v>12</v>
      </c>
      <c r="N107">
        <f t="shared" si="7"/>
        <v>0.1111111111111111</v>
      </c>
      <c r="P107" t="s">
        <v>53</v>
      </c>
      <c r="Q107" t="s">
        <v>49</v>
      </c>
      <c r="R107">
        <v>8.3563370479386343</v>
      </c>
      <c r="S107">
        <v>9.4589239544044261</v>
      </c>
      <c r="U107" t="s">
        <v>244</v>
      </c>
      <c r="V107">
        <f>V106/0.33</f>
        <v>701.67845012274802</v>
      </c>
      <c r="W107">
        <f>W106/0.33</f>
        <v>398.1638977980092</v>
      </c>
    </row>
    <row r="108" spans="6:25">
      <c r="F108" s="4" t="s">
        <v>49</v>
      </c>
      <c r="G108" s="4">
        <v>11075</v>
      </c>
      <c r="H108" s="4" t="s">
        <v>54</v>
      </c>
      <c r="I108" s="4" t="s">
        <v>50</v>
      </c>
      <c r="J108" s="6">
        <v>45751</v>
      </c>
      <c r="K108" s="4">
        <v>673</v>
      </c>
      <c r="L108" s="4">
        <v>673</v>
      </c>
      <c r="M108" s="4">
        <v>75</v>
      </c>
      <c r="N108">
        <f t="shared" si="7"/>
        <v>0.11144130757800892</v>
      </c>
      <c r="P108" t="s">
        <v>54</v>
      </c>
      <c r="Q108" t="s">
        <v>49</v>
      </c>
      <c r="R108">
        <v>102.70753263773727</v>
      </c>
      <c r="S108">
        <v>56.716408932314188</v>
      </c>
    </row>
    <row r="109" spans="6:25">
      <c r="F109" s="4" t="s">
        <v>49</v>
      </c>
      <c r="G109" s="4">
        <v>11075</v>
      </c>
      <c r="H109" s="4" t="s">
        <v>54</v>
      </c>
      <c r="I109" s="4" t="s">
        <v>50</v>
      </c>
      <c r="J109" s="6">
        <v>45752</v>
      </c>
      <c r="K109" s="4">
        <v>924</v>
      </c>
      <c r="L109" s="4">
        <v>924</v>
      </c>
      <c r="M109" s="4">
        <v>108</v>
      </c>
      <c r="N109">
        <f t="shared" si="7"/>
        <v>0.11688311688311688</v>
      </c>
      <c r="P109" t="s">
        <v>168</v>
      </c>
      <c r="Q109" t="s">
        <v>49</v>
      </c>
      <c r="R109">
        <v>-1.6846391481106209E-2</v>
      </c>
      <c r="S109">
        <v>-1.1931046094958302E-2</v>
      </c>
    </row>
    <row r="110" spans="6:25">
      <c r="F110" s="4" t="s">
        <v>49</v>
      </c>
      <c r="G110" s="4">
        <v>11075</v>
      </c>
      <c r="H110" s="4" t="s">
        <v>54</v>
      </c>
      <c r="I110" s="4" t="s">
        <v>50</v>
      </c>
      <c r="J110" s="6">
        <v>45753</v>
      </c>
      <c r="K110" s="4">
        <v>1209</v>
      </c>
      <c r="L110" s="4">
        <v>1209</v>
      </c>
      <c r="M110" s="4">
        <v>157</v>
      </c>
      <c r="N110">
        <f t="shared" si="7"/>
        <v>0.12985938792390406</v>
      </c>
      <c r="P110" t="s">
        <v>52</v>
      </c>
      <c r="Q110" t="s">
        <v>55</v>
      </c>
      <c r="R110">
        <v>46.892196924362906</v>
      </c>
      <c r="S110">
        <v>22.278294981498135</v>
      </c>
    </row>
    <row r="111" spans="6:25">
      <c r="F111" s="4" t="s">
        <v>49</v>
      </c>
      <c r="G111" s="4">
        <v>11075</v>
      </c>
      <c r="H111" s="4" t="s">
        <v>54</v>
      </c>
      <c r="I111" s="4" t="s">
        <v>50</v>
      </c>
      <c r="J111" s="6">
        <v>45754</v>
      </c>
      <c r="K111" s="4">
        <v>2002</v>
      </c>
      <c r="L111" s="4">
        <v>2002</v>
      </c>
      <c r="M111" s="4">
        <v>245</v>
      </c>
      <c r="N111">
        <f t="shared" si="7"/>
        <v>0.12237762237762238</v>
      </c>
      <c r="P111" t="s">
        <v>53</v>
      </c>
      <c r="Q111" t="s">
        <v>55</v>
      </c>
      <c r="R111">
        <v>22.57156653378965</v>
      </c>
      <c r="S111">
        <v>21.322462278812164</v>
      </c>
    </row>
    <row r="112" spans="6:25">
      <c r="F112" s="4" t="s">
        <v>49</v>
      </c>
      <c r="G112" s="4">
        <v>11075</v>
      </c>
      <c r="H112" s="4" t="s">
        <v>54</v>
      </c>
      <c r="I112" s="4" t="s">
        <v>50</v>
      </c>
      <c r="J112" s="6">
        <v>45755</v>
      </c>
      <c r="K112" s="4">
        <v>2430</v>
      </c>
      <c r="L112" s="4">
        <v>2430</v>
      </c>
      <c r="M112" s="4">
        <v>276</v>
      </c>
      <c r="N112">
        <f t="shared" si="7"/>
        <v>0.11358024691358025</v>
      </c>
      <c r="P112" t="s">
        <v>54</v>
      </c>
      <c r="Q112" t="s">
        <v>55</v>
      </c>
      <c r="R112">
        <v>46.035098525834272</v>
      </c>
      <c r="S112">
        <v>20.480924568328387</v>
      </c>
    </row>
    <row r="113" spans="6:30">
      <c r="F113" s="4" t="s">
        <v>49</v>
      </c>
      <c r="G113" s="4">
        <v>11075</v>
      </c>
      <c r="H113" s="4" t="s">
        <v>54</v>
      </c>
      <c r="I113" s="4" t="s">
        <v>50</v>
      </c>
      <c r="J113" s="6">
        <v>45756</v>
      </c>
      <c r="K113" s="4">
        <v>2297</v>
      </c>
      <c r="L113" s="4">
        <v>2297</v>
      </c>
      <c r="M113" s="4">
        <v>284</v>
      </c>
      <c r="N113">
        <f t="shared" si="7"/>
        <v>0.12363952982150632</v>
      </c>
      <c r="P113" t="s">
        <v>168</v>
      </c>
      <c r="Q113" t="s">
        <v>55</v>
      </c>
      <c r="R113">
        <v>1.7549513349688912</v>
      </c>
      <c r="S113">
        <v>-3.5680823969223979E-2</v>
      </c>
    </row>
    <row r="114" spans="6:30">
      <c r="F114" s="4" t="s">
        <v>49</v>
      </c>
      <c r="G114" s="4">
        <v>11075</v>
      </c>
      <c r="H114" s="4" t="s">
        <v>54</v>
      </c>
      <c r="I114" s="4" t="s">
        <v>50</v>
      </c>
      <c r="J114" s="6">
        <v>45757</v>
      </c>
      <c r="K114" s="4">
        <v>2511</v>
      </c>
      <c r="L114" s="4">
        <v>2511</v>
      </c>
      <c r="M114" s="4">
        <v>286</v>
      </c>
      <c r="N114">
        <f t="shared" si="7"/>
        <v>0.11389884508164078</v>
      </c>
    </row>
    <row r="115" spans="6:30">
      <c r="F115" s="4" t="s">
        <v>49</v>
      </c>
      <c r="G115" s="4">
        <v>11075</v>
      </c>
      <c r="H115" s="4" t="s">
        <v>54</v>
      </c>
      <c r="I115" s="4" t="s">
        <v>50</v>
      </c>
      <c r="J115" s="6">
        <v>45758</v>
      </c>
      <c r="K115" s="4">
        <v>2438</v>
      </c>
      <c r="L115" s="4">
        <v>2438</v>
      </c>
      <c r="M115" s="4">
        <v>316</v>
      </c>
      <c r="N115">
        <f t="shared" si="7"/>
        <v>0.12961443806398687</v>
      </c>
    </row>
    <row r="116" spans="6:30">
      <c r="F116" s="4" t="s">
        <v>49</v>
      </c>
      <c r="G116" s="4">
        <v>11075</v>
      </c>
      <c r="H116" s="4" t="s">
        <v>54</v>
      </c>
      <c r="I116" s="4" t="s">
        <v>50</v>
      </c>
      <c r="J116" s="6">
        <v>45759</v>
      </c>
      <c r="K116" s="4">
        <v>2258</v>
      </c>
      <c r="L116" s="4">
        <v>2258</v>
      </c>
      <c r="M116" s="4">
        <v>292</v>
      </c>
      <c r="N116">
        <f t="shared" si="7"/>
        <v>0.12931798051372898</v>
      </c>
    </row>
    <row r="117" spans="6:30">
      <c r="F117" s="4" t="s">
        <v>49</v>
      </c>
      <c r="G117" s="4">
        <v>11075</v>
      </c>
      <c r="H117" s="4" t="s">
        <v>54</v>
      </c>
      <c r="I117" s="4" t="s">
        <v>50</v>
      </c>
      <c r="J117" s="6">
        <v>45760</v>
      </c>
      <c r="K117" s="4">
        <v>2752</v>
      </c>
      <c r="L117" s="4">
        <v>2752</v>
      </c>
      <c r="M117" s="4">
        <v>389</v>
      </c>
      <c r="N117">
        <f t="shared" si="7"/>
        <v>0.14135174418604651</v>
      </c>
    </row>
    <row r="118" spans="6:30">
      <c r="F118" s="4" t="s">
        <v>49</v>
      </c>
      <c r="G118" s="4">
        <v>11075</v>
      </c>
      <c r="H118" s="4" t="s">
        <v>54</v>
      </c>
      <c r="I118" s="4" t="s">
        <v>50</v>
      </c>
      <c r="J118" s="6">
        <v>45761</v>
      </c>
      <c r="K118" s="4">
        <v>2865</v>
      </c>
      <c r="L118" s="4">
        <v>2865</v>
      </c>
      <c r="M118" s="4">
        <v>350</v>
      </c>
      <c r="N118">
        <f t="shared" si="7"/>
        <v>0.12216404886561955</v>
      </c>
    </row>
    <row r="119" spans="6:30">
      <c r="F119" s="4" t="s">
        <v>49</v>
      </c>
      <c r="G119" s="4">
        <v>11075</v>
      </c>
      <c r="H119" s="4" t="s">
        <v>54</v>
      </c>
      <c r="I119" s="4" t="s">
        <v>50</v>
      </c>
      <c r="J119" s="6">
        <v>45762</v>
      </c>
      <c r="K119" s="4">
        <v>2395</v>
      </c>
      <c r="L119" s="4">
        <v>2395</v>
      </c>
      <c r="M119" s="4">
        <v>294</v>
      </c>
      <c r="N119">
        <f t="shared" si="7"/>
        <v>0.12275574112734865</v>
      </c>
    </row>
    <row r="120" spans="6:30">
      <c r="F120" s="4" t="s">
        <v>49</v>
      </c>
      <c r="G120" s="4">
        <v>11075</v>
      </c>
      <c r="H120" s="4" t="s">
        <v>54</v>
      </c>
      <c r="I120" s="4" t="s">
        <v>50</v>
      </c>
      <c r="J120" s="6">
        <v>45763</v>
      </c>
      <c r="K120" s="4">
        <v>2237</v>
      </c>
      <c r="L120" s="4">
        <v>2237</v>
      </c>
      <c r="M120" s="4">
        <v>291</v>
      </c>
      <c r="N120">
        <f t="shared" si="7"/>
        <v>0.13008493518104605</v>
      </c>
    </row>
    <row r="121" spans="6:30">
      <c r="F121" s="4" t="s">
        <v>49</v>
      </c>
      <c r="G121" s="4">
        <v>11075</v>
      </c>
      <c r="H121" s="4" t="s">
        <v>54</v>
      </c>
      <c r="I121" s="4" t="s">
        <v>50</v>
      </c>
      <c r="J121" s="6">
        <v>45764</v>
      </c>
      <c r="K121" s="4">
        <v>2408</v>
      </c>
      <c r="L121" s="4">
        <v>2408</v>
      </c>
      <c r="M121" s="4">
        <v>300</v>
      </c>
      <c r="N121">
        <f t="shared" si="7"/>
        <v>0.12458471760797342</v>
      </c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6:30">
      <c r="F122" s="4" t="s">
        <v>49</v>
      </c>
      <c r="G122" s="4">
        <v>11075</v>
      </c>
      <c r="H122" s="4" t="s">
        <v>54</v>
      </c>
      <c r="I122" s="4" t="s">
        <v>50</v>
      </c>
      <c r="J122" s="6">
        <v>45765</v>
      </c>
      <c r="K122" s="4">
        <v>2452</v>
      </c>
      <c r="L122" s="4">
        <v>2452</v>
      </c>
      <c r="M122" s="4">
        <v>330</v>
      </c>
      <c r="N122">
        <f t="shared" si="7"/>
        <v>0.13458401305057097</v>
      </c>
      <c r="P122" s="67"/>
      <c r="Q122" s="10"/>
      <c r="R122" s="10"/>
      <c r="S122" s="10"/>
      <c r="T122" s="10"/>
      <c r="U122" s="10"/>
      <c r="V122" s="10"/>
      <c r="W122" s="10"/>
      <c r="X122" s="10"/>
      <c r="Y122" s="10"/>
      <c r="AA122" s="30"/>
      <c r="AB122" s="30"/>
      <c r="AC122" s="30"/>
      <c r="AD122" s="30"/>
    </row>
    <row r="123" spans="6:30">
      <c r="F123" s="4" t="s">
        <v>49</v>
      </c>
      <c r="G123" s="4">
        <v>11075</v>
      </c>
      <c r="H123" s="4" t="s">
        <v>54</v>
      </c>
      <c r="I123" s="4" t="s">
        <v>50</v>
      </c>
      <c r="J123" s="6">
        <v>45766</v>
      </c>
      <c r="K123" s="4">
        <v>2940</v>
      </c>
      <c r="L123" s="4">
        <v>2940</v>
      </c>
      <c r="M123" s="4">
        <v>411</v>
      </c>
      <c r="N123">
        <f t="shared" si="7"/>
        <v>0.13979591836734695</v>
      </c>
      <c r="P123" s="67"/>
      <c r="Q123" s="8"/>
      <c r="R123" s="9"/>
      <c r="S123" s="9"/>
      <c r="T123" s="9"/>
      <c r="U123" s="9"/>
      <c r="V123" s="9"/>
      <c r="W123" s="9"/>
      <c r="X123" s="9"/>
      <c r="Y123" s="9"/>
      <c r="Z123" s="32"/>
    </row>
    <row r="124" spans="6:30">
      <c r="F124" s="4" t="s">
        <v>49</v>
      </c>
      <c r="G124" s="4">
        <v>11075</v>
      </c>
      <c r="H124" s="4" t="s">
        <v>54</v>
      </c>
      <c r="I124" s="4" t="s">
        <v>50</v>
      </c>
      <c r="J124" s="6">
        <v>45767</v>
      </c>
      <c r="K124" s="4">
        <v>3050</v>
      </c>
      <c r="L124" s="4">
        <v>3050</v>
      </c>
      <c r="M124" s="4">
        <v>432</v>
      </c>
      <c r="N124">
        <f t="shared" si="7"/>
        <v>0.14163934426229507</v>
      </c>
      <c r="P124" s="67"/>
      <c r="Q124" s="8"/>
      <c r="R124" s="9"/>
      <c r="S124" s="9"/>
      <c r="T124" s="9"/>
      <c r="U124" s="9"/>
      <c r="V124" s="9"/>
      <c r="W124" s="9"/>
      <c r="X124" s="9"/>
      <c r="Y124" s="9"/>
      <c r="Z124" s="33"/>
      <c r="AA124" s="31"/>
      <c r="AB124" s="31"/>
      <c r="AC124" s="31"/>
      <c r="AD124" s="31"/>
    </row>
    <row r="125" spans="6:30">
      <c r="F125" s="4" t="s">
        <v>49</v>
      </c>
      <c r="G125" s="4">
        <v>11075</v>
      </c>
      <c r="H125" s="4" t="s">
        <v>54</v>
      </c>
      <c r="I125" s="4" t="s">
        <v>51</v>
      </c>
      <c r="J125" s="6">
        <v>45750</v>
      </c>
      <c r="K125" s="4">
        <v>4</v>
      </c>
      <c r="L125" s="4">
        <v>4</v>
      </c>
      <c r="M125" s="4">
        <v>2</v>
      </c>
      <c r="N125">
        <f t="shared" si="7"/>
        <v>0.5</v>
      </c>
      <c r="P125" s="67"/>
      <c r="Q125" s="8"/>
      <c r="R125" s="9"/>
      <c r="S125" s="9"/>
      <c r="T125" s="9"/>
      <c r="U125" s="9"/>
      <c r="V125" s="9"/>
      <c r="W125" s="9"/>
      <c r="X125" s="9"/>
      <c r="Y125" s="9"/>
      <c r="Z125" s="34"/>
      <c r="AA125" s="31"/>
      <c r="AB125" s="31"/>
      <c r="AC125" s="31"/>
      <c r="AD125" s="31"/>
    </row>
    <row r="126" spans="6:30">
      <c r="F126" s="4" t="s">
        <v>49</v>
      </c>
      <c r="G126" s="4">
        <v>11075</v>
      </c>
      <c r="H126" s="4" t="s">
        <v>54</v>
      </c>
      <c r="I126" s="4" t="s">
        <v>51</v>
      </c>
      <c r="J126" s="6">
        <v>45751</v>
      </c>
      <c r="K126" s="4">
        <v>86</v>
      </c>
      <c r="L126" s="4">
        <v>86</v>
      </c>
      <c r="M126" s="4">
        <v>15</v>
      </c>
      <c r="N126">
        <f t="shared" si="7"/>
        <v>0.1744186046511628</v>
      </c>
      <c r="P126" s="67"/>
      <c r="Q126" s="8"/>
      <c r="R126" s="9"/>
      <c r="S126" s="9"/>
      <c r="T126" s="9"/>
      <c r="U126" s="9"/>
      <c r="V126" s="9"/>
      <c r="W126" s="9"/>
      <c r="X126" s="9"/>
      <c r="Y126" s="9"/>
      <c r="Z126" s="32"/>
    </row>
    <row r="127" spans="6:30">
      <c r="F127" s="4" t="s">
        <v>49</v>
      </c>
      <c r="G127" s="4">
        <v>11075</v>
      </c>
      <c r="H127" s="4" t="s">
        <v>54</v>
      </c>
      <c r="I127" s="4" t="s">
        <v>51</v>
      </c>
      <c r="J127" s="6">
        <v>45752</v>
      </c>
      <c r="K127" s="4">
        <v>247</v>
      </c>
      <c r="L127" s="4">
        <v>247</v>
      </c>
      <c r="M127" s="4">
        <v>53</v>
      </c>
      <c r="N127">
        <f t="shared" si="7"/>
        <v>0.2145748987854251</v>
      </c>
      <c r="P127" s="67"/>
      <c r="Q127" s="8"/>
      <c r="R127" s="9"/>
      <c r="S127" s="9"/>
      <c r="T127" s="9"/>
      <c r="U127" s="9"/>
      <c r="V127" s="9"/>
      <c r="W127" s="9"/>
      <c r="X127" s="9"/>
      <c r="Y127" s="9"/>
      <c r="Z127" s="33"/>
      <c r="AA127" s="31"/>
      <c r="AB127" s="31"/>
      <c r="AC127" s="31"/>
      <c r="AD127" s="31"/>
    </row>
    <row r="128" spans="6:30">
      <c r="F128" s="4" t="s">
        <v>49</v>
      </c>
      <c r="G128" s="4">
        <v>11075</v>
      </c>
      <c r="H128" s="4" t="s">
        <v>54</v>
      </c>
      <c r="I128" s="4" t="s">
        <v>51</v>
      </c>
      <c r="J128" s="6">
        <v>45753</v>
      </c>
      <c r="K128" s="4">
        <v>390</v>
      </c>
      <c r="L128" s="4">
        <v>390</v>
      </c>
      <c r="M128" s="4">
        <v>94</v>
      </c>
      <c r="N128">
        <f t="shared" si="7"/>
        <v>0.24102564102564103</v>
      </c>
      <c r="P128" s="67"/>
      <c r="Q128" s="8"/>
      <c r="R128" s="9"/>
      <c r="S128" s="9"/>
      <c r="T128" s="9"/>
      <c r="U128" s="9"/>
      <c r="V128" s="9"/>
      <c r="W128" s="9"/>
      <c r="X128" s="9"/>
      <c r="Y128" s="9"/>
      <c r="Z128" s="34"/>
      <c r="AA128" s="31"/>
      <c r="AB128" s="31"/>
      <c r="AC128" s="31"/>
      <c r="AD128" s="31"/>
    </row>
    <row r="129" spans="6:26">
      <c r="F129" s="4" t="s">
        <v>49</v>
      </c>
      <c r="G129" s="4">
        <v>11075</v>
      </c>
      <c r="H129" s="4" t="s">
        <v>54</v>
      </c>
      <c r="I129" s="4" t="s">
        <v>51</v>
      </c>
      <c r="J129" s="6">
        <v>45754</v>
      </c>
      <c r="K129" s="4">
        <v>690</v>
      </c>
      <c r="L129" s="4">
        <v>690</v>
      </c>
      <c r="M129" s="4">
        <v>156</v>
      </c>
      <c r="N129">
        <f t="shared" si="7"/>
        <v>0.22608695652173913</v>
      </c>
      <c r="P129" s="67"/>
      <c r="Q129" s="12"/>
      <c r="R129" s="9"/>
      <c r="S129" s="9"/>
      <c r="T129" s="9"/>
      <c r="U129" s="9"/>
      <c r="Z129" s="24"/>
    </row>
    <row r="130" spans="6:26">
      <c r="F130" s="4" t="s">
        <v>49</v>
      </c>
      <c r="G130" s="4">
        <v>11075</v>
      </c>
      <c r="H130" s="4" t="s">
        <v>54</v>
      </c>
      <c r="I130" s="4" t="s">
        <v>51</v>
      </c>
      <c r="J130" s="6">
        <v>45755</v>
      </c>
      <c r="K130" s="4">
        <v>1020</v>
      </c>
      <c r="L130" s="4">
        <v>1020</v>
      </c>
      <c r="M130" s="4">
        <v>238</v>
      </c>
      <c r="N130">
        <f t="shared" si="7"/>
        <v>0.23333333333333334</v>
      </c>
      <c r="P130" s="67"/>
      <c r="Q130" s="13"/>
      <c r="R130" s="14"/>
      <c r="S130" s="14"/>
      <c r="T130" s="14"/>
      <c r="U130" s="14"/>
    </row>
    <row r="131" spans="6:26">
      <c r="F131" s="4" t="s">
        <v>49</v>
      </c>
      <c r="G131" s="4">
        <v>11075</v>
      </c>
      <c r="H131" s="4" t="s">
        <v>54</v>
      </c>
      <c r="I131" s="4" t="s">
        <v>51</v>
      </c>
      <c r="J131" s="6">
        <v>45756</v>
      </c>
      <c r="K131" s="4">
        <v>1220</v>
      </c>
      <c r="L131" s="4">
        <v>1220</v>
      </c>
      <c r="M131" s="4">
        <v>309</v>
      </c>
      <c r="N131">
        <f t="shared" ref="N131:N194" si="23">M131/L131</f>
        <v>0.25327868852459018</v>
      </c>
      <c r="P131" s="67"/>
      <c r="Q131" s="12"/>
      <c r="R131" s="9"/>
      <c r="S131" s="9"/>
      <c r="T131" s="9"/>
      <c r="U131" s="9"/>
      <c r="V131" s="9"/>
    </row>
    <row r="132" spans="6:26">
      <c r="F132" s="4" t="s">
        <v>49</v>
      </c>
      <c r="G132" s="4">
        <v>11075</v>
      </c>
      <c r="H132" s="4" t="s">
        <v>54</v>
      </c>
      <c r="I132" s="4" t="s">
        <v>51</v>
      </c>
      <c r="J132" s="6">
        <v>45757</v>
      </c>
      <c r="K132" s="4">
        <v>1490</v>
      </c>
      <c r="L132" s="4">
        <v>1490</v>
      </c>
      <c r="M132" s="4">
        <v>380</v>
      </c>
      <c r="N132">
        <f t="shared" si="23"/>
        <v>0.25503355704697989</v>
      </c>
      <c r="P132" s="67"/>
      <c r="Q132" s="16"/>
      <c r="R132" s="26"/>
      <c r="S132" s="26"/>
      <c r="T132" s="26"/>
      <c r="U132" s="26"/>
      <c r="V132" s="26"/>
      <c r="X132" s="26"/>
    </row>
    <row r="133" spans="6:26">
      <c r="F133" s="4" t="s">
        <v>49</v>
      </c>
      <c r="G133" s="4">
        <v>11075</v>
      </c>
      <c r="H133" s="4" t="s">
        <v>54</v>
      </c>
      <c r="I133" s="4" t="s">
        <v>51</v>
      </c>
      <c r="J133" s="6">
        <v>45758</v>
      </c>
      <c r="K133" s="4">
        <v>1547</v>
      </c>
      <c r="L133" s="4">
        <v>1547</v>
      </c>
      <c r="M133" s="4">
        <v>418</v>
      </c>
      <c r="N133">
        <f t="shared" si="23"/>
        <v>0.27020038784744665</v>
      </c>
      <c r="P133" s="67"/>
      <c r="Q133" s="16"/>
      <c r="R133" s="26"/>
      <c r="S133" s="26"/>
      <c r="T133" s="26"/>
      <c r="U133" s="26"/>
      <c r="V133" s="26"/>
      <c r="W133" s="26"/>
      <c r="X133" s="26"/>
      <c r="Y133" s="26"/>
    </row>
    <row r="134" spans="6:26">
      <c r="F134" s="4" t="s">
        <v>49</v>
      </c>
      <c r="G134" s="4">
        <v>11075</v>
      </c>
      <c r="H134" s="4" t="s">
        <v>54</v>
      </c>
      <c r="I134" s="4" t="s">
        <v>51</v>
      </c>
      <c r="J134" s="6">
        <v>45759</v>
      </c>
      <c r="K134" s="4">
        <v>1626</v>
      </c>
      <c r="L134" s="4">
        <v>1626</v>
      </c>
      <c r="M134" s="4">
        <v>444</v>
      </c>
      <c r="N134">
        <f t="shared" si="23"/>
        <v>0.27306273062730629</v>
      </c>
      <c r="P134" s="67"/>
      <c r="Q134" s="18"/>
      <c r="R134" s="26"/>
      <c r="S134" s="26"/>
      <c r="T134" s="26"/>
      <c r="U134" s="26"/>
      <c r="V134" s="26"/>
      <c r="W134" s="26"/>
      <c r="X134" s="26"/>
      <c r="Y134" s="26"/>
    </row>
    <row r="135" spans="6:26">
      <c r="F135" s="4" t="s">
        <v>49</v>
      </c>
      <c r="G135" s="4">
        <v>11075</v>
      </c>
      <c r="H135" s="4" t="s">
        <v>54</v>
      </c>
      <c r="I135" s="4" t="s">
        <v>51</v>
      </c>
      <c r="J135" s="6">
        <v>45760</v>
      </c>
      <c r="K135" s="4">
        <v>1929</v>
      </c>
      <c r="L135" s="4">
        <v>1929</v>
      </c>
      <c r="M135" s="4">
        <v>570</v>
      </c>
      <c r="N135">
        <f t="shared" si="23"/>
        <v>0.29548989113530327</v>
      </c>
      <c r="P135" s="67"/>
      <c r="Q135" s="17"/>
      <c r="R135" s="26"/>
      <c r="S135" s="26"/>
      <c r="T135" s="26"/>
      <c r="U135" s="26"/>
      <c r="V135" s="26"/>
      <c r="X135" s="26"/>
    </row>
    <row r="136" spans="6:26">
      <c r="F136" s="4" t="s">
        <v>49</v>
      </c>
      <c r="G136" s="4">
        <v>11075</v>
      </c>
      <c r="H136" s="4" t="s">
        <v>54</v>
      </c>
      <c r="I136" s="4" t="s">
        <v>51</v>
      </c>
      <c r="J136" s="6">
        <v>45761</v>
      </c>
      <c r="K136" s="4">
        <v>2072</v>
      </c>
      <c r="L136" s="4">
        <v>2072</v>
      </c>
      <c r="M136" s="4">
        <v>546</v>
      </c>
      <c r="N136">
        <f t="shared" si="23"/>
        <v>0.26351351351351349</v>
      </c>
      <c r="P136" s="67"/>
      <c r="Q136" s="16"/>
      <c r="R136" s="26"/>
      <c r="S136" s="26"/>
      <c r="T136" s="26"/>
      <c r="U136" s="26"/>
      <c r="V136" s="26"/>
      <c r="W136" s="26"/>
      <c r="X136" s="26"/>
      <c r="Y136" s="26"/>
    </row>
    <row r="137" spans="6:26">
      <c r="F137" s="4" t="s">
        <v>49</v>
      </c>
      <c r="G137" s="4">
        <v>11075</v>
      </c>
      <c r="H137" s="4" t="s">
        <v>54</v>
      </c>
      <c r="I137" s="4" t="s">
        <v>51</v>
      </c>
      <c r="J137" s="6">
        <v>45762</v>
      </c>
      <c r="K137" s="4">
        <v>1998</v>
      </c>
      <c r="L137" s="4">
        <v>1998</v>
      </c>
      <c r="M137" s="4">
        <v>526</v>
      </c>
      <c r="N137">
        <f t="shared" si="23"/>
        <v>0.26326326326326327</v>
      </c>
      <c r="P137" s="68"/>
      <c r="Q137" s="18"/>
      <c r="R137" s="26"/>
      <c r="S137" s="26"/>
      <c r="T137" s="26"/>
      <c r="U137" s="26"/>
      <c r="V137" s="26"/>
      <c r="W137" s="26"/>
      <c r="X137" s="26"/>
      <c r="Y137" s="26"/>
    </row>
    <row r="138" spans="6:26">
      <c r="F138" s="4" t="s">
        <v>49</v>
      </c>
      <c r="G138" s="4">
        <v>11075</v>
      </c>
      <c r="H138" s="4" t="s">
        <v>54</v>
      </c>
      <c r="I138" s="4" t="s">
        <v>51</v>
      </c>
      <c r="J138" s="6">
        <v>45763</v>
      </c>
      <c r="K138" s="4">
        <v>2020</v>
      </c>
      <c r="L138" s="4">
        <v>2020</v>
      </c>
      <c r="M138" s="4">
        <v>563</v>
      </c>
      <c r="N138">
        <f t="shared" si="23"/>
        <v>0.27871287128712874</v>
      </c>
    </row>
    <row r="139" spans="6:26">
      <c r="F139" s="4" t="s">
        <v>49</v>
      </c>
      <c r="G139" s="4">
        <v>11075</v>
      </c>
      <c r="H139" s="4" t="s">
        <v>54</v>
      </c>
      <c r="I139" s="4" t="s">
        <v>51</v>
      </c>
      <c r="J139" s="6">
        <v>45764</v>
      </c>
      <c r="K139" s="4">
        <v>2151</v>
      </c>
      <c r="L139" s="4">
        <v>2151</v>
      </c>
      <c r="M139" s="4">
        <v>567</v>
      </c>
      <c r="N139">
        <f t="shared" si="23"/>
        <v>0.26359832635983266</v>
      </c>
    </row>
    <row r="140" spans="6:26">
      <c r="F140" s="4" t="s">
        <v>49</v>
      </c>
      <c r="G140" s="4">
        <v>11075</v>
      </c>
      <c r="H140" s="4" t="s">
        <v>54</v>
      </c>
      <c r="I140" s="4" t="s">
        <v>51</v>
      </c>
      <c r="J140" s="6">
        <v>45765</v>
      </c>
      <c r="K140" s="4">
        <v>2241</v>
      </c>
      <c r="L140" s="4">
        <v>2241</v>
      </c>
      <c r="M140" s="4">
        <v>634</v>
      </c>
      <c r="N140">
        <f t="shared" si="23"/>
        <v>0.28290941543953591</v>
      </c>
    </row>
    <row r="141" spans="6:26">
      <c r="F141" s="4" t="s">
        <v>49</v>
      </c>
      <c r="G141" s="4">
        <v>11075</v>
      </c>
      <c r="H141" s="4" t="s">
        <v>54</v>
      </c>
      <c r="I141" s="4" t="s">
        <v>51</v>
      </c>
      <c r="J141" s="6">
        <v>45766</v>
      </c>
      <c r="K141" s="4">
        <v>2520</v>
      </c>
      <c r="L141" s="4">
        <v>2520</v>
      </c>
      <c r="M141" s="4">
        <v>777</v>
      </c>
      <c r="N141">
        <f t="shared" si="23"/>
        <v>0.30833333333333335</v>
      </c>
      <c r="Q141" s="11"/>
      <c r="R141" s="11"/>
      <c r="S141" s="11"/>
      <c r="T141" s="11"/>
      <c r="U141" s="11"/>
      <c r="V141" s="11"/>
      <c r="W141" s="11"/>
      <c r="X141" s="11"/>
    </row>
    <row r="142" spans="6:26">
      <c r="F142" s="4" t="s">
        <v>49</v>
      </c>
      <c r="G142" s="4">
        <v>11075</v>
      </c>
      <c r="H142" s="4" t="s">
        <v>54</v>
      </c>
      <c r="I142" s="4" t="s">
        <v>51</v>
      </c>
      <c r="J142" s="6">
        <v>45767</v>
      </c>
      <c r="K142" s="4">
        <v>2949</v>
      </c>
      <c r="L142" s="4">
        <v>2949</v>
      </c>
      <c r="M142" s="4">
        <v>846</v>
      </c>
      <c r="N142">
        <f t="shared" si="23"/>
        <v>0.28687690742624616</v>
      </c>
      <c r="Q142" s="10"/>
      <c r="R142" s="10"/>
      <c r="S142" s="10"/>
      <c r="T142" s="10"/>
      <c r="U142" s="10"/>
      <c r="V142" s="10"/>
      <c r="W142" s="10"/>
      <c r="X142" s="10"/>
    </row>
    <row r="143" spans="6:26">
      <c r="F143" s="4" t="s">
        <v>49</v>
      </c>
      <c r="G143" s="4">
        <v>11076</v>
      </c>
      <c r="H143" s="4"/>
      <c r="I143" s="4" t="s">
        <v>50</v>
      </c>
      <c r="J143" s="6">
        <v>45750</v>
      </c>
      <c r="K143" s="4">
        <v>1</v>
      </c>
      <c r="L143" s="4">
        <v>1</v>
      </c>
      <c r="M143" s="4">
        <v>1</v>
      </c>
      <c r="N143">
        <f t="shared" si="23"/>
        <v>1</v>
      </c>
      <c r="Q143" s="9"/>
      <c r="R143" s="9"/>
      <c r="S143" s="9"/>
      <c r="T143" s="9"/>
      <c r="U143" s="9"/>
      <c r="V143" s="9"/>
      <c r="W143" s="9"/>
      <c r="X143" s="9"/>
    </row>
    <row r="144" spans="6:26">
      <c r="F144" s="4" t="s">
        <v>49</v>
      </c>
      <c r="G144" s="4">
        <v>11076</v>
      </c>
      <c r="H144" s="4"/>
      <c r="I144" s="4" t="s">
        <v>50</v>
      </c>
      <c r="J144" s="6">
        <v>45751</v>
      </c>
      <c r="K144" s="4">
        <v>9</v>
      </c>
      <c r="L144" s="4">
        <v>9</v>
      </c>
      <c r="M144" s="4">
        <v>2</v>
      </c>
      <c r="N144">
        <f t="shared" si="23"/>
        <v>0.22222222222222221</v>
      </c>
      <c r="Q144" s="9"/>
      <c r="R144" s="9"/>
      <c r="S144" s="9"/>
      <c r="T144" s="9"/>
      <c r="U144" s="9"/>
      <c r="V144" s="9"/>
      <c r="W144" s="9"/>
      <c r="X144" s="9"/>
    </row>
    <row r="145" spans="6:24">
      <c r="F145" s="4" t="s">
        <v>49</v>
      </c>
      <c r="G145" s="4">
        <v>11076</v>
      </c>
      <c r="H145" s="4"/>
      <c r="I145" s="4" t="s">
        <v>50</v>
      </c>
      <c r="J145" s="6">
        <v>45752</v>
      </c>
      <c r="K145" s="4">
        <v>8</v>
      </c>
      <c r="L145" s="4">
        <v>8</v>
      </c>
      <c r="M145" s="4">
        <v>1</v>
      </c>
      <c r="N145">
        <f t="shared" si="23"/>
        <v>0.125</v>
      </c>
      <c r="Q145" s="9"/>
      <c r="R145" s="9"/>
      <c r="S145" s="9"/>
      <c r="T145" s="9"/>
      <c r="U145" s="9"/>
      <c r="V145" s="9"/>
      <c r="W145" s="9"/>
      <c r="X145" s="9"/>
    </row>
    <row r="146" spans="6:24">
      <c r="F146" s="4" t="s">
        <v>49</v>
      </c>
      <c r="G146" s="4">
        <v>11076</v>
      </c>
      <c r="H146" s="4"/>
      <c r="I146" s="4" t="s">
        <v>50</v>
      </c>
      <c r="J146" s="6">
        <v>45753</v>
      </c>
      <c r="K146" s="4">
        <v>8</v>
      </c>
      <c r="L146" s="4">
        <v>8</v>
      </c>
      <c r="M146" s="4">
        <v>1</v>
      </c>
      <c r="N146">
        <f t="shared" si="23"/>
        <v>0.125</v>
      </c>
    </row>
    <row r="147" spans="6:24">
      <c r="F147" s="4" t="s">
        <v>49</v>
      </c>
      <c r="G147" s="4">
        <v>11076</v>
      </c>
      <c r="H147" s="4"/>
      <c r="I147" s="4" t="s">
        <v>50</v>
      </c>
      <c r="J147" s="6">
        <v>45754</v>
      </c>
      <c r="K147" s="4">
        <v>21</v>
      </c>
      <c r="L147" s="4">
        <v>21</v>
      </c>
      <c r="M147" s="4">
        <v>7</v>
      </c>
      <c r="N147">
        <f t="shared" si="23"/>
        <v>0.33333333333333331</v>
      </c>
    </row>
    <row r="148" spans="6:24">
      <c r="F148" s="4" t="s">
        <v>49</v>
      </c>
      <c r="G148" s="4">
        <v>11076</v>
      </c>
      <c r="H148" s="4"/>
      <c r="I148" s="4" t="s">
        <v>50</v>
      </c>
      <c r="J148" s="6">
        <v>45755</v>
      </c>
      <c r="K148" s="4">
        <v>23</v>
      </c>
      <c r="L148" s="4">
        <v>23</v>
      </c>
      <c r="M148" s="4">
        <v>10</v>
      </c>
      <c r="N148">
        <f t="shared" si="23"/>
        <v>0.43478260869565216</v>
      </c>
    </row>
    <row r="149" spans="6:24">
      <c r="F149" s="4" t="s">
        <v>49</v>
      </c>
      <c r="G149" s="4">
        <v>11076</v>
      </c>
      <c r="H149" s="4"/>
      <c r="I149" s="4" t="s">
        <v>50</v>
      </c>
      <c r="J149" s="6">
        <v>45756</v>
      </c>
      <c r="K149" s="4">
        <v>25</v>
      </c>
      <c r="L149" s="4">
        <v>25</v>
      </c>
      <c r="M149" s="4">
        <v>6</v>
      </c>
      <c r="N149">
        <f t="shared" si="23"/>
        <v>0.24</v>
      </c>
    </row>
    <row r="150" spans="6:24">
      <c r="F150" s="4" t="s">
        <v>49</v>
      </c>
      <c r="G150" s="4">
        <v>11076</v>
      </c>
      <c r="H150" s="4"/>
      <c r="I150" s="4" t="s">
        <v>50</v>
      </c>
      <c r="J150" s="6">
        <v>45757</v>
      </c>
      <c r="K150" s="4">
        <v>18</v>
      </c>
      <c r="L150" s="4">
        <v>18</v>
      </c>
      <c r="M150" s="4">
        <v>5</v>
      </c>
      <c r="N150">
        <f t="shared" si="23"/>
        <v>0.27777777777777779</v>
      </c>
    </row>
    <row r="151" spans="6:24">
      <c r="F151" s="4" t="s">
        <v>49</v>
      </c>
      <c r="G151" s="4">
        <v>11076</v>
      </c>
      <c r="H151" s="4"/>
      <c r="I151" s="4" t="s">
        <v>50</v>
      </c>
      <c r="J151" s="6">
        <v>45758</v>
      </c>
      <c r="K151" s="4">
        <v>21</v>
      </c>
      <c r="L151" s="4">
        <v>21</v>
      </c>
      <c r="M151" s="4">
        <v>8</v>
      </c>
      <c r="N151">
        <f t="shared" si="23"/>
        <v>0.38095238095238093</v>
      </c>
    </row>
    <row r="152" spans="6:24">
      <c r="F152" s="4" t="s">
        <v>49</v>
      </c>
      <c r="G152" s="4">
        <v>11076</v>
      </c>
      <c r="H152" s="4"/>
      <c r="I152" s="4" t="s">
        <v>50</v>
      </c>
      <c r="J152" s="6">
        <v>45759</v>
      </c>
      <c r="K152" s="4">
        <v>19</v>
      </c>
      <c r="L152" s="4">
        <v>19</v>
      </c>
      <c r="M152" s="4">
        <v>6</v>
      </c>
      <c r="N152">
        <f t="shared" si="23"/>
        <v>0.31578947368421051</v>
      </c>
    </row>
    <row r="153" spans="6:24">
      <c r="F153" s="4" t="s">
        <v>49</v>
      </c>
      <c r="G153" s="4">
        <v>11076</v>
      </c>
      <c r="H153" s="4"/>
      <c r="I153" s="4" t="s">
        <v>50</v>
      </c>
      <c r="J153" s="6">
        <v>45760</v>
      </c>
      <c r="K153" s="4">
        <v>28</v>
      </c>
      <c r="L153" s="4">
        <v>28</v>
      </c>
      <c r="M153" s="4">
        <v>8</v>
      </c>
      <c r="N153">
        <f t="shared" si="23"/>
        <v>0.2857142857142857</v>
      </c>
    </row>
    <row r="154" spans="6:24">
      <c r="F154" s="4" t="s">
        <v>49</v>
      </c>
      <c r="G154" s="4">
        <v>11076</v>
      </c>
      <c r="H154" s="4"/>
      <c r="I154" s="4" t="s">
        <v>50</v>
      </c>
      <c r="J154" s="6">
        <v>45761</v>
      </c>
      <c r="K154" s="4">
        <v>26</v>
      </c>
      <c r="L154" s="4">
        <v>26</v>
      </c>
      <c r="M154" s="4">
        <v>7</v>
      </c>
      <c r="N154">
        <f t="shared" si="23"/>
        <v>0.26923076923076922</v>
      </c>
    </row>
    <row r="155" spans="6:24">
      <c r="F155" s="4" t="s">
        <v>49</v>
      </c>
      <c r="G155" s="4">
        <v>11076</v>
      </c>
      <c r="H155" s="4"/>
      <c r="I155" s="4" t="s">
        <v>50</v>
      </c>
      <c r="J155" s="6">
        <v>45762</v>
      </c>
      <c r="K155" s="4">
        <v>17</v>
      </c>
      <c r="L155" s="4">
        <v>17</v>
      </c>
      <c r="M155" s="4">
        <v>2</v>
      </c>
      <c r="N155">
        <f t="shared" si="23"/>
        <v>0.11764705882352941</v>
      </c>
    </row>
    <row r="156" spans="6:24">
      <c r="F156" s="4" t="s">
        <v>49</v>
      </c>
      <c r="G156" s="4">
        <v>11076</v>
      </c>
      <c r="H156" s="4"/>
      <c r="I156" s="4" t="s">
        <v>50</v>
      </c>
      <c r="J156" s="6">
        <v>45763</v>
      </c>
      <c r="K156" s="4">
        <v>27</v>
      </c>
      <c r="L156" s="4">
        <v>27</v>
      </c>
      <c r="M156" s="4">
        <v>9</v>
      </c>
      <c r="N156">
        <f t="shared" si="23"/>
        <v>0.33333333333333331</v>
      </c>
    </row>
    <row r="157" spans="6:24">
      <c r="F157" s="4" t="s">
        <v>49</v>
      </c>
      <c r="G157" s="4">
        <v>11076</v>
      </c>
      <c r="H157" s="4"/>
      <c r="I157" s="4" t="s">
        <v>50</v>
      </c>
      <c r="J157" s="6">
        <v>45764</v>
      </c>
      <c r="K157" s="4">
        <v>30</v>
      </c>
      <c r="L157" s="4">
        <v>30</v>
      </c>
      <c r="M157" s="4">
        <v>4</v>
      </c>
      <c r="N157">
        <f t="shared" si="23"/>
        <v>0.13333333333333333</v>
      </c>
    </row>
    <row r="158" spans="6:24">
      <c r="F158" s="4" t="s">
        <v>49</v>
      </c>
      <c r="G158" s="4">
        <v>11076</v>
      </c>
      <c r="H158" s="4"/>
      <c r="I158" s="4" t="s">
        <v>50</v>
      </c>
      <c r="J158" s="6">
        <v>45765</v>
      </c>
      <c r="K158" s="4">
        <v>44</v>
      </c>
      <c r="L158" s="4">
        <v>44</v>
      </c>
      <c r="M158" s="4">
        <v>15</v>
      </c>
      <c r="N158">
        <f t="shared" si="23"/>
        <v>0.34090909090909088</v>
      </c>
    </row>
    <row r="159" spans="6:24">
      <c r="F159" s="4" t="s">
        <v>49</v>
      </c>
      <c r="G159" s="4">
        <v>11076</v>
      </c>
      <c r="H159" s="4"/>
      <c r="I159" s="4" t="s">
        <v>50</v>
      </c>
      <c r="J159" s="6">
        <v>45766</v>
      </c>
      <c r="K159" s="4">
        <v>29</v>
      </c>
      <c r="L159" s="4">
        <v>29</v>
      </c>
      <c r="M159" s="4">
        <v>8</v>
      </c>
      <c r="N159">
        <f t="shared" si="23"/>
        <v>0.27586206896551724</v>
      </c>
    </row>
    <row r="160" spans="6:24">
      <c r="F160" s="4" t="s">
        <v>49</v>
      </c>
      <c r="G160" s="4">
        <v>11076</v>
      </c>
      <c r="H160" s="4"/>
      <c r="I160" s="4" t="s">
        <v>50</v>
      </c>
      <c r="J160" s="6">
        <v>45767</v>
      </c>
      <c r="K160" s="4">
        <v>30</v>
      </c>
      <c r="L160" s="4">
        <v>30</v>
      </c>
      <c r="M160" s="4">
        <v>7</v>
      </c>
      <c r="N160">
        <f t="shared" si="23"/>
        <v>0.23333333333333334</v>
      </c>
    </row>
    <row r="161" spans="6:14">
      <c r="F161" s="4" t="s">
        <v>49</v>
      </c>
      <c r="G161" s="4">
        <v>11076</v>
      </c>
      <c r="H161" s="4"/>
      <c r="I161" s="4" t="s">
        <v>51</v>
      </c>
      <c r="J161" s="6">
        <v>45751</v>
      </c>
      <c r="K161" s="4">
        <v>3</v>
      </c>
      <c r="L161" s="4">
        <v>3</v>
      </c>
      <c r="M161" s="4">
        <v>1</v>
      </c>
      <c r="N161">
        <f t="shared" si="23"/>
        <v>0.33333333333333331</v>
      </c>
    </row>
    <row r="162" spans="6:14">
      <c r="F162" s="4" t="s">
        <v>49</v>
      </c>
      <c r="G162" s="4">
        <v>11076</v>
      </c>
      <c r="H162" s="4"/>
      <c r="I162" s="4" t="s">
        <v>51</v>
      </c>
      <c r="J162" s="6">
        <v>45752</v>
      </c>
      <c r="K162" s="4">
        <v>7</v>
      </c>
      <c r="L162" s="4">
        <v>7</v>
      </c>
      <c r="M162" s="4">
        <v>1</v>
      </c>
      <c r="N162">
        <f t="shared" si="23"/>
        <v>0.14285714285714285</v>
      </c>
    </row>
    <row r="163" spans="6:14">
      <c r="F163" s="4" t="s">
        <v>49</v>
      </c>
      <c r="G163" s="4">
        <v>11076</v>
      </c>
      <c r="H163" s="4"/>
      <c r="I163" s="4" t="s">
        <v>51</v>
      </c>
      <c r="J163" s="6">
        <v>45753</v>
      </c>
      <c r="K163" s="4">
        <v>6</v>
      </c>
      <c r="L163" s="4">
        <v>6</v>
      </c>
      <c r="M163" s="4">
        <v>2</v>
      </c>
      <c r="N163">
        <f t="shared" si="23"/>
        <v>0.33333333333333331</v>
      </c>
    </row>
    <row r="164" spans="6:14">
      <c r="F164" s="4" t="s">
        <v>49</v>
      </c>
      <c r="G164" s="4">
        <v>11076</v>
      </c>
      <c r="H164" s="4"/>
      <c r="I164" s="4" t="s">
        <v>51</v>
      </c>
      <c r="J164" s="6">
        <v>45754</v>
      </c>
      <c r="K164" s="4">
        <v>11</v>
      </c>
      <c r="L164" s="4">
        <v>11</v>
      </c>
      <c r="M164" s="4">
        <v>3</v>
      </c>
      <c r="N164">
        <f t="shared" si="23"/>
        <v>0.27272727272727271</v>
      </c>
    </row>
    <row r="165" spans="6:14">
      <c r="F165" s="4" t="s">
        <v>49</v>
      </c>
      <c r="G165" s="4">
        <v>11076</v>
      </c>
      <c r="H165" s="4"/>
      <c r="I165" s="4" t="s">
        <v>51</v>
      </c>
      <c r="J165" s="6">
        <v>45755</v>
      </c>
      <c r="K165" s="4">
        <v>22</v>
      </c>
      <c r="L165" s="4">
        <v>22</v>
      </c>
      <c r="M165" s="4">
        <v>10</v>
      </c>
      <c r="N165">
        <f t="shared" si="23"/>
        <v>0.45454545454545453</v>
      </c>
    </row>
    <row r="166" spans="6:14">
      <c r="F166" s="4" t="s">
        <v>49</v>
      </c>
      <c r="G166" s="4">
        <v>11076</v>
      </c>
      <c r="H166" s="4"/>
      <c r="I166" s="4" t="s">
        <v>51</v>
      </c>
      <c r="J166" s="6">
        <v>45756</v>
      </c>
      <c r="K166" s="4">
        <v>35</v>
      </c>
      <c r="L166" s="4">
        <v>35</v>
      </c>
      <c r="M166" s="4">
        <v>16</v>
      </c>
      <c r="N166">
        <f t="shared" si="23"/>
        <v>0.45714285714285713</v>
      </c>
    </row>
    <row r="167" spans="6:14">
      <c r="F167" s="4" t="s">
        <v>49</v>
      </c>
      <c r="G167" s="4">
        <v>11076</v>
      </c>
      <c r="H167" s="4"/>
      <c r="I167" s="4" t="s">
        <v>51</v>
      </c>
      <c r="J167" s="6">
        <v>45757</v>
      </c>
      <c r="K167" s="4">
        <v>56</v>
      </c>
      <c r="L167" s="4">
        <v>56</v>
      </c>
      <c r="M167" s="4">
        <v>13</v>
      </c>
      <c r="N167">
        <f t="shared" si="23"/>
        <v>0.23214285714285715</v>
      </c>
    </row>
    <row r="168" spans="6:14">
      <c r="F168" s="4" t="s">
        <v>49</v>
      </c>
      <c r="G168" s="4">
        <v>11076</v>
      </c>
      <c r="H168" s="4"/>
      <c r="I168" s="4" t="s">
        <v>51</v>
      </c>
      <c r="J168" s="6">
        <v>45758</v>
      </c>
      <c r="K168" s="4">
        <v>36</v>
      </c>
      <c r="L168" s="4">
        <v>36</v>
      </c>
      <c r="M168" s="4">
        <v>15</v>
      </c>
      <c r="N168">
        <f t="shared" si="23"/>
        <v>0.41666666666666669</v>
      </c>
    </row>
    <row r="169" spans="6:14">
      <c r="F169" s="4" t="s">
        <v>49</v>
      </c>
      <c r="G169" s="4">
        <v>11076</v>
      </c>
      <c r="H169" s="4"/>
      <c r="I169" s="4" t="s">
        <v>51</v>
      </c>
      <c r="J169" s="6">
        <v>45759</v>
      </c>
      <c r="K169" s="4">
        <v>65</v>
      </c>
      <c r="L169" s="4">
        <v>65</v>
      </c>
      <c r="M169" s="4">
        <v>18</v>
      </c>
      <c r="N169">
        <f t="shared" si="23"/>
        <v>0.27692307692307694</v>
      </c>
    </row>
    <row r="170" spans="6:14">
      <c r="F170" s="4" t="s">
        <v>49</v>
      </c>
      <c r="G170" s="4">
        <v>11076</v>
      </c>
      <c r="H170" s="4"/>
      <c r="I170" s="4" t="s">
        <v>51</v>
      </c>
      <c r="J170" s="6">
        <v>45760</v>
      </c>
      <c r="K170" s="4">
        <v>56</v>
      </c>
      <c r="L170" s="4">
        <v>56</v>
      </c>
      <c r="M170" s="4">
        <v>20</v>
      </c>
      <c r="N170">
        <f t="shared" si="23"/>
        <v>0.35714285714285715</v>
      </c>
    </row>
    <row r="171" spans="6:14">
      <c r="F171" s="4" t="s">
        <v>49</v>
      </c>
      <c r="G171" s="4">
        <v>11076</v>
      </c>
      <c r="H171" s="4"/>
      <c r="I171" s="4" t="s">
        <v>51</v>
      </c>
      <c r="J171" s="6">
        <v>45761</v>
      </c>
      <c r="K171" s="4">
        <v>58</v>
      </c>
      <c r="L171" s="4">
        <v>58</v>
      </c>
      <c r="M171" s="4">
        <v>17</v>
      </c>
      <c r="N171">
        <f t="shared" si="23"/>
        <v>0.29310344827586204</v>
      </c>
    </row>
    <row r="172" spans="6:14">
      <c r="F172" s="4" t="s">
        <v>49</v>
      </c>
      <c r="G172" s="4">
        <v>11076</v>
      </c>
      <c r="H172" s="4"/>
      <c r="I172" s="4" t="s">
        <v>51</v>
      </c>
      <c r="J172" s="6">
        <v>45762</v>
      </c>
      <c r="K172" s="4">
        <v>56</v>
      </c>
      <c r="L172" s="4">
        <v>56</v>
      </c>
      <c r="M172" s="4">
        <v>15</v>
      </c>
      <c r="N172">
        <f t="shared" si="23"/>
        <v>0.26785714285714285</v>
      </c>
    </row>
    <row r="173" spans="6:14">
      <c r="F173" s="4" t="s">
        <v>49</v>
      </c>
      <c r="G173" s="4">
        <v>11076</v>
      </c>
      <c r="H173" s="4"/>
      <c r="I173" s="4" t="s">
        <v>51</v>
      </c>
      <c r="J173" s="6">
        <v>45763</v>
      </c>
      <c r="K173" s="4">
        <v>52</v>
      </c>
      <c r="L173" s="4">
        <v>52</v>
      </c>
      <c r="M173" s="4">
        <v>18</v>
      </c>
      <c r="N173">
        <f t="shared" si="23"/>
        <v>0.34615384615384615</v>
      </c>
    </row>
    <row r="174" spans="6:14">
      <c r="F174" s="4" t="s">
        <v>49</v>
      </c>
      <c r="G174" s="4">
        <v>11076</v>
      </c>
      <c r="H174" s="4"/>
      <c r="I174" s="4" t="s">
        <v>51</v>
      </c>
      <c r="J174" s="6">
        <v>45764</v>
      </c>
      <c r="K174" s="4">
        <v>65</v>
      </c>
      <c r="L174" s="4">
        <v>65</v>
      </c>
      <c r="M174" s="4">
        <v>19</v>
      </c>
      <c r="N174">
        <f t="shared" si="23"/>
        <v>0.29230769230769232</v>
      </c>
    </row>
    <row r="175" spans="6:14">
      <c r="F175" s="4" t="s">
        <v>49</v>
      </c>
      <c r="G175" s="4">
        <v>11076</v>
      </c>
      <c r="H175" s="4"/>
      <c r="I175" s="4" t="s">
        <v>51</v>
      </c>
      <c r="J175" s="6">
        <v>45765</v>
      </c>
      <c r="K175" s="4">
        <v>73</v>
      </c>
      <c r="L175" s="4">
        <v>73</v>
      </c>
      <c r="M175" s="4">
        <v>23</v>
      </c>
      <c r="N175">
        <f t="shared" si="23"/>
        <v>0.31506849315068491</v>
      </c>
    </row>
    <row r="176" spans="6:14">
      <c r="F176" s="4" t="s">
        <v>49</v>
      </c>
      <c r="G176" s="4">
        <v>11076</v>
      </c>
      <c r="H176" s="4"/>
      <c r="I176" s="4" t="s">
        <v>51</v>
      </c>
      <c r="J176" s="6">
        <v>45766</v>
      </c>
      <c r="K176" s="4">
        <v>92</v>
      </c>
      <c r="L176" s="4">
        <v>92</v>
      </c>
      <c r="M176" s="4">
        <v>25</v>
      </c>
      <c r="N176">
        <f t="shared" si="23"/>
        <v>0.27173913043478259</v>
      </c>
    </row>
    <row r="177" spans="6:14">
      <c r="F177" s="4" t="s">
        <v>49</v>
      </c>
      <c r="G177" s="4">
        <v>11076</v>
      </c>
      <c r="H177" s="4"/>
      <c r="I177" s="4" t="s">
        <v>51</v>
      </c>
      <c r="J177" s="6">
        <v>45767</v>
      </c>
      <c r="K177" s="4">
        <v>96</v>
      </c>
      <c r="L177" s="4">
        <v>96</v>
      </c>
      <c r="M177" s="4">
        <v>26</v>
      </c>
      <c r="N177">
        <f t="shared" si="23"/>
        <v>0.27083333333333331</v>
      </c>
    </row>
    <row r="178" spans="6:14">
      <c r="F178" s="4" t="s">
        <v>49</v>
      </c>
      <c r="G178" s="4">
        <v>11076</v>
      </c>
      <c r="H178" s="4" t="s">
        <v>52</v>
      </c>
      <c r="I178" s="4" t="s">
        <v>50</v>
      </c>
      <c r="J178" s="6">
        <v>45750</v>
      </c>
      <c r="K178" s="4">
        <v>4</v>
      </c>
      <c r="L178" s="4">
        <v>4</v>
      </c>
      <c r="M178" s="4">
        <v>0</v>
      </c>
      <c r="N178">
        <f t="shared" si="23"/>
        <v>0</v>
      </c>
    </row>
    <row r="179" spans="6:14">
      <c r="F179" s="4" t="s">
        <v>49</v>
      </c>
      <c r="G179" s="4">
        <v>11076</v>
      </c>
      <c r="H179" s="4" t="s">
        <v>52</v>
      </c>
      <c r="I179" s="4" t="s">
        <v>50</v>
      </c>
      <c r="J179" s="6">
        <v>45751</v>
      </c>
      <c r="K179" s="4">
        <v>48</v>
      </c>
      <c r="L179" s="4">
        <v>48</v>
      </c>
      <c r="M179" s="4">
        <v>7</v>
      </c>
      <c r="N179">
        <f t="shared" si="23"/>
        <v>0.14583333333333334</v>
      </c>
    </row>
    <row r="180" spans="6:14">
      <c r="F180" s="4" t="s">
        <v>49</v>
      </c>
      <c r="G180" s="4">
        <v>11076</v>
      </c>
      <c r="H180" s="4" t="s">
        <v>52</v>
      </c>
      <c r="I180" s="4" t="s">
        <v>50</v>
      </c>
      <c r="J180" s="6">
        <v>45752</v>
      </c>
      <c r="K180" s="4">
        <v>61</v>
      </c>
      <c r="L180" s="4">
        <v>61</v>
      </c>
      <c r="M180" s="4">
        <v>15</v>
      </c>
      <c r="N180">
        <f t="shared" si="23"/>
        <v>0.24590163934426229</v>
      </c>
    </row>
    <row r="181" spans="6:14">
      <c r="F181" s="4" t="s">
        <v>49</v>
      </c>
      <c r="G181" s="4">
        <v>11076</v>
      </c>
      <c r="H181" s="4" t="s">
        <v>52</v>
      </c>
      <c r="I181" s="4" t="s">
        <v>50</v>
      </c>
      <c r="J181" s="6">
        <v>45753</v>
      </c>
      <c r="K181" s="4">
        <v>97</v>
      </c>
      <c r="L181" s="4">
        <v>97</v>
      </c>
      <c r="M181" s="4">
        <v>15</v>
      </c>
      <c r="N181">
        <f t="shared" si="23"/>
        <v>0.15463917525773196</v>
      </c>
    </row>
    <row r="182" spans="6:14">
      <c r="F182" s="4" t="s">
        <v>49</v>
      </c>
      <c r="G182" s="4">
        <v>11076</v>
      </c>
      <c r="H182" s="4" t="s">
        <v>52</v>
      </c>
      <c r="I182" s="4" t="s">
        <v>50</v>
      </c>
      <c r="J182" s="6">
        <v>45754</v>
      </c>
      <c r="K182" s="4">
        <v>149</v>
      </c>
      <c r="L182" s="4">
        <v>149</v>
      </c>
      <c r="M182" s="4">
        <v>22</v>
      </c>
      <c r="N182">
        <f t="shared" si="23"/>
        <v>0.1476510067114094</v>
      </c>
    </row>
    <row r="183" spans="6:14">
      <c r="F183" s="4" t="s">
        <v>49</v>
      </c>
      <c r="G183" s="4">
        <v>11076</v>
      </c>
      <c r="H183" s="4" t="s">
        <v>52</v>
      </c>
      <c r="I183" s="4" t="s">
        <v>50</v>
      </c>
      <c r="J183" s="6">
        <v>45755</v>
      </c>
      <c r="K183" s="4">
        <v>189</v>
      </c>
      <c r="L183" s="4">
        <v>189</v>
      </c>
      <c r="M183" s="4">
        <v>29</v>
      </c>
      <c r="N183">
        <f t="shared" si="23"/>
        <v>0.15343915343915343</v>
      </c>
    </row>
    <row r="184" spans="6:14">
      <c r="F184" s="4" t="s">
        <v>49</v>
      </c>
      <c r="G184" s="4">
        <v>11076</v>
      </c>
      <c r="H184" s="4" t="s">
        <v>52</v>
      </c>
      <c r="I184" s="4" t="s">
        <v>50</v>
      </c>
      <c r="J184" s="6">
        <v>45756</v>
      </c>
      <c r="K184" s="4">
        <v>185</v>
      </c>
      <c r="L184" s="4">
        <v>185</v>
      </c>
      <c r="M184" s="4">
        <v>33</v>
      </c>
      <c r="N184">
        <f t="shared" si="23"/>
        <v>0.17837837837837839</v>
      </c>
    </row>
    <row r="185" spans="6:14">
      <c r="F185" s="4" t="s">
        <v>49</v>
      </c>
      <c r="G185" s="4">
        <v>11076</v>
      </c>
      <c r="H185" s="4" t="s">
        <v>52</v>
      </c>
      <c r="I185" s="4" t="s">
        <v>50</v>
      </c>
      <c r="J185" s="6">
        <v>45757</v>
      </c>
      <c r="K185" s="4">
        <v>189</v>
      </c>
      <c r="L185" s="4">
        <v>189</v>
      </c>
      <c r="M185" s="4">
        <v>26</v>
      </c>
      <c r="N185">
        <f t="shared" si="23"/>
        <v>0.13756613756613756</v>
      </c>
    </row>
    <row r="186" spans="6:14">
      <c r="F186" s="4" t="s">
        <v>49</v>
      </c>
      <c r="G186" s="4">
        <v>11076</v>
      </c>
      <c r="H186" s="4" t="s">
        <v>52</v>
      </c>
      <c r="I186" s="4" t="s">
        <v>50</v>
      </c>
      <c r="J186" s="6">
        <v>45758</v>
      </c>
      <c r="K186" s="4">
        <v>225</v>
      </c>
      <c r="L186" s="4">
        <v>225</v>
      </c>
      <c r="M186" s="4">
        <v>42</v>
      </c>
      <c r="N186">
        <f t="shared" si="23"/>
        <v>0.18666666666666668</v>
      </c>
    </row>
    <row r="187" spans="6:14">
      <c r="F187" s="4" t="s">
        <v>49</v>
      </c>
      <c r="G187" s="4">
        <v>11076</v>
      </c>
      <c r="H187" s="4" t="s">
        <v>52</v>
      </c>
      <c r="I187" s="4" t="s">
        <v>50</v>
      </c>
      <c r="J187" s="6">
        <v>45759</v>
      </c>
      <c r="K187" s="4">
        <v>215</v>
      </c>
      <c r="L187" s="4">
        <v>215</v>
      </c>
      <c r="M187" s="4">
        <v>39</v>
      </c>
      <c r="N187">
        <f t="shared" si="23"/>
        <v>0.18139534883720931</v>
      </c>
    </row>
    <row r="188" spans="6:14">
      <c r="F188" s="4" t="s">
        <v>49</v>
      </c>
      <c r="G188" s="4">
        <v>11076</v>
      </c>
      <c r="H188" s="4" t="s">
        <v>52</v>
      </c>
      <c r="I188" s="4" t="s">
        <v>50</v>
      </c>
      <c r="J188" s="6">
        <v>45760</v>
      </c>
      <c r="K188" s="4">
        <v>266</v>
      </c>
      <c r="L188" s="4">
        <v>266</v>
      </c>
      <c r="M188" s="4">
        <v>46</v>
      </c>
      <c r="N188">
        <f t="shared" si="23"/>
        <v>0.17293233082706766</v>
      </c>
    </row>
    <row r="189" spans="6:14">
      <c r="F189" s="4" t="s">
        <v>49</v>
      </c>
      <c r="G189" s="4">
        <v>11076</v>
      </c>
      <c r="H189" s="4" t="s">
        <v>52</v>
      </c>
      <c r="I189" s="4" t="s">
        <v>50</v>
      </c>
      <c r="J189" s="6">
        <v>45761</v>
      </c>
      <c r="K189" s="4">
        <v>259</v>
      </c>
      <c r="L189" s="4">
        <v>259</v>
      </c>
      <c r="M189" s="4">
        <v>49</v>
      </c>
      <c r="N189">
        <f t="shared" si="23"/>
        <v>0.1891891891891892</v>
      </c>
    </row>
    <row r="190" spans="6:14">
      <c r="F190" s="4" t="s">
        <v>49</v>
      </c>
      <c r="G190" s="4">
        <v>11076</v>
      </c>
      <c r="H190" s="4" t="s">
        <v>52</v>
      </c>
      <c r="I190" s="4" t="s">
        <v>50</v>
      </c>
      <c r="J190" s="6">
        <v>45762</v>
      </c>
      <c r="K190" s="4">
        <v>202</v>
      </c>
      <c r="L190" s="4">
        <v>202</v>
      </c>
      <c r="M190" s="4">
        <v>35</v>
      </c>
      <c r="N190">
        <f t="shared" si="23"/>
        <v>0.17326732673267325</v>
      </c>
    </row>
    <row r="191" spans="6:14">
      <c r="F191" s="4" t="s">
        <v>49</v>
      </c>
      <c r="G191" s="4">
        <v>11076</v>
      </c>
      <c r="H191" s="4" t="s">
        <v>52</v>
      </c>
      <c r="I191" s="4" t="s">
        <v>50</v>
      </c>
      <c r="J191" s="6">
        <v>45763</v>
      </c>
      <c r="K191" s="4">
        <v>214</v>
      </c>
      <c r="L191" s="4">
        <v>214</v>
      </c>
      <c r="M191" s="4">
        <v>35</v>
      </c>
      <c r="N191">
        <f t="shared" si="23"/>
        <v>0.16355140186915887</v>
      </c>
    </row>
    <row r="192" spans="6:14">
      <c r="F192" s="4" t="s">
        <v>49</v>
      </c>
      <c r="G192" s="4">
        <v>11076</v>
      </c>
      <c r="H192" s="4" t="s">
        <v>52</v>
      </c>
      <c r="I192" s="4" t="s">
        <v>50</v>
      </c>
      <c r="J192" s="6">
        <v>45764</v>
      </c>
      <c r="K192" s="4">
        <v>199</v>
      </c>
      <c r="L192" s="4">
        <v>199</v>
      </c>
      <c r="M192" s="4">
        <v>38</v>
      </c>
      <c r="N192">
        <f t="shared" si="23"/>
        <v>0.19095477386934673</v>
      </c>
    </row>
    <row r="193" spans="6:14">
      <c r="F193" s="4" t="s">
        <v>49</v>
      </c>
      <c r="G193" s="4">
        <v>11076</v>
      </c>
      <c r="H193" s="4" t="s">
        <v>52</v>
      </c>
      <c r="I193" s="4" t="s">
        <v>50</v>
      </c>
      <c r="J193" s="6">
        <v>45765</v>
      </c>
      <c r="K193" s="4">
        <v>200</v>
      </c>
      <c r="L193" s="4">
        <v>200</v>
      </c>
      <c r="M193" s="4">
        <v>47</v>
      </c>
      <c r="N193">
        <f t="shared" si="23"/>
        <v>0.23499999999999999</v>
      </c>
    </row>
    <row r="194" spans="6:14">
      <c r="F194" s="4" t="s">
        <v>49</v>
      </c>
      <c r="G194" s="4">
        <v>11076</v>
      </c>
      <c r="H194" s="4" t="s">
        <v>52</v>
      </c>
      <c r="I194" s="4" t="s">
        <v>50</v>
      </c>
      <c r="J194" s="6">
        <v>45766</v>
      </c>
      <c r="K194" s="4">
        <v>218</v>
      </c>
      <c r="L194" s="4">
        <v>218</v>
      </c>
      <c r="M194" s="4">
        <v>43</v>
      </c>
      <c r="N194">
        <f t="shared" si="23"/>
        <v>0.19724770642201836</v>
      </c>
    </row>
    <row r="195" spans="6:14">
      <c r="F195" s="4" t="s">
        <v>49</v>
      </c>
      <c r="G195" s="4">
        <v>11076</v>
      </c>
      <c r="H195" s="4" t="s">
        <v>52</v>
      </c>
      <c r="I195" s="4" t="s">
        <v>50</v>
      </c>
      <c r="J195" s="6">
        <v>45767</v>
      </c>
      <c r="K195" s="4">
        <v>301</v>
      </c>
      <c r="L195" s="4">
        <v>301</v>
      </c>
      <c r="M195" s="4">
        <v>59</v>
      </c>
      <c r="N195">
        <f t="shared" ref="N195:N258" si="24">M195/L195</f>
        <v>0.19601328903654486</v>
      </c>
    </row>
    <row r="196" spans="6:14">
      <c r="F196" s="4" t="s">
        <v>49</v>
      </c>
      <c r="G196" s="4">
        <v>11076</v>
      </c>
      <c r="H196" s="4" t="s">
        <v>52</v>
      </c>
      <c r="I196" s="4" t="s">
        <v>51</v>
      </c>
      <c r="J196" s="6">
        <v>45750</v>
      </c>
      <c r="K196" s="4">
        <v>1</v>
      </c>
      <c r="L196" s="4">
        <v>1</v>
      </c>
      <c r="M196" s="4">
        <v>1</v>
      </c>
      <c r="N196">
        <f t="shared" si="24"/>
        <v>1</v>
      </c>
    </row>
    <row r="197" spans="6:14">
      <c r="F197" s="4" t="s">
        <v>49</v>
      </c>
      <c r="G197" s="4">
        <v>11076</v>
      </c>
      <c r="H197" s="4" t="s">
        <v>52</v>
      </c>
      <c r="I197" s="4" t="s">
        <v>51</v>
      </c>
      <c r="J197" s="6">
        <v>45751</v>
      </c>
      <c r="K197" s="4">
        <v>6</v>
      </c>
      <c r="L197" s="4">
        <v>6</v>
      </c>
      <c r="M197" s="4">
        <v>1</v>
      </c>
      <c r="N197">
        <f t="shared" si="24"/>
        <v>0.16666666666666666</v>
      </c>
    </row>
    <row r="198" spans="6:14">
      <c r="F198" s="4" t="s">
        <v>49</v>
      </c>
      <c r="G198" s="4">
        <v>11076</v>
      </c>
      <c r="H198" s="4" t="s">
        <v>52</v>
      </c>
      <c r="I198" s="4" t="s">
        <v>51</v>
      </c>
      <c r="J198" s="6">
        <v>45752</v>
      </c>
      <c r="K198" s="4">
        <v>29</v>
      </c>
      <c r="L198" s="4">
        <v>29</v>
      </c>
      <c r="M198" s="4">
        <v>7</v>
      </c>
      <c r="N198">
        <f t="shared" si="24"/>
        <v>0.2413793103448276</v>
      </c>
    </row>
    <row r="199" spans="6:14">
      <c r="F199" s="4" t="s">
        <v>49</v>
      </c>
      <c r="G199" s="4">
        <v>11076</v>
      </c>
      <c r="H199" s="4" t="s">
        <v>52</v>
      </c>
      <c r="I199" s="4" t="s">
        <v>51</v>
      </c>
      <c r="J199" s="6">
        <v>45753</v>
      </c>
      <c r="K199" s="4">
        <v>58</v>
      </c>
      <c r="L199" s="4">
        <v>58</v>
      </c>
      <c r="M199" s="4">
        <v>17</v>
      </c>
      <c r="N199">
        <f t="shared" si="24"/>
        <v>0.29310344827586204</v>
      </c>
    </row>
    <row r="200" spans="6:14">
      <c r="F200" s="4" t="s">
        <v>49</v>
      </c>
      <c r="G200" s="4">
        <v>11076</v>
      </c>
      <c r="H200" s="4" t="s">
        <v>52</v>
      </c>
      <c r="I200" s="4" t="s">
        <v>51</v>
      </c>
      <c r="J200" s="6">
        <v>45754</v>
      </c>
      <c r="K200" s="4">
        <v>83</v>
      </c>
      <c r="L200" s="4">
        <v>83</v>
      </c>
      <c r="M200" s="4">
        <v>23</v>
      </c>
      <c r="N200">
        <f t="shared" si="24"/>
        <v>0.27710843373493976</v>
      </c>
    </row>
    <row r="201" spans="6:14">
      <c r="F201" s="4" t="s">
        <v>49</v>
      </c>
      <c r="G201" s="4">
        <v>11076</v>
      </c>
      <c r="H201" s="4" t="s">
        <v>52</v>
      </c>
      <c r="I201" s="4" t="s">
        <v>51</v>
      </c>
      <c r="J201" s="6">
        <v>45755</v>
      </c>
      <c r="K201" s="4">
        <v>113</v>
      </c>
      <c r="L201" s="4">
        <v>113</v>
      </c>
      <c r="M201" s="4">
        <v>27</v>
      </c>
      <c r="N201">
        <f t="shared" si="24"/>
        <v>0.23893805309734514</v>
      </c>
    </row>
    <row r="202" spans="6:14">
      <c r="F202" s="4" t="s">
        <v>49</v>
      </c>
      <c r="G202" s="4">
        <v>11076</v>
      </c>
      <c r="H202" s="4" t="s">
        <v>52</v>
      </c>
      <c r="I202" s="4" t="s">
        <v>51</v>
      </c>
      <c r="J202" s="6">
        <v>45756</v>
      </c>
      <c r="K202" s="4">
        <v>143</v>
      </c>
      <c r="L202" s="4">
        <v>143</v>
      </c>
      <c r="M202" s="4">
        <v>32</v>
      </c>
      <c r="N202">
        <f t="shared" si="24"/>
        <v>0.22377622377622378</v>
      </c>
    </row>
    <row r="203" spans="6:14">
      <c r="F203" s="4" t="s">
        <v>49</v>
      </c>
      <c r="G203" s="4">
        <v>11076</v>
      </c>
      <c r="H203" s="4" t="s">
        <v>52</v>
      </c>
      <c r="I203" s="4" t="s">
        <v>51</v>
      </c>
      <c r="J203" s="6">
        <v>45757</v>
      </c>
      <c r="K203" s="4">
        <v>169</v>
      </c>
      <c r="L203" s="4">
        <v>169</v>
      </c>
      <c r="M203" s="4">
        <v>42</v>
      </c>
      <c r="N203">
        <f t="shared" si="24"/>
        <v>0.24852071005917159</v>
      </c>
    </row>
    <row r="204" spans="6:14">
      <c r="F204" s="4" t="s">
        <v>49</v>
      </c>
      <c r="G204" s="4">
        <v>11076</v>
      </c>
      <c r="H204" s="4" t="s">
        <v>52</v>
      </c>
      <c r="I204" s="4" t="s">
        <v>51</v>
      </c>
      <c r="J204" s="6">
        <v>45758</v>
      </c>
      <c r="K204" s="4">
        <v>191</v>
      </c>
      <c r="L204" s="4">
        <v>191</v>
      </c>
      <c r="M204" s="4">
        <v>55</v>
      </c>
      <c r="N204">
        <f t="shared" si="24"/>
        <v>0.2879581151832461</v>
      </c>
    </row>
    <row r="205" spans="6:14">
      <c r="F205" s="4" t="s">
        <v>49</v>
      </c>
      <c r="G205" s="4">
        <v>11076</v>
      </c>
      <c r="H205" s="4" t="s">
        <v>52</v>
      </c>
      <c r="I205" s="4" t="s">
        <v>51</v>
      </c>
      <c r="J205" s="6">
        <v>45759</v>
      </c>
      <c r="K205" s="4">
        <v>247</v>
      </c>
      <c r="L205" s="4">
        <v>247</v>
      </c>
      <c r="M205" s="4">
        <v>65</v>
      </c>
      <c r="N205">
        <f t="shared" si="24"/>
        <v>0.26315789473684209</v>
      </c>
    </row>
    <row r="206" spans="6:14">
      <c r="F206" s="4" t="s">
        <v>49</v>
      </c>
      <c r="G206" s="4">
        <v>11076</v>
      </c>
      <c r="H206" s="4" t="s">
        <v>52</v>
      </c>
      <c r="I206" s="4" t="s">
        <v>51</v>
      </c>
      <c r="J206" s="6">
        <v>45760</v>
      </c>
      <c r="K206" s="4">
        <v>287</v>
      </c>
      <c r="L206" s="4">
        <v>287</v>
      </c>
      <c r="M206" s="4">
        <v>70</v>
      </c>
      <c r="N206">
        <f t="shared" si="24"/>
        <v>0.24390243902439024</v>
      </c>
    </row>
    <row r="207" spans="6:14">
      <c r="F207" s="4" t="s">
        <v>49</v>
      </c>
      <c r="G207" s="4">
        <v>11076</v>
      </c>
      <c r="H207" s="4" t="s">
        <v>52</v>
      </c>
      <c r="I207" s="4" t="s">
        <v>51</v>
      </c>
      <c r="J207" s="6">
        <v>45761</v>
      </c>
      <c r="K207" s="4">
        <v>270</v>
      </c>
      <c r="L207" s="4">
        <v>270</v>
      </c>
      <c r="M207" s="4">
        <v>83</v>
      </c>
      <c r="N207">
        <f t="shared" si="24"/>
        <v>0.30740740740740741</v>
      </c>
    </row>
    <row r="208" spans="6:14">
      <c r="F208" s="4" t="s">
        <v>49</v>
      </c>
      <c r="G208" s="4">
        <v>11076</v>
      </c>
      <c r="H208" s="4" t="s">
        <v>52</v>
      </c>
      <c r="I208" s="4" t="s">
        <v>51</v>
      </c>
      <c r="J208" s="6">
        <v>45762</v>
      </c>
      <c r="K208" s="4">
        <v>272</v>
      </c>
      <c r="L208" s="4">
        <v>272</v>
      </c>
      <c r="M208" s="4">
        <v>76</v>
      </c>
      <c r="N208">
        <f t="shared" si="24"/>
        <v>0.27941176470588236</v>
      </c>
    </row>
    <row r="209" spans="6:14">
      <c r="F209" s="4" t="s">
        <v>49</v>
      </c>
      <c r="G209" s="4">
        <v>11076</v>
      </c>
      <c r="H209" s="4" t="s">
        <v>52</v>
      </c>
      <c r="I209" s="4" t="s">
        <v>51</v>
      </c>
      <c r="J209" s="6">
        <v>45763</v>
      </c>
      <c r="K209" s="4">
        <v>282</v>
      </c>
      <c r="L209" s="4">
        <v>282</v>
      </c>
      <c r="M209" s="4">
        <v>61</v>
      </c>
      <c r="N209">
        <f t="shared" si="24"/>
        <v>0.21631205673758866</v>
      </c>
    </row>
    <row r="210" spans="6:14">
      <c r="F210" s="4" t="s">
        <v>49</v>
      </c>
      <c r="G210" s="4">
        <v>11076</v>
      </c>
      <c r="H210" s="4" t="s">
        <v>52</v>
      </c>
      <c r="I210" s="4" t="s">
        <v>51</v>
      </c>
      <c r="J210" s="6">
        <v>45764</v>
      </c>
      <c r="K210" s="4">
        <v>282</v>
      </c>
      <c r="L210" s="4">
        <v>282</v>
      </c>
      <c r="M210" s="4">
        <v>68</v>
      </c>
      <c r="N210">
        <f t="shared" si="24"/>
        <v>0.24113475177304963</v>
      </c>
    </row>
    <row r="211" spans="6:14">
      <c r="F211" s="4" t="s">
        <v>49</v>
      </c>
      <c r="G211" s="4">
        <v>11076</v>
      </c>
      <c r="H211" s="4" t="s">
        <v>52</v>
      </c>
      <c r="I211" s="4" t="s">
        <v>51</v>
      </c>
      <c r="J211" s="6">
        <v>45765</v>
      </c>
      <c r="K211" s="4">
        <v>290</v>
      </c>
      <c r="L211" s="4">
        <v>290</v>
      </c>
      <c r="M211" s="4">
        <v>77</v>
      </c>
      <c r="N211">
        <f t="shared" si="24"/>
        <v>0.26551724137931032</v>
      </c>
    </row>
    <row r="212" spans="6:14">
      <c r="F212" s="4" t="s">
        <v>49</v>
      </c>
      <c r="G212" s="4">
        <v>11076</v>
      </c>
      <c r="H212" s="4" t="s">
        <v>52</v>
      </c>
      <c r="I212" s="4" t="s">
        <v>51</v>
      </c>
      <c r="J212" s="6">
        <v>45766</v>
      </c>
      <c r="K212" s="4">
        <v>316</v>
      </c>
      <c r="L212" s="4">
        <v>316</v>
      </c>
      <c r="M212" s="4">
        <v>96</v>
      </c>
      <c r="N212">
        <f t="shared" si="24"/>
        <v>0.30379746835443039</v>
      </c>
    </row>
    <row r="213" spans="6:14">
      <c r="F213" s="4" t="s">
        <v>49</v>
      </c>
      <c r="G213" s="4">
        <v>11076</v>
      </c>
      <c r="H213" s="4" t="s">
        <v>52</v>
      </c>
      <c r="I213" s="4" t="s">
        <v>51</v>
      </c>
      <c r="J213" s="6">
        <v>45767</v>
      </c>
      <c r="K213" s="4">
        <v>390</v>
      </c>
      <c r="L213" s="4">
        <v>390</v>
      </c>
      <c r="M213" s="4">
        <v>109</v>
      </c>
      <c r="N213">
        <f t="shared" si="24"/>
        <v>0.27948717948717949</v>
      </c>
    </row>
    <row r="214" spans="6:14">
      <c r="F214" s="4" t="s">
        <v>49</v>
      </c>
      <c r="G214" s="4">
        <v>11076</v>
      </c>
      <c r="H214" s="4" t="s">
        <v>53</v>
      </c>
      <c r="I214" s="4" t="s">
        <v>50</v>
      </c>
      <c r="J214" s="6">
        <v>45750</v>
      </c>
      <c r="K214" s="4">
        <v>18</v>
      </c>
      <c r="L214" s="4">
        <v>18</v>
      </c>
      <c r="M214" s="4">
        <v>7</v>
      </c>
      <c r="N214">
        <f t="shared" si="24"/>
        <v>0.3888888888888889</v>
      </c>
    </row>
    <row r="215" spans="6:14">
      <c r="F215" s="4" t="s">
        <v>49</v>
      </c>
      <c r="G215" s="4">
        <v>11076</v>
      </c>
      <c r="H215" s="4" t="s">
        <v>53</v>
      </c>
      <c r="I215" s="4" t="s">
        <v>50</v>
      </c>
      <c r="J215" s="6">
        <v>45751</v>
      </c>
      <c r="K215" s="4">
        <v>151</v>
      </c>
      <c r="L215" s="4">
        <v>151</v>
      </c>
      <c r="M215" s="4">
        <v>24</v>
      </c>
      <c r="N215">
        <f t="shared" si="24"/>
        <v>0.15894039735099338</v>
      </c>
    </row>
    <row r="216" spans="6:14">
      <c r="F216" s="4" t="s">
        <v>49</v>
      </c>
      <c r="G216" s="4">
        <v>11076</v>
      </c>
      <c r="H216" s="4" t="s">
        <v>53</v>
      </c>
      <c r="I216" s="4" t="s">
        <v>50</v>
      </c>
      <c r="J216" s="6">
        <v>45752</v>
      </c>
      <c r="K216" s="4">
        <v>251</v>
      </c>
      <c r="L216" s="4">
        <v>251</v>
      </c>
      <c r="M216" s="4">
        <v>33</v>
      </c>
      <c r="N216">
        <f t="shared" si="24"/>
        <v>0.13147410358565736</v>
      </c>
    </row>
    <row r="217" spans="6:14">
      <c r="F217" s="4" t="s">
        <v>49</v>
      </c>
      <c r="G217" s="4">
        <v>11076</v>
      </c>
      <c r="H217" s="4" t="s">
        <v>53</v>
      </c>
      <c r="I217" s="4" t="s">
        <v>50</v>
      </c>
      <c r="J217" s="6">
        <v>45753</v>
      </c>
      <c r="K217" s="4">
        <v>297</v>
      </c>
      <c r="L217" s="4">
        <v>297</v>
      </c>
      <c r="M217" s="4">
        <v>39</v>
      </c>
      <c r="N217">
        <f t="shared" si="24"/>
        <v>0.13131313131313133</v>
      </c>
    </row>
    <row r="218" spans="6:14">
      <c r="F218" s="4" t="s">
        <v>49</v>
      </c>
      <c r="G218" s="4">
        <v>11076</v>
      </c>
      <c r="H218" s="4" t="s">
        <v>53</v>
      </c>
      <c r="I218" s="4" t="s">
        <v>50</v>
      </c>
      <c r="J218" s="6">
        <v>45754</v>
      </c>
      <c r="K218" s="4">
        <v>463</v>
      </c>
      <c r="L218" s="4">
        <v>463</v>
      </c>
      <c r="M218" s="4">
        <v>71</v>
      </c>
      <c r="N218">
        <f t="shared" si="24"/>
        <v>0.15334773218142547</v>
      </c>
    </row>
    <row r="219" spans="6:14">
      <c r="F219" s="4" t="s">
        <v>49</v>
      </c>
      <c r="G219" s="4">
        <v>11076</v>
      </c>
      <c r="H219" s="4" t="s">
        <v>53</v>
      </c>
      <c r="I219" s="4" t="s">
        <v>50</v>
      </c>
      <c r="J219" s="6">
        <v>45755</v>
      </c>
      <c r="K219" s="4">
        <v>537</v>
      </c>
      <c r="L219" s="4">
        <v>537</v>
      </c>
      <c r="M219" s="4">
        <v>82</v>
      </c>
      <c r="N219">
        <f t="shared" si="24"/>
        <v>0.1527001862197393</v>
      </c>
    </row>
    <row r="220" spans="6:14">
      <c r="F220" s="4" t="s">
        <v>49</v>
      </c>
      <c r="G220" s="4">
        <v>11076</v>
      </c>
      <c r="H220" s="4" t="s">
        <v>53</v>
      </c>
      <c r="I220" s="4" t="s">
        <v>50</v>
      </c>
      <c r="J220" s="6">
        <v>45756</v>
      </c>
      <c r="K220" s="4">
        <v>463</v>
      </c>
      <c r="L220" s="4">
        <v>463</v>
      </c>
      <c r="M220" s="4">
        <v>77</v>
      </c>
      <c r="N220">
        <f t="shared" si="24"/>
        <v>0.16630669546436286</v>
      </c>
    </row>
    <row r="221" spans="6:14">
      <c r="F221" s="4" t="s">
        <v>49</v>
      </c>
      <c r="G221" s="4">
        <v>11076</v>
      </c>
      <c r="H221" s="4" t="s">
        <v>53</v>
      </c>
      <c r="I221" s="4" t="s">
        <v>50</v>
      </c>
      <c r="J221" s="6">
        <v>45757</v>
      </c>
      <c r="K221" s="4">
        <v>493</v>
      </c>
      <c r="L221" s="4">
        <v>493</v>
      </c>
      <c r="M221" s="4">
        <v>66</v>
      </c>
      <c r="N221">
        <f t="shared" si="24"/>
        <v>0.13387423935091278</v>
      </c>
    </row>
    <row r="222" spans="6:14">
      <c r="F222" s="4" t="s">
        <v>49</v>
      </c>
      <c r="G222" s="4">
        <v>11076</v>
      </c>
      <c r="H222" s="4" t="s">
        <v>53</v>
      </c>
      <c r="I222" s="4" t="s">
        <v>50</v>
      </c>
      <c r="J222" s="6">
        <v>45758</v>
      </c>
      <c r="K222" s="4">
        <v>500</v>
      </c>
      <c r="L222" s="4">
        <v>500</v>
      </c>
      <c r="M222" s="4">
        <v>75</v>
      </c>
      <c r="N222">
        <f t="shared" si="24"/>
        <v>0.15</v>
      </c>
    </row>
    <row r="223" spans="6:14">
      <c r="F223" s="4" t="s">
        <v>49</v>
      </c>
      <c r="G223" s="4">
        <v>11076</v>
      </c>
      <c r="H223" s="4" t="s">
        <v>53</v>
      </c>
      <c r="I223" s="4" t="s">
        <v>50</v>
      </c>
      <c r="J223" s="6">
        <v>45759</v>
      </c>
      <c r="K223" s="4">
        <v>349</v>
      </c>
      <c r="L223" s="4">
        <v>349</v>
      </c>
      <c r="M223" s="4">
        <v>59</v>
      </c>
      <c r="N223">
        <f t="shared" si="24"/>
        <v>0.16905444126074498</v>
      </c>
    </row>
    <row r="224" spans="6:14">
      <c r="F224" s="4" t="s">
        <v>49</v>
      </c>
      <c r="G224" s="4">
        <v>11076</v>
      </c>
      <c r="H224" s="4" t="s">
        <v>53</v>
      </c>
      <c r="I224" s="4" t="s">
        <v>50</v>
      </c>
      <c r="J224" s="6">
        <v>45760</v>
      </c>
      <c r="K224" s="4">
        <v>361</v>
      </c>
      <c r="L224" s="4">
        <v>361</v>
      </c>
      <c r="M224" s="4">
        <v>62</v>
      </c>
      <c r="N224">
        <f t="shared" si="24"/>
        <v>0.17174515235457063</v>
      </c>
    </row>
    <row r="225" spans="6:14">
      <c r="F225" s="4" t="s">
        <v>49</v>
      </c>
      <c r="G225" s="4">
        <v>11076</v>
      </c>
      <c r="H225" s="4" t="s">
        <v>53</v>
      </c>
      <c r="I225" s="4" t="s">
        <v>50</v>
      </c>
      <c r="J225" s="6">
        <v>45761</v>
      </c>
      <c r="K225" s="4">
        <v>366</v>
      </c>
      <c r="L225" s="4">
        <v>366</v>
      </c>
      <c r="M225" s="4">
        <v>56</v>
      </c>
      <c r="N225">
        <f t="shared" si="24"/>
        <v>0.15300546448087432</v>
      </c>
    </row>
    <row r="226" spans="6:14">
      <c r="F226" s="4" t="s">
        <v>49</v>
      </c>
      <c r="G226" s="4">
        <v>11076</v>
      </c>
      <c r="H226" s="4" t="s">
        <v>53</v>
      </c>
      <c r="I226" s="4" t="s">
        <v>50</v>
      </c>
      <c r="J226" s="6">
        <v>45762</v>
      </c>
      <c r="K226" s="4">
        <v>319</v>
      </c>
      <c r="L226" s="4">
        <v>319</v>
      </c>
      <c r="M226" s="4">
        <v>51</v>
      </c>
      <c r="N226">
        <f t="shared" si="24"/>
        <v>0.15987460815047022</v>
      </c>
    </row>
    <row r="227" spans="6:14">
      <c r="F227" s="4" t="s">
        <v>49</v>
      </c>
      <c r="G227" s="4">
        <v>11076</v>
      </c>
      <c r="H227" s="4" t="s">
        <v>53</v>
      </c>
      <c r="I227" s="4" t="s">
        <v>50</v>
      </c>
      <c r="J227" s="6">
        <v>45763</v>
      </c>
      <c r="K227" s="4">
        <v>357</v>
      </c>
      <c r="L227" s="4">
        <v>357</v>
      </c>
      <c r="M227" s="4">
        <v>45</v>
      </c>
      <c r="N227">
        <f t="shared" si="24"/>
        <v>0.12605042016806722</v>
      </c>
    </row>
    <row r="228" spans="6:14">
      <c r="F228" s="4" t="s">
        <v>49</v>
      </c>
      <c r="G228" s="4">
        <v>11076</v>
      </c>
      <c r="H228" s="4" t="s">
        <v>53</v>
      </c>
      <c r="I228" s="4" t="s">
        <v>50</v>
      </c>
      <c r="J228" s="6">
        <v>45764</v>
      </c>
      <c r="K228" s="4">
        <v>364</v>
      </c>
      <c r="L228" s="4">
        <v>364</v>
      </c>
      <c r="M228" s="4">
        <v>62</v>
      </c>
      <c r="N228">
        <f t="shared" si="24"/>
        <v>0.17032967032967034</v>
      </c>
    </row>
    <row r="229" spans="6:14">
      <c r="F229" s="4" t="s">
        <v>49</v>
      </c>
      <c r="G229" s="4">
        <v>11076</v>
      </c>
      <c r="H229" s="4" t="s">
        <v>53</v>
      </c>
      <c r="I229" s="4" t="s">
        <v>50</v>
      </c>
      <c r="J229" s="6">
        <v>45765</v>
      </c>
      <c r="K229" s="4">
        <v>385</v>
      </c>
      <c r="L229" s="4">
        <v>385</v>
      </c>
      <c r="M229" s="4">
        <v>58</v>
      </c>
      <c r="N229">
        <f t="shared" si="24"/>
        <v>0.15064935064935064</v>
      </c>
    </row>
    <row r="230" spans="6:14">
      <c r="F230" s="4" t="s">
        <v>49</v>
      </c>
      <c r="G230" s="4">
        <v>11076</v>
      </c>
      <c r="H230" s="4" t="s">
        <v>53</v>
      </c>
      <c r="I230" s="4" t="s">
        <v>50</v>
      </c>
      <c r="J230" s="6">
        <v>45766</v>
      </c>
      <c r="K230" s="4">
        <v>391</v>
      </c>
      <c r="L230" s="4">
        <v>391</v>
      </c>
      <c r="M230" s="4">
        <v>57</v>
      </c>
      <c r="N230">
        <f t="shared" si="24"/>
        <v>0.14578005115089515</v>
      </c>
    </row>
    <row r="231" spans="6:14">
      <c r="F231" s="4" t="s">
        <v>49</v>
      </c>
      <c r="G231" s="4">
        <v>11076</v>
      </c>
      <c r="H231" s="4" t="s">
        <v>53</v>
      </c>
      <c r="I231" s="4" t="s">
        <v>50</v>
      </c>
      <c r="J231" s="6">
        <v>45767</v>
      </c>
      <c r="K231" s="4">
        <v>546</v>
      </c>
      <c r="L231" s="4">
        <v>546</v>
      </c>
      <c r="M231" s="4">
        <v>71</v>
      </c>
      <c r="N231">
        <f t="shared" si="24"/>
        <v>0.13003663003663005</v>
      </c>
    </row>
    <row r="232" spans="6:14">
      <c r="F232" s="4" t="s">
        <v>49</v>
      </c>
      <c r="G232" s="4">
        <v>11076</v>
      </c>
      <c r="H232" s="4" t="s">
        <v>53</v>
      </c>
      <c r="I232" s="4" t="s">
        <v>51</v>
      </c>
      <c r="J232" s="6">
        <v>45750</v>
      </c>
      <c r="K232" s="4">
        <v>1</v>
      </c>
      <c r="L232" s="4">
        <v>1</v>
      </c>
      <c r="M232" s="4">
        <v>0</v>
      </c>
      <c r="N232">
        <f t="shared" si="24"/>
        <v>0</v>
      </c>
    </row>
    <row r="233" spans="6:14">
      <c r="F233" s="4" t="s">
        <v>49</v>
      </c>
      <c r="G233" s="4">
        <v>11076</v>
      </c>
      <c r="H233" s="4" t="s">
        <v>53</v>
      </c>
      <c r="I233" s="4" t="s">
        <v>51</v>
      </c>
      <c r="J233" s="6">
        <v>45751</v>
      </c>
      <c r="K233" s="4">
        <v>22</v>
      </c>
      <c r="L233" s="4">
        <v>22</v>
      </c>
      <c r="M233" s="4">
        <v>7</v>
      </c>
      <c r="N233">
        <f t="shared" si="24"/>
        <v>0.31818181818181818</v>
      </c>
    </row>
    <row r="234" spans="6:14">
      <c r="F234" s="4" t="s">
        <v>49</v>
      </c>
      <c r="G234" s="4">
        <v>11076</v>
      </c>
      <c r="H234" s="4" t="s">
        <v>53</v>
      </c>
      <c r="I234" s="4" t="s">
        <v>51</v>
      </c>
      <c r="J234" s="6">
        <v>45752</v>
      </c>
      <c r="K234" s="4">
        <v>65</v>
      </c>
      <c r="L234" s="4">
        <v>65</v>
      </c>
      <c r="M234" s="4">
        <v>21</v>
      </c>
      <c r="N234">
        <f t="shared" si="24"/>
        <v>0.32307692307692309</v>
      </c>
    </row>
    <row r="235" spans="6:14">
      <c r="F235" s="4" t="s">
        <v>49</v>
      </c>
      <c r="G235" s="4">
        <v>11076</v>
      </c>
      <c r="H235" s="4" t="s">
        <v>53</v>
      </c>
      <c r="I235" s="4" t="s">
        <v>51</v>
      </c>
      <c r="J235" s="6">
        <v>45753</v>
      </c>
      <c r="K235" s="4">
        <v>117</v>
      </c>
      <c r="L235" s="4">
        <v>117</v>
      </c>
      <c r="M235" s="4">
        <v>27</v>
      </c>
      <c r="N235">
        <f t="shared" si="24"/>
        <v>0.23076923076923078</v>
      </c>
    </row>
    <row r="236" spans="6:14">
      <c r="F236" s="4" t="s">
        <v>49</v>
      </c>
      <c r="G236" s="4">
        <v>11076</v>
      </c>
      <c r="H236" s="4" t="s">
        <v>53</v>
      </c>
      <c r="I236" s="4" t="s">
        <v>51</v>
      </c>
      <c r="J236" s="6">
        <v>45754</v>
      </c>
      <c r="K236" s="4">
        <v>150</v>
      </c>
      <c r="L236" s="4">
        <v>150</v>
      </c>
      <c r="M236" s="4">
        <v>45</v>
      </c>
      <c r="N236">
        <f t="shared" si="24"/>
        <v>0.3</v>
      </c>
    </row>
    <row r="237" spans="6:14">
      <c r="F237" s="4" t="s">
        <v>49</v>
      </c>
      <c r="G237" s="4">
        <v>11076</v>
      </c>
      <c r="H237" s="4" t="s">
        <v>53</v>
      </c>
      <c r="I237" s="4" t="s">
        <v>51</v>
      </c>
      <c r="J237" s="6">
        <v>45755</v>
      </c>
      <c r="K237" s="4">
        <v>270</v>
      </c>
      <c r="L237" s="4">
        <v>270</v>
      </c>
      <c r="M237" s="4">
        <v>78</v>
      </c>
      <c r="N237">
        <f t="shared" si="24"/>
        <v>0.28888888888888886</v>
      </c>
    </row>
    <row r="238" spans="6:14">
      <c r="F238" s="4" t="s">
        <v>49</v>
      </c>
      <c r="G238" s="4">
        <v>11076</v>
      </c>
      <c r="H238" s="4" t="s">
        <v>53</v>
      </c>
      <c r="I238" s="4" t="s">
        <v>51</v>
      </c>
      <c r="J238" s="6">
        <v>45756</v>
      </c>
      <c r="K238" s="4">
        <v>342</v>
      </c>
      <c r="L238" s="4">
        <v>342</v>
      </c>
      <c r="M238" s="4">
        <v>96</v>
      </c>
      <c r="N238">
        <f t="shared" si="24"/>
        <v>0.2807017543859649</v>
      </c>
    </row>
    <row r="239" spans="6:14">
      <c r="F239" s="4" t="s">
        <v>49</v>
      </c>
      <c r="G239" s="4">
        <v>11076</v>
      </c>
      <c r="H239" s="4" t="s">
        <v>53</v>
      </c>
      <c r="I239" s="4" t="s">
        <v>51</v>
      </c>
      <c r="J239" s="6">
        <v>45757</v>
      </c>
      <c r="K239" s="4">
        <v>377</v>
      </c>
      <c r="L239" s="4">
        <v>377</v>
      </c>
      <c r="M239" s="4">
        <v>89</v>
      </c>
      <c r="N239">
        <f t="shared" si="24"/>
        <v>0.23607427055702918</v>
      </c>
    </row>
    <row r="240" spans="6:14">
      <c r="F240" s="4" t="s">
        <v>49</v>
      </c>
      <c r="G240" s="4">
        <v>11076</v>
      </c>
      <c r="H240" s="4" t="s">
        <v>53</v>
      </c>
      <c r="I240" s="4" t="s">
        <v>51</v>
      </c>
      <c r="J240" s="6">
        <v>45758</v>
      </c>
      <c r="K240" s="4">
        <v>361</v>
      </c>
      <c r="L240" s="4">
        <v>361</v>
      </c>
      <c r="M240" s="4">
        <v>95</v>
      </c>
      <c r="N240">
        <f t="shared" si="24"/>
        <v>0.26315789473684209</v>
      </c>
    </row>
    <row r="241" spans="6:14">
      <c r="F241" s="4" t="s">
        <v>49</v>
      </c>
      <c r="G241" s="4">
        <v>11076</v>
      </c>
      <c r="H241" s="4" t="s">
        <v>53</v>
      </c>
      <c r="I241" s="4" t="s">
        <v>51</v>
      </c>
      <c r="J241" s="6">
        <v>45759</v>
      </c>
      <c r="K241" s="4">
        <v>391</v>
      </c>
      <c r="L241" s="4">
        <v>391</v>
      </c>
      <c r="M241" s="4">
        <v>124</v>
      </c>
      <c r="N241">
        <f t="shared" si="24"/>
        <v>0.31713554987212278</v>
      </c>
    </row>
    <row r="242" spans="6:14">
      <c r="F242" s="4" t="s">
        <v>49</v>
      </c>
      <c r="G242" s="4">
        <v>11076</v>
      </c>
      <c r="H242" s="4" t="s">
        <v>53</v>
      </c>
      <c r="I242" s="4" t="s">
        <v>51</v>
      </c>
      <c r="J242" s="6">
        <v>45760</v>
      </c>
      <c r="K242" s="4">
        <v>459</v>
      </c>
      <c r="L242" s="4">
        <v>459</v>
      </c>
      <c r="M242" s="4">
        <v>126</v>
      </c>
      <c r="N242">
        <f t="shared" si="24"/>
        <v>0.27450980392156865</v>
      </c>
    </row>
    <row r="243" spans="6:14">
      <c r="F243" s="4" t="s">
        <v>49</v>
      </c>
      <c r="G243" s="4">
        <v>11076</v>
      </c>
      <c r="H243" s="4" t="s">
        <v>53</v>
      </c>
      <c r="I243" s="4" t="s">
        <v>51</v>
      </c>
      <c r="J243" s="6">
        <v>45761</v>
      </c>
      <c r="K243" s="4">
        <v>440</v>
      </c>
      <c r="L243" s="4">
        <v>440</v>
      </c>
      <c r="M243" s="4">
        <v>114</v>
      </c>
      <c r="N243">
        <f t="shared" si="24"/>
        <v>0.25909090909090909</v>
      </c>
    </row>
    <row r="244" spans="6:14">
      <c r="F244" s="4" t="s">
        <v>49</v>
      </c>
      <c r="G244" s="4">
        <v>11076</v>
      </c>
      <c r="H244" s="4" t="s">
        <v>53</v>
      </c>
      <c r="I244" s="4" t="s">
        <v>51</v>
      </c>
      <c r="J244" s="6">
        <v>45762</v>
      </c>
      <c r="K244" s="4">
        <v>400</v>
      </c>
      <c r="L244" s="4">
        <v>400</v>
      </c>
      <c r="M244" s="4">
        <v>106</v>
      </c>
      <c r="N244">
        <f t="shared" si="24"/>
        <v>0.26500000000000001</v>
      </c>
    </row>
    <row r="245" spans="6:14">
      <c r="F245" s="4" t="s">
        <v>49</v>
      </c>
      <c r="G245" s="4">
        <v>11076</v>
      </c>
      <c r="H245" s="4" t="s">
        <v>53</v>
      </c>
      <c r="I245" s="4" t="s">
        <v>51</v>
      </c>
      <c r="J245" s="6">
        <v>45763</v>
      </c>
      <c r="K245" s="4">
        <v>422</v>
      </c>
      <c r="L245" s="4">
        <v>422</v>
      </c>
      <c r="M245" s="4">
        <v>118</v>
      </c>
      <c r="N245">
        <f t="shared" si="24"/>
        <v>0.27962085308056872</v>
      </c>
    </row>
    <row r="246" spans="6:14">
      <c r="F246" s="4" t="s">
        <v>49</v>
      </c>
      <c r="G246" s="4">
        <v>11076</v>
      </c>
      <c r="H246" s="4" t="s">
        <v>53</v>
      </c>
      <c r="I246" s="4" t="s">
        <v>51</v>
      </c>
      <c r="J246" s="6">
        <v>45764</v>
      </c>
      <c r="K246" s="4">
        <v>428</v>
      </c>
      <c r="L246" s="4">
        <v>428</v>
      </c>
      <c r="M246" s="4">
        <v>123</v>
      </c>
      <c r="N246">
        <f t="shared" si="24"/>
        <v>0.28738317757009346</v>
      </c>
    </row>
    <row r="247" spans="6:14">
      <c r="F247" s="4" t="s">
        <v>49</v>
      </c>
      <c r="G247" s="4">
        <v>11076</v>
      </c>
      <c r="H247" s="4" t="s">
        <v>53</v>
      </c>
      <c r="I247" s="4" t="s">
        <v>51</v>
      </c>
      <c r="J247" s="6">
        <v>45765</v>
      </c>
      <c r="K247" s="4">
        <v>459</v>
      </c>
      <c r="L247" s="4">
        <v>459</v>
      </c>
      <c r="M247" s="4">
        <v>127</v>
      </c>
      <c r="N247">
        <f t="shared" si="24"/>
        <v>0.27668845315904139</v>
      </c>
    </row>
    <row r="248" spans="6:14">
      <c r="F248" s="4" t="s">
        <v>49</v>
      </c>
      <c r="G248" s="4">
        <v>11076</v>
      </c>
      <c r="H248" s="4" t="s">
        <v>53</v>
      </c>
      <c r="I248" s="4" t="s">
        <v>51</v>
      </c>
      <c r="J248" s="6">
        <v>45766</v>
      </c>
      <c r="K248" s="4">
        <v>483</v>
      </c>
      <c r="L248" s="4">
        <v>483</v>
      </c>
      <c r="M248" s="4">
        <v>155</v>
      </c>
      <c r="N248">
        <f t="shared" si="24"/>
        <v>0.32091097308488614</v>
      </c>
    </row>
    <row r="249" spans="6:14">
      <c r="F249" s="4" t="s">
        <v>49</v>
      </c>
      <c r="G249" s="4">
        <v>11076</v>
      </c>
      <c r="H249" s="4" t="s">
        <v>53</v>
      </c>
      <c r="I249" s="4" t="s">
        <v>51</v>
      </c>
      <c r="J249" s="6">
        <v>45767</v>
      </c>
      <c r="K249" s="4">
        <v>571</v>
      </c>
      <c r="L249" s="4">
        <v>571</v>
      </c>
      <c r="M249" s="4">
        <v>148</v>
      </c>
      <c r="N249">
        <f t="shared" si="24"/>
        <v>0.25919439579684761</v>
      </c>
    </row>
    <row r="250" spans="6:14">
      <c r="F250" s="4" t="s">
        <v>49</v>
      </c>
      <c r="G250" s="4">
        <v>11076</v>
      </c>
      <c r="H250" s="4" t="s">
        <v>54</v>
      </c>
      <c r="I250" s="4" t="s">
        <v>50</v>
      </c>
      <c r="J250" s="6">
        <v>45750</v>
      </c>
      <c r="K250" s="4">
        <v>116</v>
      </c>
      <c r="L250" s="4">
        <v>116</v>
      </c>
      <c r="M250" s="4">
        <v>25</v>
      </c>
      <c r="N250">
        <f t="shared" si="24"/>
        <v>0.21551724137931033</v>
      </c>
    </row>
    <row r="251" spans="6:14">
      <c r="F251" s="4" t="s">
        <v>49</v>
      </c>
      <c r="G251" s="4">
        <v>11076</v>
      </c>
      <c r="H251" s="4" t="s">
        <v>54</v>
      </c>
      <c r="I251" s="4" t="s">
        <v>50</v>
      </c>
      <c r="J251" s="6">
        <v>45751</v>
      </c>
      <c r="K251" s="4">
        <v>700</v>
      </c>
      <c r="L251" s="4">
        <v>700</v>
      </c>
      <c r="M251" s="4">
        <v>107</v>
      </c>
      <c r="N251">
        <f t="shared" si="24"/>
        <v>0.15285714285714286</v>
      </c>
    </row>
    <row r="252" spans="6:14">
      <c r="F252" s="4" t="s">
        <v>49</v>
      </c>
      <c r="G252" s="4">
        <v>11076</v>
      </c>
      <c r="H252" s="4" t="s">
        <v>54</v>
      </c>
      <c r="I252" s="4" t="s">
        <v>50</v>
      </c>
      <c r="J252" s="6">
        <v>45752</v>
      </c>
      <c r="K252" s="4">
        <v>853</v>
      </c>
      <c r="L252" s="4">
        <v>853</v>
      </c>
      <c r="M252" s="4">
        <v>134</v>
      </c>
      <c r="N252">
        <f t="shared" si="24"/>
        <v>0.15709261430246191</v>
      </c>
    </row>
    <row r="253" spans="6:14">
      <c r="F253" s="4" t="s">
        <v>49</v>
      </c>
      <c r="G253" s="4">
        <v>11076</v>
      </c>
      <c r="H253" s="4" t="s">
        <v>54</v>
      </c>
      <c r="I253" s="4" t="s">
        <v>50</v>
      </c>
      <c r="J253" s="6">
        <v>45753</v>
      </c>
      <c r="K253" s="4">
        <v>1194</v>
      </c>
      <c r="L253" s="4">
        <v>1194</v>
      </c>
      <c r="M253" s="4">
        <v>192</v>
      </c>
      <c r="N253">
        <f t="shared" si="24"/>
        <v>0.16080402010050251</v>
      </c>
    </row>
    <row r="254" spans="6:14">
      <c r="F254" s="4" t="s">
        <v>49</v>
      </c>
      <c r="G254" s="4">
        <v>11076</v>
      </c>
      <c r="H254" s="4" t="s">
        <v>54</v>
      </c>
      <c r="I254" s="4" t="s">
        <v>50</v>
      </c>
      <c r="J254" s="6">
        <v>45754</v>
      </c>
      <c r="K254" s="4">
        <v>2084</v>
      </c>
      <c r="L254" s="4">
        <v>2084</v>
      </c>
      <c r="M254" s="4">
        <v>335</v>
      </c>
      <c r="N254">
        <f t="shared" si="24"/>
        <v>0.16074856046065258</v>
      </c>
    </row>
    <row r="255" spans="6:14">
      <c r="F255" s="4" t="s">
        <v>49</v>
      </c>
      <c r="G255" s="4">
        <v>11076</v>
      </c>
      <c r="H255" s="4" t="s">
        <v>54</v>
      </c>
      <c r="I255" s="4" t="s">
        <v>50</v>
      </c>
      <c r="J255" s="6">
        <v>45755</v>
      </c>
      <c r="K255" s="4">
        <v>2452</v>
      </c>
      <c r="L255" s="4">
        <v>2452</v>
      </c>
      <c r="M255" s="4">
        <v>368</v>
      </c>
      <c r="N255">
        <f t="shared" si="24"/>
        <v>0.1500815660685155</v>
      </c>
    </row>
    <row r="256" spans="6:14">
      <c r="F256" s="4" t="s">
        <v>49</v>
      </c>
      <c r="G256" s="4">
        <v>11076</v>
      </c>
      <c r="H256" s="4" t="s">
        <v>54</v>
      </c>
      <c r="I256" s="4" t="s">
        <v>50</v>
      </c>
      <c r="J256" s="6">
        <v>45756</v>
      </c>
      <c r="K256" s="4">
        <v>2224</v>
      </c>
      <c r="L256" s="4">
        <v>2224</v>
      </c>
      <c r="M256" s="4">
        <v>355</v>
      </c>
      <c r="N256">
        <f t="shared" si="24"/>
        <v>0.15962230215827339</v>
      </c>
    </row>
    <row r="257" spans="6:14">
      <c r="F257" s="4" t="s">
        <v>49</v>
      </c>
      <c r="G257" s="4">
        <v>11076</v>
      </c>
      <c r="H257" s="4" t="s">
        <v>54</v>
      </c>
      <c r="I257" s="4" t="s">
        <v>50</v>
      </c>
      <c r="J257" s="6">
        <v>45757</v>
      </c>
      <c r="K257" s="4">
        <v>2434</v>
      </c>
      <c r="L257" s="4">
        <v>2434</v>
      </c>
      <c r="M257" s="4">
        <v>372</v>
      </c>
      <c r="N257">
        <f t="shared" si="24"/>
        <v>0.15283483976992604</v>
      </c>
    </row>
    <row r="258" spans="6:14">
      <c r="F258" s="4" t="s">
        <v>49</v>
      </c>
      <c r="G258" s="4">
        <v>11076</v>
      </c>
      <c r="H258" s="4" t="s">
        <v>54</v>
      </c>
      <c r="I258" s="4" t="s">
        <v>50</v>
      </c>
      <c r="J258" s="6">
        <v>45758</v>
      </c>
      <c r="K258" s="4">
        <v>2263</v>
      </c>
      <c r="L258" s="4">
        <v>2263</v>
      </c>
      <c r="M258" s="4">
        <v>342</v>
      </c>
      <c r="N258">
        <f t="shared" si="24"/>
        <v>0.15112682280159082</v>
      </c>
    </row>
    <row r="259" spans="6:14">
      <c r="F259" s="4" t="s">
        <v>49</v>
      </c>
      <c r="G259" s="4">
        <v>11076</v>
      </c>
      <c r="H259" s="4" t="s">
        <v>54</v>
      </c>
      <c r="I259" s="4" t="s">
        <v>50</v>
      </c>
      <c r="J259" s="6">
        <v>45759</v>
      </c>
      <c r="K259" s="4">
        <v>2305</v>
      </c>
      <c r="L259" s="4">
        <v>2305</v>
      </c>
      <c r="M259" s="4">
        <v>362</v>
      </c>
      <c r="N259">
        <f t="shared" ref="N259:N322" si="25">M259/L259</f>
        <v>0.15704989154013016</v>
      </c>
    </row>
    <row r="260" spans="6:14">
      <c r="F260" s="4" t="s">
        <v>49</v>
      </c>
      <c r="G260" s="4">
        <v>11076</v>
      </c>
      <c r="H260" s="4" t="s">
        <v>54</v>
      </c>
      <c r="I260" s="4" t="s">
        <v>50</v>
      </c>
      <c r="J260" s="6">
        <v>45760</v>
      </c>
      <c r="K260" s="4">
        <v>2646</v>
      </c>
      <c r="L260" s="4">
        <v>2646</v>
      </c>
      <c r="M260" s="4">
        <v>442</v>
      </c>
      <c r="N260">
        <f t="shared" si="25"/>
        <v>0.16704459561602419</v>
      </c>
    </row>
    <row r="261" spans="6:14">
      <c r="F261" s="4" t="s">
        <v>49</v>
      </c>
      <c r="G261" s="4">
        <v>11076</v>
      </c>
      <c r="H261" s="4" t="s">
        <v>54</v>
      </c>
      <c r="I261" s="4" t="s">
        <v>50</v>
      </c>
      <c r="J261" s="6">
        <v>45761</v>
      </c>
      <c r="K261" s="4">
        <v>2940</v>
      </c>
      <c r="L261" s="4">
        <v>2940</v>
      </c>
      <c r="M261" s="4">
        <v>398</v>
      </c>
      <c r="N261">
        <f t="shared" si="25"/>
        <v>0.13537414965986394</v>
      </c>
    </row>
    <row r="262" spans="6:14">
      <c r="F262" s="4" t="s">
        <v>49</v>
      </c>
      <c r="G262" s="4">
        <v>11076</v>
      </c>
      <c r="H262" s="4" t="s">
        <v>54</v>
      </c>
      <c r="I262" s="4" t="s">
        <v>50</v>
      </c>
      <c r="J262" s="6">
        <v>45762</v>
      </c>
      <c r="K262" s="4">
        <v>2415</v>
      </c>
      <c r="L262" s="4">
        <v>2415</v>
      </c>
      <c r="M262" s="4">
        <v>386</v>
      </c>
      <c r="N262">
        <f t="shared" si="25"/>
        <v>0.1598343685300207</v>
      </c>
    </row>
    <row r="263" spans="6:14">
      <c r="F263" s="4" t="s">
        <v>49</v>
      </c>
      <c r="G263" s="4">
        <v>11076</v>
      </c>
      <c r="H263" s="4" t="s">
        <v>54</v>
      </c>
      <c r="I263" s="4" t="s">
        <v>50</v>
      </c>
      <c r="J263" s="6">
        <v>45763</v>
      </c>
      <c r="K263" s="4">
        <v>2228</v>
      </c>
      <c r="L263" s="4">
        <v>2228</v>
      </c>
      <c r="M263" s="4">
        <v>380</v>
      </c>
      <c r="N263">
        <f t="shared" si="25"/>
        <v>0.17055655296229802</v>
      </c>
    </row>
    <row r="264" spans="6:14">
      <c r="F264" s="4" t="s">
        <v>49</v>
      </c>
      <c r="G264" s="4">
        <v>11076</v>
      </c>
      <c r="H264" s="4" t="s">
        <v>54</v>
      </c>
      <c r="I264" s="4" t="s">
        <v>50</v>
      </c>
      <c r="J264" s="6">
        <v>45764</v>
      </c>
      <c r="K264" s="4">
        <v>2388</v>
      </c>
      <c r="L264" s="4">
        <v>2388</v>
      </c>
      <c r="M264" s="4">
        <v>352</v>
      </c>
      <c r="N264">
        <f t="shared" si="25"/>
        <v>0.14740368509212731</v>
      </c>
    </row>
    <row r="265" spans="6:14">
      <c r="F265" s="4" t="s">
        <v>49</v>
      </c>
      <c r="G265" s="4">
        <v>11076</v>
      </c>
      <c r="H265" s="4" t="s">
        <v>54</v>
      </c>
      <c r="I265" s="4" t="s">
        <v>50</v>
      </c>
      <c r="J265" s="6">
        <v>45765</v>
      </c>
      <c r="K265" s="4">
        <v>2367</v>
      </c>
      <c r="L265" s="4">
        <v>2367</v>
      </c>
      <c r="M265" s="4">
        <v>395</v>
      </c>
      <c r="N265">
        <f t="shared" si="25"/>
        <v>0.16687790452049006</v>
      </c>
    </row>
    <row r="266" spans="6:14">
      <c r="F266" s="4" t="s">
        <v>49</v>
      </c>
      <c r="G266" s="4">
        <v>11076</v>
      </c>
      <c r="H266" s="4" t="s">
        <v>54</v>
      </c>
      <c r="I266" s="4" t="s">
        <v>50</v>
      </c>
      <c r="J266" s="6">
        <v>45766</v>
      </c>
      <c r="K266" s="4">
        <v>2876</v>
      </c>
      <c r="L266" s="4">
        <v>2876</v>
      </c>
      <c r="M266" s="4">
        <v>433</v>
      </c>
      <c r="N266">
        <f t="shared" si="25"/>
        <v>0.15055632823365786</v>
      </c>
    </row>
    <row r="267" spans="6:14">
      <c r="F267" s="4" t="s">
        <v>49</v>
      </c>
      <c r="G267" s="4">
        <v>11076</v>
      </c>
      <c r="H267" s="4" t="s">
        <v>54</v>
      </c>
      <c r="I267" s="4" t="s">
        <v>50</v>
      </c>
      <c r="J267" s="6">
        <v>45767</v>
      </c>
      <c r="K267" s="4">
        <v>3112</v>
      </c>
      <c r="L267" s="4">
        <v>3112</v>
      </c>
      <c r="M267" s="4">
        <v>559</v>
      </c>
      <c r="N267">
        <f t="shared" si="25"/>
        <v>0.17962724935732649</v>
      </c>
    </row>
    <row r="268" spans="6:14">
      <c r="F268" s="4" t="s">
        <v>49</v>
      </c>
      <c r="G268" s="4">
        <v>11076</v>
      </c>
      <c r="H268" s="4" t="s">
        <v>54</v>
      </c>
      <c r="I268" s="4" t="s">
        <v>51</v>
      </c>
      <c r="J268" s="6">
        <v>45750</v>
      </c>
      <c r="K268" s="4">
        <v>10</v>
      </c>
      <c r="L268" s="4">
        <v>10</v>
      </c>
      <c r="M268" s="4">
        <v>3</v>
      </c>
      <c r="N268">
        <f t="shared" si="25"/>
        <v>0.3</v>
      </c>
    </row>
    <row r="269" spans="6:14">
      <c r="F269" s="4" t="s">
        <v>49</v>
      </c>
      <c r="G269" s="4">
        <v>11076</v>
      </c>
      <c r="H269" s="4" t="s">
        <v>54</v>
      </c>
      <c r="I269" s="4" t="s">
        <v>51</v>
      </c>
      <c r="J269" s="6">
        <v>45751</v>
      </c>
      <c r="K269" s="4">
        <v>99</v>
      </c>
      <c r="L269" s="4">
        <v>99</v>
      </c>
      <c r="M269" s="4">
        <v>29</v>
      </c>
      <c r="N269">
        <f t="shared" si="25"/>
        <v>0.29292929292929293</v>
      </c>
    </row>
    <row r="270" spans="6:14">
      <c r="F270" s="4" t="s">
        <v>49</v>
      </c>
      <c r="G270" s="4">
        <v>11076</v>
      </c>
      <c r="H270" s="4" t="s">
        <v>54</v>
      </c>
      <c r="I270" s="4" t="s">
        <v>51</v>
      </c>
      <c r="J270" s="6">
        <v>45752</v>
      </c>
      <c r="K270" s="4">
        <v>329</v>
      </c>
      <c r="L270" s="4">
        <v>329</v>
      </c>
      <c r="M270" s="4">
        <v>99</v>
      </c>
      <c r="N270">
        <f t="shared" si="25"/>
        <v>0.30091185410334348</v>
      </c>
    </row>
    <row r="271" spans="6:14">
      <c r="F271" s="4" t="s">
        <v>49</v>
      </c>
      <c r="G271" s="4">
        <v>11076</v>
      </c>
      <c r="H271" s="4" t="s">
        <v>54</v>
      </c>
      <c r="I271" s="4" t="s">
        <v>51</v>
      </c>
      <c r="J271" s="6">
        <v>45753</v>
      </c>
      <c r="K271" s="4">
        <v>488</v>
      </c>
      <c r="L271" s="4">
        <v>488</v>
      </c>
      <c r="M271" s="4">
        <v>140</v>
      </c>
      <c r="N271">
        <f t="shared" si="25"/>
        <v>0.28688524590163933</v>
      </c>
    </row>
    <row r="272" spans="6:14">
      <c r="F272" s="4" t="s">
        <v>49</v>
      </c>
      <c r="G272" s="4">
        <v>11076</v>
      </c>
      <c r="H272" s="4" t="s">
        <v>54</v>
      </c>
      <c r="I272" s="4" t="s">
        <v>51</v>
      </c>
      <c r="J272" s="6">
        <v>45754</v>
      </c>
      <c r="K272" s="4">
        <v>776</v>
      </c>
      <c r="L272" s="4">
        <v>776</v>
      </c>
      <c r="M272" s="4">
        <v>195</v>
      </c>
      <c r="N272">
        <f t="shared" si="25"/>
        <v>0.25128865979381443</v>
      </c>
    </row>
    <row r="273" spans="6:14">
      <c r="F273" s="4" t="s">
        <v>49</v>
      </c>
      <c r="G273" s="4">
        <v>11076</v>
      </c>
      <c r="H273" s="4" t="s">
        <v>54</v>
      </c>
      <c r="I273" s="4" t="s">
        <v>51</v>
      </c>
      <c r="J273" s="6">
        <v>45755</v>
      </c>
      <c r="K273" s="4">
        <v>1124</v>
      </c>
      <c r="L273" s="4">
        <v>1124</v>
      </c>
      <c r="M273" s="4">
        <v>270</v>
      </c>
      <c r="N273">
        <f t="shared" si="25"/>
        <v>0.2402135231316726</v>
      </c>
    </row>
    <row r="274" spans="6:14">
      <c r="F274" s="4" t="s">
        <v>49</v>
      </c>
      <c r="G274" s="4">
        <v>11076</v>
      </c>
      <c r="H274" s="4" t="s">
        <v>54</v>
      </c>
      <c r="I274" s="4" t="s">
        <v>51</v>
      </c>
      <c r="J274" s="6">
        <v>45756</v>
      </c>
      <c r="K274" s="4">
        <v>1429</v>
      </c>
      <c r="L274" s="4">
        <v>1429</v>
      </c>
      <c r="M274" s="4">
        <v>372</v>
      </c>
      <c r="N274">
        <f t="shared" si="25"/>
        <v>0.26032190342897132</v>
      </c>
    </row>
    <row r="275" spans="6:14">
      <c r="F275" s="4" t="s">
        <v>49</v>
      </c>
      <c r="G275" s="4">
        <v>11076</v>
      </c>
      <c r="H275" s="4" t="s">
        <v>54</v>
      </c>
      <c r="I275" s="4" t="s">
        <v>51</v>
      </c>
      <c r="J275" s="6">
        <v>45757</v>
      </c>
      <c r="K275" s="4">
        <v>1588</v>
      </c>
      <c r="L275" s="4">
        <v>1588</v>
      </c>
      <c r="M275" s="4">
        <v>425</v>
      </c>
      <c r="N275">
        <f t="shared" si="25"/>
        <v>0.26763224181360201</v>
      </c>
    </row>
    <row r="276" spans="6:14">
      <c r="F276" s="4" t="s">
        <v>49</v>
      </c>
      <c r="G276" s="4">
        <v>11076</v>
      </c>
      <c r="H276" s="4" t="s">
        <v>54</v>
      </c>
      <c r="I276" s="4" t="s">
        <v>51</v>
      </c>
      <c r="J276" s="6">
        <v>45758</v>
      </c>
      <c r="K276" s="4">
        <v>1760</v>
      </c>
      <c r="L276" s="4">
        <v>1760</v>
      </c>
      <c r="M276" s="4">
        <v>462</v>
      </c>
      <c r="N276">
        <f t="shared" si="25"/>
        <v>0.26250000000000001</v>
      </c>
    </row>
    <row r="277" spans="6:14">
      <c r="F277" s="4" t="s">
        <v>49</v>
      </c>
      <c r="G277" s="4">
        <v>11076</v>
      </c>
      <c r="H277" s="4" t="s">
        <v>54</v>
      </c>
      <c r="I277" s="4" t="s">
        <v>51</v>
      </c>
      <c r="J277" s="6">
        <v>45759</v>
      </c>
      <c r="K277" s="4">
        <v>1834</v>
      </c>
      <c r="L277" s="4">
        <v>1834</v>
      </c>
      <c r="M277" s="4">
        <v>533</v>
      </c>
      <c r="N277">
        <f t="shared" si="25"/>
        <v>0.29062159214830968</v>
      </c>
    </row>
    <row r="278" spans="6:14">
      <c r="F278" s="4" t="s">
        <v>49</v>
      </c>
      <c r="G278" s="4">
        <v>11076</v>
      </c>
      <c r="H278" s="4" t="s">
        <v>54</v>
      </c>
      <c r="I278" s="4" t="s">
        <v>51</v>
      </c>
      <c r="J278" s="6">
        <v>45760</v>
      </c>
      <c r="K278" s="4">
        <v>2131</v>
      </c>
      <c r="L278" s="4">
        <v>2131</v>
      </c>
      <c r="M278" s="4">
        <v>608</v>
      </c>
      <c r="N278">
        <f t="shared" si="25"/>
        <v>0.28531206006569687</v>
      </c>
    </row>
    <row r="279" spans="6:14">
      <c r="F279" s="4" t="s">
        <v>49</v>
      </c>
      <c r="G279" s="4">
        <v>11076</v>
      </c>
      <c r="H279" s="4" t="s">
        <v>54</v>
      </c>
      <c r="I279" s="4" t="s">
        <v>51</v>
      </c>
      <c r="J279" s="6">
        <v>45761</v>
      </c>
      <c r="K279" s="4">
        <v>2335</v>
      </c>
      <c r="L279" s="4">
        <v>2335</v>
      </c>
      <c r="M279" s="4">
        <v>632</v>
      </c>
      <c r="N279">
        <f t="shared" si="25"/>
        <v>0.27066381156316915</v>
      </c>
    </row>
    <row r="280" spans="6:14">
      <c r="F280" s="4" t="s">
        <v>49</v>
      </c>
      <c r="G280" s="4">
        <v>11076</v>
      </c>
      <c r="H280" s="4" t="s">
        <v>54</v>
      </c>
      <c r="I280" s="4" t="s">
        <v>51</v>
      </c>
      <c r="J280" s="6">
        <v>45762</v>
      </c>
      <c r="K280" s="4">
        <v>2247</v>
      </c>
      <c r="L280" s="4">
        <v>2247</v>
      </c>
      <c r="M280" s="4">
        <v>631</v>
      </c>
      <c r="N280">
        <f t="shared" si="25"/>
        <v>0.28081886960391633</v>
      </c>
    </row>
    <row r="281" spans="6:14">
      <c r="F281" s="4" t="s">
        <v>49</v>
      </c>
      <c r="G281" s="4">
        <v>11076</v>
      </c>
      <c r="H281" s="4" t="s">
        <v>54</v>
      </c>
      <c r="I281" s="4" t="s">
        <v>51</v>
      </c>
      <c r="J281" s="6">
        <v>45763</v>
      </c>
      <c r="K281" s="4">
        <v>2326</v>
      </c>
      <c r="L281" s="4">
        <v>2326</v>
      </c>
      <c r="M281" s="4">
        <v>675</v>
      </c>
      <c r="N281">
        <f t="shared" si="25"/>
        <v>0.29019776440240758</v>
      </c>
    </row>
    <row r="282" spans="6:14">
      <c r="F282" s="4" t="s">
        <v>49</v>
      </c>
      <c r="G282" s="4">
        <v>11076</v>
      </c>
      <c r="H282" s="4" t="s">
        <v>54</v>
      </c>
      <c r="I282" s="4" t="s">
        <v>51</v>
      </c>
      <c r="J282" s="6">
        <v>45764</v>
      </c>
      <c r="K282" s="4">
        <v>2476</v>
      </c>
      <c r="L282" s="4">
        <v>2476</v>
      </c>
      <c r="M282" s="4">
        <v>677</v>
      </c>
      <c r="N282">
        <f t="shared" si="25"/>
        <v>0.27342487883683358</v>
      </c>
    </row>
    <row r="283" spans="6:14">
      <c r="F283" s="4" t="s">
        <v>49</v>
      </c>
      <c r="G283" s="4">
        <v>11076</v>
      </c>
      <c r="H283" s="4" t="s">
        <v>54</v>
      </c>
      <c r="I283" s="4" t="s">
        <v>51</v>
      </c>
      <c r="J283" s="6">
        <v>45765</v>
      </c>
      <c r="K283" s="4">
        <v>2566</v>
      </c>
      <c r="L283" s="4">
        <v>2566</v>
      </c>
      <c r="M283" s="4">
        <v>753</v>
      </c>
      <c r="N283">
        <f t="shared" si="25"/>
        <v>0.29345284489477785</v>
      </c>
    </row>
    <row r="284" spans="6:14">
      <c r="F284" s="4" t="s">
        <v>49</v>
      </c>
      <c r="G284" s="4">
        <v>11076</v>
      </c>
      <c r="H284" s="4" t="s">
        <v>54</v>
      </c>
      <c r="I284" s="4" t="s">
        <v>51</v>
      </c>
      <c r="J284" s="6">
        <v>45766</v>
      </c>
      <c r="K284" s="4">
        <v>2735</v>
      </c>
      <c r="L284" s="4">
        <v>2735</v>
      </c>
      <c r="M284" s="4">
        <v>813</v>
      </c>
      <c r="N284">
        <f t="shared" si="25"/>
        <v>0.29725776965265083</v>
      </c>
    </row>
    <row r="285" spans="6:14">
      <c r="F285" s="4" t="s">
        <v>49</v>
      </c>
      <c r="G285" s="4">
        <v>11076</v>
      </c>
      <c r="H285" s="4" t="s">
        <v>54</v>
      </c>
      <c r="I285" s="4" t="s">
        <v>51</v>
      </c>
      <c r="J285" s="6">
        <v>45767</v>
      </c>
      <c r="K285" s="4">
        <v>3075</v>
      </c>
      <c r="L285" s="4">
        <v>3075</v>
      </c>
      <c r="M285" s="4">
        <v>912</v>
      </c>
      <c r="N285">
        <f t="shared" si="25"/>
        <v>0.29658536585365852</v>
      </c>
    </row>
    <row r="286" spans="6:14">
      <c r="F286" s="4" t="s">
        <v>49</v>
      </c>
      <c r="G286" s="4">
        <v>11077</v>
      </c>
      <c r="H286" s="4"/>
      <c r="I286" s="4" t="s">
        <v>50</v>
      </c>
      <c r="J286" s="6">
        <v>45750</v>
      </c>
      <c r="K286" s="4">
        <v>2</v>
      </c>
      <c r="L286" s="4">
        <v>2</v>
      </c>
      <c r="M286" s="4">
        <v>1</v>
      </c>
      <c r="N286">
        <f t="shared" si="25"/>
        <v>0.5</v>
      </c>
    </row>
    <row r="287" spans="6:14">
      <c r="F287" s="4" t="s">
        <v>49</v>
      </c>
      <c r="G287" s="4">
        <v>11077</v>
      </c>
      <c r="H287" s="4"/>
      <c r="I287" s="4" t="s">
        <v>50</v>
      </c>
      <c r="J287" s="6">
        <v>45751</v>
      </c>
      <c r="K287" s="4">
        <v>3</v>
      </c>
      <c r="L287" s="4">
        <v>3</v>
      </c>
      <c r="M287" s="4">
        <v>1</v>
      </c>
      <c r="N287">
        <f t="shared" si="25"/>
        <v>0.33333333333333331</v>
      </c>
    </row>
    <row r="288" spans="6:14">
      <c r="F288" s="4" t="s">
        <v>49</v>
      </c>
      <c r="G288" s="4">
        <v>11077</v>
      </c>
      <c r="H288" s="4"/>
      <c r="I288" s="4" t="s">
        <v>50</v>
      </c>
      <c r="J288" s="6">
        <v>45752</v>
      </c>
      <c r="K288" s="4">
        <v>11</v>
      </c>
      <c r="L288" s="4">
        <v>11</v>
      </c>
      <c r="M288" s="4">
        <v>1</v>
      </c>
      <c r="N288">
        <f t="shared" si="25"/>
        <v>9.0909090909090912E-2</v>
      </c>
    </row>
    <row r="289" spans="6:14">
      <c r="F289" s="4" t="s">
        <v>49</v>
      </c>
      <c r="G289" s="4">
        <v>11077</v>
      </c>
      <c r="H289" s="4"/>
      <c r="I289" s="4" t="s">
        <v>50</v>
      </c>
      <c r="J289" s="6">
        <v>45753</v>
      </c>
      <c r="K289" s="4">
        <v>8</v>
      </c>
      <c r="L289" s="4">
        <v>8</v>
      </c>
      <c r="M289" s="4">
        <v>1</v>
      </c>
      <c r="N289">
        <f t="shared" si="25"/>
        <v>0.125</v>
      </c>
    </row>
    <row r="290" spans="6:14">
      <c r="F290" s="4" t="s">
        <v>49</v>
      </c>
      <c r="G290" s="4">
        <v>11077</v>
      </c>
      <c r="H290" s="4"/>
      <c r="I290" s="4" t="s">
        <v>50</v>
      </c>
      <c r="J290" s="6">
        <v>45754</v>
      </c>
      <c r="K290" s="4">
        <v>18</v>
      </c>
      <c r="L290" s="4">
        <v>18</v>
      </c>
      <c r="M290" s="4">
        <v>5</v>
      </c>
      <c r="N290">
        <f t="shared" si="25"/>
        <v>0.27777777777777779</v>
      </c>
    </row>
    <row r="291" spans="6:14">
      <c r="F291" s="4" t="s">
        <v>49</v>
      </c>
      <c r="G291" s="4">
        <v>11077</v>
      </c>
      <c r="H291" s="4"/>
      <c r="I291" s="4" t="s">
        <v>50</v>
      </c>
      <c r="J291" s="6">
        <v>45755</v>
      </c>
      <c r="K291" s="4">
        <v>22</v>
      </c>
      <c r="L291" s="4">
        <v>22</v>
      </c>
      <c r="M291" s="4">
        <v>8</v>
      </c>
      <c r="N291">
        <f t="shared" si="25"/>
        <v>0.36363636363636365</v>
      </c>
    </row>
    <row r="292" spans="6:14">
      <c r="F292" s="4" t="s">
        <v>49</v>
      </c>
      <c r="G292" s="4">
        <v>11077</v>
      </c>
      <c r="H292" s="4"/>
      <c r="I292" s="4" t="s">
        <v>50</v>
      </c>
      <c r="J292" s="6">
        <v>45756</v>
      </c>
      <c r="K292" s="4">
        <v>21</v>
      </c>
      <c r="L292" s="4">
        <v>21</v>
      </c>
      <c r="M292" s="4">
        <v>7</v>
      </c>
      <c r="N292">
        <f t="shared" si="25"/>
        <v>0.33333333333333331</v>
      </c>
    </row>
    <row r="293" spans="6:14">
      <c r="F293" s="4" t="s">
        <v>49</v>
      </c>
      <c r="G293" s="4">
        <v>11077</v>
      </c>
      <c r="H293" s="4"/>
      <c r="I293" s="4" t="s">
        <v>50</v>
      </c>
      <c r="J293" s="6">
        <v>45757</v>
      </c>
      <c r="K293" s="4">
        <v>18</v>
      </c>
      <c r="L293" s="4">
        <v>18</v>
      </c>
      <c r="M293" s="4">
        <v>4</v>
      </c>
      <c r="N293">
        <f t="shared" si="25"/>
        <v>0.22222222222222221</v>
      </c>
    </row>
    <row r="294" spans="6:14">
      <c r="F294" s="4" t="s">
        <v>49</v>
      </c>
      <c r="G294" s="4">
        <v>11077</v>
      </c>
      <c r="H294" s="4"/>
      <c r="I294" s="4" t="s">
        <v>50</v>
      </c>
      <c r="J294" s="6">
        <v>45758</v>
      </c>
      <c r="K294" s="4">
        <v>18</v>
      </c>
      <c r="L294" s="4">
        <v>18</v>
      </c>
      <c r="M294" s="4">
        <v>5</v>
      </c>
      <c r="N294">
        <f t="shared" si="25"/>
        <v>0.27777777777777779</v>
      </c>
    </row>
    <row r="295" spans="6:14">
      <c r="F295" s="4" t="s">
        <v>49</v>
      </c>
      <c r="G295" s="4">
        <v>11077</v>
      </c>
      <c r="H295" s="4"/>
      <c r="I295" s="4" t="s">
        <v>50</v>
      </c>
      <c r="J295" s="6">
        <v>45759</v>
      </c>
      <c r="K295" s="4">
        <v>33</v>
      </c>
      <c r="L295" s="4">
        <v>33</v>
      </c>
      <c r="M295" s="4">
        <v>12</v>
      </c>
      <c r="N295">
        <f t="shared" si="25"/>
        <v>0.36363636363636365</v>
      </c>
    </row>
    <row r="296" spans="6:14">
      <c r="F296" s="4" t="s">
        <v>49</v>
      </c>
      <c r="G296" s="4">
        <v>11077</v>
      </c>
      <c r="H296" s="4"/>
      <c r="I296" s="4" t="s">
        <v>50</v>
      </c>
      <c r="J296" s="6">
        <v>45760</v>
      </c>
      <c r="K296" s="4">
        <v>30</v>
      </c>
      <c r="L296" s="4">
        <v>30</v>
      </c>
      <c r="M296" s="4">
        <v>6</v>
      </c>
      <c r="N296">
        <f t="shared" si="25"/>
        <v>0.2</v>
      </c>
    </row>
    <row r="297" spans="6:14">
      <c r="F297" s="4" t="s">
        <v>49</v>
      </c>
      <c r="G297" s="4">
        <v>11077</v>
      </c>
      <c r="H297" s="4"/>
      <c r="I297" s="4" t="s">
        <v>50</v>
      </c>
      <c r="J297" s="6">
        <v>45761</v>
      </c>
      <c r="K297" s="4">
        <v>22</v>
      </c>
      <c r="L297" s="4">
        <v>22</v>
      </c>
      <c r="M297" s="4">
        <v>7</v>
      </c>
      <c r="N297">
        <f t="shared" si="25"/>
        <v>0.31818181818181818</v>
      </c>
    </row>
    <row r="298" spans="6:14">
      <c r="F298" s="4" t="s">
        <v>49</v>
      </c>
      <c r="G298" s="4">
        <v>11077</v>
      </c>
      <c r="H298" s="4"/>
      <c r="I298" s="4" t="s">
        <v>50</v>
      </c>
      <c r="J298" s="6">
        <v>45762</v>
      </c>
      <c r="K298" s="4">
        <v>27</v>
      </c>
      <c r="L298" s="4">
        <v>27</v>
      </c>
      <c r="M298" s="4">
        <v>8</v>
      </c>
      <c r="N298">
        <f t="shared" si="25"/>
        <v>0.29629629629629628</v>
      </c>
    </row>
    <row r="299" spans="6:14">
      <c r="F299" s="4" t="s">
        <v>49</v>
      </c>
      <c r="G299" s="4">
        <v>11077</v>
      </c>
      <c r="H299" s="4"/>
      <c r="I299" s="4" t="s">
        <v>50</v>
      </c>
      <c r="J299" s="6">
        <v>45763</v>
      </c>
      <c r="K299" s="4">
        <v>20</v>
      </c>
      <c r="L299" s="4">
        <v>20</v>
      </c>
      <c r="M299" s="4">
        <v>6</v>
      </c>
      <c r="N299">
        <f t="shared" si="25"/>
        <v>0.3</v>
      </c>
    </row>
    <row r="300" spans="6:14">
      <c r="F300" s="4" t="s">
        <v>49</v>
      </c>
      <c r="G300" s="4">
        <v>11077</v>
      </c>
      <c r="H300" s="4"/>
      <c r="I300" s="4" t="s">
        <v>50</v>
      </c>
      <c r="J300" s="6">
        <v>45764</v>
      </c>
      <c r="K300" s="4">
        <v>18</v>
      </c>
      <c r="L300" s="4">
        <v>18</v>
      </c>
      <c r="M300" s="4">
        <v>4</v>
      </c>
      <c r="N300">
        <f t="shared" si="25"/>
        <v>0.22222222222222221</v>
      </c>
    </row>
    <row r="301" spans="6:14">
      <c r="F301" s="4" t="s">
        <v>49</v>
      </c>
      <c r="G301" s="4">
        <v>11077</v>
      </c>
      <c r="H301" s="4"/>
      <c r="I301" s="4" t="s">
        <v>50</v>
      </c>
      <c r="J301" s="6">
        <v>45765</v>
      </c>
      <c r="K301" s="4">
        <v>36</v>
      </c>
      <c r="L301" s="4">
        <v>36</v>
      </c>
      <c r="M301" s="4">
        <v>8</v>
      </c>
      <c r="N301">
        <f t="shared" si="25"/>
        <v>0.22222222222222221</v>
      </c>
    </row>
    <row r="302" spans="6:14">
      <c r="F302" s="4" t="s">
        <v>49</v>
      </c>
      <c r="G302" s="4">
        <v>11077</v>
      </c>
      <c r="H302" s="4"/>
      <c r="I302" s="4" t="s">
        <v>50</v>
      </c>
      <c r="J302" s="6">
        <v>45766</v>
      </c>
      <c r="K302" s="4">
        <v>39</v>
      </c>
      <c r="L302" s="4">
        <v>39</v>
      </c>
      <c r="M302" s="4">
        <v>10</v>
      </c>
      <c r="N302">
        <f t="shared" si="25"/>
        <v>0.25641025641025639</v>
      </c>
    </row>
    <row r="303" spans="6:14">
      <c r="F303" s="4" t="s">
        <v>49</v>
      </c>
      <c r="G303" s="4">
        <v>11077</v>
      </c>
      <c r="H303" s="4"/>
      <c r="I303" s="4" t="s">
        <v>50</v>
      </c>
      <c r="J303" s="6">
        <v>45767</v>
      </c>
      <c r="K303" s="4">
        <v>24</v>
      </c>
      <c r="L303" s="4">
        <v>24</v>
      </c>
      <c r="M303" s="4">
        <v>7</v>
      </c>
      <c r="N303">
        <f t="shared" si="25"/>
        <v>0.29166666666666669</v>
      </c>
    </row>
    <row r="304" spans="6:14">
      <c r="F304" s="4" t="s">
        <v>49</v>
      </c>
      <c r="G304" s="4">
        <v>11077</v>
      </c>
      <c r="H304" s="4"/>
      <c r="I304" s="4" t="s">
        <v>51</v>
      </c>
      <c r="J304" s="6">
        <v>45751</v>
      </c>
      <c r="K304" s="4">
        <v>1</v>
      </c>
      <c r="L304" s="4">
        <v>1</v>
      </c>
      <c r="M304" s="4">
        <v>1</v>
      </c>
      <c r="N304">
        <f t="shared" si="25"/>
        <v>1</v>
      </c>
    </row>
    <row r="305" spans="6:14">
      <c r="F305" s="4" t="s">
        <v>49</v>
      </c>
      <c r="G305" s="4">
        <v>11077</v>
      </c>
      <c r="H305" s="4"/>
      <c r="I305" s="4" t="s">
        <v>51</v>
      </c>
      <c r="J305" s="6">
        <v>45752</v>
      </c>
      <c r="K305" s="4">
        <v>7</v>
      </c>
      <c r="L305" s="4">
        <v>7</v>
      </c>
      <c r="M305" s="4">
        <v>5</v>
      </c>
      <c r="N305">
        <f t="shared" si="25"/>
        <v>0.7142857142857143</v>
      </c>
    </row>
    <row r="306" spans="6:14">
      <c r="F306" s="4" t="s">
        <v>49</v>
      </c>
      <c r="G306" s="4">
        <v>11077</v>
      </c>
      <c r="H306" s="4"/>
      <c r="I306" s="4" t="s">
        <v>51</v>
      </c>
      <c r="J306" s="6">
        <v>45753</v>
      </c>
      <c r="K306" s="4">
        <v>8</v>
      </c>
      <c r="L306" s="4">
        <v>8</v>
      </c>
      <c r="M306" s="4">
        <v>1</v>
      </c>
      <c r="N306">
        <f t="shared" si="25"/>
        <v>0.125</v>
      </c>
    </row>
    <row r="307" spans="6:14">
      <c r="F307" s="4" t="s">
        <v>49</v>
      </c>
      <c r="G307" s="4">
        <v>11077</v>
      </c>
      <c r="H307" s="4"/>
      <c r="I307" s="4" t="s">
        <v>51</v>
      </c>
      <c r="J307" s="6">
        <v>45754</v>
      </c>
      <c r="K307" s="4">
        <v>13</v>
      </c>
      <c r="L307" s="4">
        <v>13</v>
      </c>
      <c r="M307" s="4">
        <v>3</v>
      </c>
      <c r="N307">
        <f t="shared" si="25"/>
        <v>0.23076923076923078</v>
      </c>
    </row>
    <row r="308" spans="6:14">
      <c r="F308" s="4" t="s">
        <v>49</v>
      </c>
      <c r="G308" s="4">
        <v>11077</v>
      </c>
      <c r="H308" s="4"/>
      <c r="I308" s="4" t="s">
        <v>51</v>
      </c>
      <c r="J308" s="6">
        <v>45755</v>
      </c>
      <c r="K308" s="4">
        <v>17</v>
      </c>
      <c r="L308" s="4">
        <v>17</v>
      </c>
      <c r="M308" s="4">
        <v>5</v>
      </c>
      <c r="N308">
        <f t="shared" si="25"/>
        <v>0.29411764705882354</v>
      </c>
    </row>
    <row r="309" spans="6:14">
      <c r="F309" s="4" t="s">
        <v>49</v>
      </c>
      <c r="G309" s="4">
        <v>11077</v>
      </c>
      <c r="H309" s="4"/>
      <c r="I309" s="4" t="s">
        <v>51</v>
      </c>
      <c r="J309" s="6">
        <v>45756</v>
      </c>
      <c r="K309" s="4">
        <v>29</v>
      </c>
      <c r="L309" s="4">
        <v>29</v>
      </c>
      <c r="M309" s="4">
        <v>7</v>
      </c>
      <c r="N309">
        <f t="shared" si="25"/>
        <v>0.2413793103448276</v>
      </c>
    </row>
    <row r="310" spans="6:14">
      <c r="F310" s="4" t="s">
        <v>49</v>
      </c>
      <c r="G310" s="4">
        <v>11077</v>
      </c>
      <c r="H310" s="4"/>
      <c r="I310" s="4" t="s">
        <v>51</v>
      </c>
      <c r="J310" s="6">
        <v>45757</v>
      </c>
      <c r="K310" s="4">
        <v>36</v>
      </c>
      <c r="L310" s="4">
        <v>36</v>
      </c>
      <c r="M310" s="4">
        <v>11</v>
      </c>
      <c r="N310">
        <f t="shared" si="25"/>
        <v>0.30555555555555558</v>
      </c>
    </row>
    <row r="311" spans="6:14">
      <c r="F311" s="4" t="s">
        <v>49</v>
      </c>
      <c r="G311" s="4">
        <v>11077</v>
      </c>
      <c r="H311" s="4"/>
      <c r="I311" s="4" t="s">
        <v>51</v>
      </c>
      <c r="J311" s="6">
        <v>45758</v>
      </c>
      <c r="K311" s="4">
        <v>36</v>
      </c>
      <c r="L311" s="4">
        <v>36</v>
      </c>
      <c r="M311" s="4">
        <v>11</v>
      </c>
      <c r="N311">
        <f t="shared" si="25"/>
        <v>0.30555555555555558</v>
      </c>
    </row>
    <row r="312" spans="6:14">
      <c r="F312" s="4" t="s">
        <v>49</v>
      </c>
      <c r="G312" s="4">
        <v>11077</v>
      </c>
      <c r="H312" s="4"/>
      <c r="I312" s="4" t="s">
        <v>51</v>
      </c>
      <c r="J312" s="6">
        <v>45759</v>
      </c>
      <c r="K312" s="4">
        <v>48</v>
      </c>
      <c r="L312" s="4">
        <v>48</v>
      </c>
      <c r="M312" s="4">
        <v>16</v>
      </c>
      <c r="N312">
        <f t="shared" si="25"/>
        <v>0.33333333333333331</v>
      </c>
    </row>
    <row r="313" spans="6:14">
      <c r="F313" s="4" t="s">
        <v>49</v>
      </c>
      <c r="G313" s="4">
        <v>11077</v>
      </c>
      <c r="H313" s="4"/>
      <c r="I313" s="4" t="s">
        <v>51</v>
      </c>
      <c r="J313" s="6">
        <v>45760</v>
      </c>
      <c r="K313" s="4">
        <v>45</v>
      </c>
      <c r="L313" s="4">
        <v>45</v>
      </c>
      <c r="M313" s="4">
        <v>13</v>
      </c>
      <c r="N313">
        <f t="shared" si="25"/>
        <v>0.28888888888888886</v>
      </c>
    </row>
    <row r="314" spans="6:14">
      <c r="F314" s="4" t="s">
        <v>49</v>
      </c>
      <c r="G314" s="4">
        <v>11077</v>
      </c>
      <c r="H314" s="4"/>
      <c r="I314" s="4" t="s">
        <v>51</v>
      </c>
      <c r="J314" s="6">
        <v>45761</v>
      </c>
      <c r="K314" s="4">
        <v>46</v>
      </c>
      <c r="L314" s="4">
        <v>46</v>
      </c>
      <c r="M314" s="4">
        <v>17</v>
      </c>
      <c r="N314">
        <f t="shared" si="25"/>
        <v>0.36956521739130432</v>
      </c>
    </row>
    <row r="315" spans="6:14">
      <c r="F315" s="4" t="s">
        <v>49</v>
      </c>
      <c r="G315" s="4">
        <v>11077</v>
      </c>
      <c r="H315" s="4"/>
      <c r="I315" s="4" t="s">
        <v>51</v>
      </c>
      <c r="J315" s="6">
        <v>45762</v>
      </c>
      <c r="K315" s="4">
        <v>64</v>
      </c>
      <c r="L315" s="4">
        <v>64</v>
      </c>
      <c r="M315" s="4">
        <v>23</v>
      </c>
      <c r="N315">
        <f t="shared" si="25"/>
        <v>0.359375</v>
      </c>
    </row>
    <row r="316" spans="6:14">
      <c r="F316" s="4" t="s">
        <v>49</v>
      </c>
      <c r="G316" s="4">
        <v>11077</v>
      </c>
      <c r="H316" s="4"/>
      <c r="I316" s="4" t="s">
        <v>51</v>
      </c>
      <c r="J316" s="6">
        <v>45763</v>
      </c>
      <c r="K316" s="4">
        <v>63</v>
      </c>
      <c r="L316" s="4">
        <v>63</v>
      </c>
      <c r="M316" s="4">
        <v>16</v>
      </c>
      <c r="N316">
        <f t="shared" si="25"/>
        <v>0.25396825396825395</v>
      </c>
    </row>
    <row r="317" spans="6:14">
      <c r="F317" s="4" t="s">
        <v>49</v>
      </c>
      <c r="G317" s="4">
        <v>11077</v>
      </c>
      <c r="H317" s="4"/>
      <c r="I317" s="4" t="s">
        <v>51</v>
      </c>
      <c r="J317" s="6">
        <v>45764</v>
      </c>
      <c r="K317" s="4">
        <v>62</v>
      </c>
      <c r="L317" s="4">
        <v>62</v>
      </c>
      <c r="M317" s="4">
        <v>12</v>
      </c>
      <c r="N317">
        <f t="shared" si="25"/>
        <v>0.19354838709677419</v>
      </c>
    </row>
    <row r="318" spans="6:14">
      <c r="F318" s="4" t="s">
        <v>49</v>
      </c>
      <c r="G318" s="4">
        <v>11077</v>
      </c>
      <c r="H318" s="4"/>
      <c r="I318" s="4" t="s">
        <v>51</v>
      </c>
      <c r="J318" s="6">
        <v>45765</v>
      </c>
      <c r="K318" s="4">
        <v>57</v>
      </c>
      <c r="L318" s="4">
        <v>57</v>
      </c>
      <c r="M318" s="4">
        <v>22</v>
      </c>
      <c r="N318">
        <f t="shared" si="25"/>
        <v>0.38596491228070173</v>
      </c>
    </row>
    <row r="319" spans="6:14">
      <c r="F319" s="4" t="s">
        <v>49</v>
      </c>
      <c r="G319" s="4">
        <v>11077</v>
      </c>
      <c r="H319" s="4"/>
      <c r="I319" s="4" t="s">
        <v>51</v>
      </c>
      <c r="J319" s="6">
        <v>45766</v>
      </c>
      <c r="K319" s="4">
        <v>79</v>
      </c>
      <c r="L319" s="4">
        <v>79</v>
      </c>
      <c r="M319" s="4">
        <v>27</v>
      </c>
      <c r="N319">
        <f t="shared" si="25"/>
        <v>0.34177215189873417</v>
      </c>
    </row>
    <row r="320" spans="6:14">
      <c r="F320" s="4" t="s">
        <v>49</v>
      </c>
      <c r="G320" s="4">
        <v>11077</v>
      </c>
      <c r="H320" s="4"/>
      <c r="I320" s="4" t="s">
        <v>51</v>
      </c>
      <c r="J320" s="6">
        <v>45767</v>
      </c>
      <c r="K320" s="4">
        <v>80</v>
      </c>
      <c r="L320" s="4">
        <v>80</v>
      </c>
      <c r="M320" s="4">
        <v>27</v>
      </c>
      <c r="N320">
        <f t="shared" si="25"/>
        <v>0.33750000000000002</v>
      </c>
    </row>
    <row r="321" spans="6:14">
      <c r="F321" s="4" t="s">
        <v>49</v>
      </c>
      <c r="G321" s="4">
        <v>11077</v>
      </c>
      <c r="H321" s="4" t="s">
        <v>52</v>
      </c>
      <c r="I321" s="4" t="s">
        <v>50</v>
      </c>
      <c r="J321" s="6">
        <v>45750</v>
      </c>
      <c r="K321" s="4">
        <v>9</v>
      </c>
      <c r="L321" s="4">
        <v>9</v>
      </c>
      <c r="M321" s="4">
        <v>1</v>
      </c>
      <c r="N321">
        <f t="shared" si="25"/>
        <v>0.1111111111111111</v>
      </c>
    </row>
    <row r="322" spans="6:14">
      <c r="F322" s="4" t="s">
        <v>49</v>
      </c>
      <c r="G322" s="4">
        <v>11077</v>
      </c>
      <c r="H322" s="4" t="s">
        <v>52</v>
      </c>
      <c r="I322" s="4" t="s">
        <v>50</v>
      </c>
      <c r="J322" s="6">
        <v>45751</v>
      </c>
      <c r="K322" s="4">
        <v>28</v>
      </c>
      <c r="L322" s="4">
        <v>28</v>
      </c>
      <c r="M322" s="4">
        <v>2</v>
      </c>
      <c r="N322">
        <f t="shared" si="25"/>
        <v>7.1428571428571425E-2</v>
      </c>
    </row>
    <row r="323" spans="6:14">
      <c r="F323" s="4" t="s">
        <v>49</v>
      </c>
      <c r="G323" s="4">
        <v>11077</v>
      </c>
      <c r="H323" s="4" t="s">
        <v>52</v>
      </c>
      <c r="I323" s="4" t="s">
        <v>50</v>
      </c>
      <c r="J323" s="6">
        <v>45752</v>
      </c>
      <c r="K323" s="4">
        <v>58</v>
      </c>
      <c r="L323" s="4">
        <v>58</v>
      </c>
      <c r="M323" s="4">
        <v>10</v>
      </c>
      <c r="N323">
        <f t="shared" ref="N323:N386" si="26">M323/L323</f>
        <v>0.17241379310344829</v>
      </c>
    </row>
    <row r="324" spans="6:14">
      <c r="F324" s="4" t="s">
        <v>49</v>
      </c>
      <c r="G324" s="4">
        <v>11077</v>
      </c>
      <c r="H324" s="4" t="s">
        <v>52</v>
      </c>
      <c r="I324" s="4" t="s">
        <v>50</v>
      </c>
      <c r="J324" s="6">
        <v>45753</v>
      </c>
      <c r="K324" s="4">
        <v>83</v>
      </c>
      <c r="L324" s="4">
        <v>83</v>
      </c>
      <c r="M324" s="4">
        <v>21</v>
      </c>
      <c r="N324">
        <f t="shared" si="26"/>
        <v>0.25301204819277107</v>
      </c>
    </row>
    <row r="325" spans="6:14">
      <c r="F325" s="4" t="s">
        <v>49</v>
      </c>
      <c r="G325" s="4">
        <v>11077</v>
      </c>
      <c r="H325" s="4" t="s">
        <v>52</v>
      </c>
      <c r="I325" s="4" t="s">
        <v>50</v>
      </c>
      <c r="J325" s="6">
        <v>45754</v>
      </c>
      <c r="K325" s="4">
        <v>157</v>
      </c>
      <c r="L325" s="4">
        <v>157</v>
      </c>
      <c r="M325" s="4">
        <v>25</v>
      </c>
      <c r="N325">
        <f t="shared" si="26"/>
        <v>0.15923566878980891</v>
      </c>
    </row>
    <row r="326" spans="6:14">
      <c r="F326" s="4" t="s">
        <v>49</v>
      </c>
      <c r="G326" s="4">
        <v>11077</v>
      </c>
      <c r="H326" s="4" t="s">
        <v>52</v>
      </c>
      <c r="I326" s="4" t="s">
        <v>50</v>
      </c>
      <c r="J326" s="6">
        <v>45755</v>
      </c>
      <c r="K326" s="4">
        <v>216</v>
      </c>
      <c r="L326" s="4">
        <v>216</v>
      </c>
      <c r="M326" s="4">
        <v>35</v>
      </c>
      <c r="N326">
        <f t="shared" si="26"/>
        <v>0.16203703703703703</v>
      </c>
    </row>
    <row r="327" spans="6:14">
      <c r="F327" s="4" t="s">
        <v>49</v>
      </c>
      <c r="G327" s="4">
        <v>11077</v>
      </c>
      <c r="H327" s="4" t="s">
        <v>52</v>
      </c>
      <c r="I327" s="4" t="s">
        <v>50</v>
      </c>
      <c r="J327" s="6">
        <v>45756</v>
      </c>
      <c r="K327" s="4">
        <v>199</v>
      </c>
      <c r="L327" s="4">
        <v>199</v>
      </c>
      <c r="M327" s="4">
        <v>30</v>
      </c>
      <c r="N327">
        <f t="shared" si="26"/>
        <v>0.15075376884422109</v>
      </c>
    </row>
    <row r="328" spans="6:14">
      <c r="F328" s="4" t="s">
        <v>49</v>
      </c>
      <c r="G328" s="4">
        <v>11077</v>
      </c>
      <c r="H328" s="4" t="s">
        <v>52</v>
      </c>
      <c r="I328" s="4" t="s">
        <v>50</v>
      </c>
      <c r="J328" s="6">
        <v>45757</v>
      </c>
      <c r="K328" s="4">
        <v>211</v>
      </c>
      <c r="L328" s="4">
        <v>211</v>
      </c>
      <c r="M328" s="4">
        <v>32</v>
      </c>
      <c r="N328">
        <f t="shared" si="26"/>
        <v>0.15165876777251186</v>
      </c>
    </row>
    <row r="329" spans="6:14">
      <c r="F329" s="4" t="s">
        <v>49</v>
      </c>
      <c r="G329" s="4">
        <v>11077</v>
      </c>
      <c r="H329" s="4" t="s">
        <v>52</v>
      </c>
      <c r="I329" s="4" t="s">
        <v>50</v>
      </c>
      <c r="J329" s="6">
        <v>45758</v>
      </c>
      <c r="K329" s="4">
        <v>208</v>
      </c>
      <c r="L329" s="4">
        <v>208</v>
      </c>
      <c r="M329" s="4">
        <v>42</v>
      </c>
      <c r="N329">
        <f t="shared" si="26"/>
        <v>0.20192307692307693</v>
      </c>
    </row>
    <row r="330" spans="6:14">
      <c r="F330" s="4" t="s">
        <v>49</v>
      </c>
      <c r="G330" s="4">
        <v>11077</v>
      </c>
      <c r="H330" s="4" t="s">
        <v>52</v>
      </c>
      <c r="I330" s="4" t="s">
        <v>50</v>
      </c>
      <c r="J330" s="6">
        <v>45759</v>
      </c>
      <c r="K330" s="4">
        <v>202</v>
      </c>
      <c r="L330" s="4">
        <v>202</v>
      </c>
      <c r="M330" s="4">
        <v>36</v>
      </c>
      <c r="N330">
        <f t="shared" si="26"/>
        <v>0.17821782178217821</v>
      </c>
    </row>
    <row r="331" spans="6:14">
      <c r="F331" s="4" t="s">
        <v>49</v>
      </c>
      <c r="G331" s="4">
        <v>11077</v>
      </c>
      <c r="H331" s="4" t="s">
        <v>52</v>
      </c>
      <c r="I331" s="4" t="s">
        <v>50</v>
      </c>
      <c r="J331" s="6">
        <v>45760</v>
      </c>
      <c r="K331" s="4">
        <v>279</v>
      </c>
      <c r="L331" s="4">
        <v>279</v>
      </c>
      <c r="M331" s="4">
        <v>52</v>
      </c>
      <c r="N331">
        <f t="shared" si="26"/>
        <v>0.1863799283154122</v>
      </c>
    </row>
    <row r="332" spans="6:14">
      <c r="F332" s="4" t="s">
        <v>49</v>
      </c>
      <c r="G332" s="4">
        <v>11077</v>
      </c>
      <c r="H332" s="4" t="s">
        <v>52</v>
      </c>
      <c r="I332" s="4" t="s">
        <v>50</v>
      </c>
      <c r="J332" s="6">
        <v>45761</v>
      </c>
      <c r="K332" s="4">
        <v>218</v>
      </c>
      <c r="L332" s="4">
        <v>218</v>
      </c>
      <c r="M332" s="4">
        <v>35</v>
      </c>
      <c r="N332">
        <f t="shared" si="26"/>
        <v>0.16055045871559634</v>
      </c>
    </row>
    <row r="333" spans="6:14">
      <c r="F333" s="4" t="s">
        <v>49</v>
      </c>
      <c r="G333" s="4">
        <v>11077</v>
      </c>
      <c r="H333" s="4" t="s">
        <v>52</v>
      </c>
      <c r="I333" s="4" t="s">
        <v>50</v>
      </c>
      <c r="J333" s="6">
        <v>45762</v>
      </c>
      <c r="K333" s="4">
        <v>204</v>
      </c>
      <c r="L333" s="4">
        <v>204</v>
      </c>
      <c r="M333" s="4">
        <v>32</v>
      </c>
      <c r="N333">
        <f t="shared" si="26"/>
        <v>0.15686274509803921</v>
      </c>
    </row>
    <row r="334" spans="6:14">
      <c r="F334" s="4" t="s">
        <v>49</v>
      </c>
      <c r="G334" s="4">
        <v>11077</v>
      </c>
      <c r="H334" s="4" t="s">
        <v>52</v>
      </c>
      <c r="I334" s="4" t="s">
        <v>50</v>
      </c>
      <c r="J334" s="6">
        <v>45763</v>
      </c>
      <c r="K334" s="4">
        <v>205</v>
      </c>
      <c r="L334" s="4">
        <v>205</v>
      </c>
      <c r="M334" s="4">
        <v>35</v>
      </c>
      <c r="N334">
        <f t="shared" si="26"/>
        <v>0.17073170731707318</v>
      </c>
    </row>
    <row r="335" spans="6:14">
      <c r="F335" s="4" t="s">
        <v>49</v>
      </c>
      <c r="G335" s="4">
        <v>11077</v>
      </c>
      <c r="H335" s="4" t="s">
        <v>52</v>
      </c>
      <c r="I335" s="4" t="s">
        <v>50</v>
      </c>
      <c r="J335" s="6">
        <v>45764</v>
      </c>
      <c r="K335" s="4">
        <v>217</v>
      </c>
      <c r="L335" s="4">
        <v>217</v>
      </c>
      <c r="M335" s="4">
        <v>33</v>
      </c>
      <c r="N335">
        <f t="shared" si="26"/>
        <v>0.15207373271889402</v>
      </c>
    </row>
    <row r="336" spans="6:14">
      <c r="F336" s="4" t="s">
        <v>49</v>
      </c>
      <c r="G336" s="4">
        <v>11077</v>
      </c>
      <c r="H336" s="4" t="s">
        <v>52</v>
      </c>
      <c r="I336" s="4" t="s">
        <v>50</v>
      </c>
      <c r="J336" s="6">
        <v>45765</v>
      </c>
      <c r="K336" s="4">
        <v>216</v>
      </c>
      <c r="L336" s="4">
        <v>216</v>
      </c>
      <c r="M336" s="4">
        <v>48</v>
      </c>
      <c r="N336">
        <f t="shared" si="26"/>
        <v>0.22222222222222221</v>
      </c>
    </row>
    <row r="337" spans="6:14">
      <c r="F337" s="4" t="s">
        <v>49</v>
      </c>
      <c r="G337" s="4">
        <v>11077</v>
      </c>
      <c r="H337" s="4" t="s">
        <v>52</v>
      </c>
      <c r="I337" s="4" t="s">
        <v>50</v>
      </c>
      <c r="J337" s="6">
        <v>45766</v>
      </c>
      <c r="K337" s="4">
        <v>218</v>
      </c>
      <c r="L337" s="4">
        <v>218</v>
      </c>
      <c r="M337" s="4">
        <v>44</v>
      </c>
      <c r="N337">
        <f t="shared" si="26"/>
        <v>0.20183486238532111</v>
      </c>
    </row>
    <row r="338" spans="6:14">
      <c r="F338" s="4" t="s">
        <v>49</v>
      </c>
      <c r="G338" s="4">
        <v>11077</v>
      </c>
      <c r="H338" s="4" t="s">
        <v>52</v>
      </c>
      <c r="I338" s="4" t="s">
        <v>50</v>
      </c>
      <c r="J338" s="6">
        <v>45767</v>
      </c>
      <c r="K338" s="4">
        <v>282</v>
      </c>
      <c r="L338" s="4">
        <v>282</v>
      </c>
      <c r="M338" s="4">
        <v>44</v>
      </c>
      <c r="N338">
        <f t="shared" si="26"/>
        <v>0.15602836879432624</v>
      </c>
    </row>
    <row r="339" spans="6:14">
      <c r="F339" s="4" t="s">
        <v>49</v>
      </c>
      <c r="G339" s="4">
        <v>11077</v>
      </c>
      <c r="H339" s="4" t="s">
        <v>52</v>
      </c>
      <c r="I339" s="4" t="s">
        <v>51</v>
      </c>
      <c r="J339" s="6">
        <v>45751</v>
      </c>
      <c r="K339" s="4">
        <v>12</v>
      </c>
      <c r="L339" s="4">
        <v>12</v>
      </c>
      <c r="M339" s="4">
        <v>3</v>
      </c>
      <c r="N339">
        <f t="shared" si="26"/>
        <v>0.25</v>
      </c>
    </row>
    <row r="340" spans="6:14">
      <c r="F340" s="4" t="s">
        <v>49</v>
      </c>
      <c r="G340" s="4">
        <v>11077</v>
      </c>
      <c r="H340" s="4" t="s">
        <v>52</v>
      </c>
      <c r="I340" s="4" t="s">
        <v>51</v>
      </c>
      <c r="J340" s="6">
        <v>45752</v>
      </c>
      <c r="K340" s="4">
        <v>28</v>
      </c>
      <c r="L340" s="4">
        <v>28</v>
      </c>
      <c r="M340" s="4">
        <v>6</v>
      </c>
      <c r="N340">
        <f t="shared" si="26"/>
        <v>0.21428571428571427</v>
      </c>
    </row>
    <row r="341" spans="6:14">
      <c r="F341" s="4" t="s">
        <v>49</v>
      </c>
      <c r="G341" s="4">
        <v>11077</v>
      </c>
      <c r="H341" s="4" t="s">
        <v>52</v>
      </c>
      <c r="I341" s="4" t="s">
        <v>51</v>
      </c>
      <c r="J341" s="6">
        <v>45753</v>
      </c>
      <c r="K341" s="4">
        <v>42</v>
      </c>
      <c r="L341" s="4">
        <v>42</v>
      </c>
      <c r="M341" s="4">
        <v>11</v>
      </c>
      <c r="N341">
        <f t="shared" si="26"/>
        <v>0.26190476190476192</v>
      </c>
    </row>
    <row r="342" spans="6:14">
      <c r="F342" s="4" t="s">
        <v>49</v>
      </c>
      <c r="G342" s="4">
        <v>11077</v>
      </c>
      <c r="H342" s="4" t="s">
        <v>52</v>
      </c>
      <c r="I342" s="4" t="s">
        <v>51</v>
      </c>
      <c r="J342" s="6">
        <v>45754</v>
      </c>
      <c r="K342" s="4">
        <v>66</v>
      </c>
      <c r="L342" s="4">
        <v>66</v>
      </c>
      <c r="M342" s="4">
        <v>16</v>
      </c>
      <c r="N342">
        <f t="shared" si="26"/>
        <v>0.24242424242424243</v>
      </c>
    </row>
    <row r="343" spans="6:14">
      <c r="F343" s="4" t="s">
        <v>49</v>
      </c>
      <c r="G343" s="4">
        <v>11077</v>
      </c>
      <c r="H343" s="4" t="s">
        <v>52</v>
      </c>
      <c r="I343" s="4" t="s">
        <v>51</v>
      </c>
      <c r="J343" s="6">
        <v>45755</v>
      </c>
      <c r="K343" s="4">
        <v>110</v>
      </c>
      <c r="L343" s="4">
        <v>110</v>
      </c>
      <c r="M343" s="4">
        <v>27</v>
      </c>
      <c r="N343">
        <f t="shared" si="26"/>
        <v>0.24545454545454545</v>
      </c>
    </row>
    <row r="344" spans="6:14">
      <c r="F344" s="4" t="s">
        <v>49</v>
      </c>
      <c r="G344" s="4">
        <v>11077</v>
      </c>
      <c r="H344" s="4" t="s">
        <v>52</v>
      </c>
      <c r="I344" s="4" t="s">
        <v>51</v>
      </c>
      <c r="J344" s="6">
        <v>45756</v>
      </c>
      <c r="K344" s="4">
        <v>154</v>
      </c>
      <c r="L344" s="4">
        <v>154</v>
      </c>
      <c r="M344" s="4">
        <v>35</v>
      </c>
      <c r="N344">
        <f t="shared" si="26"/>
        <v>0.22727272727272727</v>
      </c>
    </row>
    <row r="345" spans="6:14">
      <c r="F345" s="4" t="s">
        <v>49</v>
      </c>
      <c r="G345" s="4">
        <v>11077</v>
      </c>
      <c r="H345" s="4" t="s">
        <v>52</v>
      </c>
      <c r="I345" s="4" t="s">
        <v>51</v>
      </c>
      <c r="J345" s="6">
        <v>45757</v>
      </c>
      <c r="K345" s="4">
        <v>167</v>
      </c>
      <c r="L345" s="4">
        <v>167</v>
      </c>
      <c r="M345" s="4">
        <v>38</v>
      </c>
      <c r="N345">
        <f t="shared" si="26"/>
        <v>0.22754491017964071</v>
      </c>
    </row>
    <row r="346" spans="6:14">
      <c r="F346" s="4" t="s">
        <v>49</v>
      </c>
      <c r="G346" s="4">
        <v>11077</v>
      </c>
      <c r="H346" s="4" t="s">
        <v>52</v>
      </c>
      <c r="I346" s="4" t="s">
        <v>51</v>
      </c>
      <c r="J346" s="6">
        <v>45758</v>
      </c>
      <c r="K346" s="4">
        <v>188</v>
      </c>
      <c r="L346" s="4">
        <v>188</v>
      </c>
      <c r="M346" s="4">
        <v>57</v>
      </c>
      <c r="N346">
        <f t="shared" si="26"/>
        <v>0.30319148936170215</v>
      </c>
    </row>
    <row r="347" spans="6:14">
      <c r="F347" s="4" t="s">
        <v>49</v>
      </c>
      <c r="G347" s="4">
        <v>11077</v>
      </c>
      <c r="H347" s="4" t="s">
        <v>52</v>
      </c>
      <c r="I347" s="4" t="s">
        <v>51</v>
      </c>
      <c r="J347" s="6">
        <v>45759</v>
      </c>
      <c r="K347" s="4">
        <v>226</v>
      </c>
      <c r="L347" s="4">
        <v>226</v>
      </c>
      <c r="M347" s="4">
        <v>61</v>
      </c>
      <c r="N347">
        <f t="shared" si="26"/>
        <v>0.26991150442477874</v>
      </c>
    </row>
    <row r="348" spans="6:14">
      <c r="F348" s="4" t="s">
        <v>49</v>
      </c>
      <c r="G348" s="4">
        <v>11077</v>
      </c>
      <c r="H348" s="4" t="s">
        <v>52</v>
      </c>
      <c r="I348" s="4" t="s">
        <v>51</v>
      </c>
      <c r="J348" s="6">
        <v>45760</v>
      </c>
      <c r="K348" s="4">
        <v>258</v>
      </c>
      <c r="L348" s="4">
        <v>258</v>
      </c>
      <c r="M348" s="4">
        <v>58</v>
      </c>
      <c r="N348">
        <f t="shared" si="26"/>
        <v>0.22480620155038761</v>
      </c>
    </row>
    <row r="349" spans="6:14">
      <c r="F349" s="4" t="s">
        <v>49</v>
      </c>
      <c r="G349" s="4">
        <v>11077</v>
      </c>
      <c r="H349" s="4" t="s">
        <v>52</v>
      </c>
      <c r="I349" s="4" t="s">
        <v>51</v>
      </c>
      <c r="J349" s="6">
        <v>45761</v>
      </c>
      <c r="K349" s="4">
        <v>268</v>
      </c>
      <c r="L349" s="4">
        <v>268</v>
      </c>
      <c r="M349" s="4">
        <v>72</v>
      </c>
      <c r="N349">
        <f t="shared" si="26"/>
        <v>0.26865671641791045</v>
      </c>
    </row>
    <row r="350" spans="6:14">
      <c r="F350" s="4" t="s">
        <v>49</v>
      </c>
      <c r="G350" s="4">
        <v>11077</v>
      </c>
      <c r="H350" s="4" t="s">
        <v>52</v>
      </c>
      <c r="I350" s="4" t="s">
        <v>51</v>
      </c>
      <c r="J350" s="6">
        <v>45762</v>
      </c>
      <c r="K350" s="4">
        <v>279</v>
      </c>
      <c r="L350" s="4">
        <v>279</v>
      </c>
      <c r="M350" s="4">
        <v>56</v>
      </c>
      <c r="N350">
        <f t="shared" si="26"/>
        <v>0.20071684587813621</v>
      </c>
    </row>
    <row r="351" spans="6:14">
      <c r="F351" s="4" t="s">
        <v>49</v>
      </c>
      <c r="G351" s="4">
        <v>11077</v>
      </c>
      <c r="H351" s="4" t="s">
        <v>52</v>
      </c>
      <c r="I351" s="4" t="s">
        <v>51</v>
      </c>
      <c r="J351" s="6">
        <v>45763</v>
      </c>
      <c r="K351" s="4">
        <v>226</v>
      </c>
      <c r="L351" s="4">
        <v>226</v>
      </c>
      <c r="M351" s="4">
        <v>72</v>
      </c>
      <c r="N351">
        <f t="shared" si="26"/>
        <v>0.31858407079646017</v>
      </c>
    </row>
    <row r="352" spans="6:14">
      <c r="F352" s="4" t="s">
        <v>49</v>
      </c>
      <c r="G352" s="4">
        <v>11077</v>
      </c>
      <c r="H352" s="4" t="s">
        <v>52</v>
      </c>
      <c r="I352" s="4" t="s">
        <v>51</v>
      </c>
      <c r="J352" s="6">
        <v>45764</v>
      </c>
      <c r="K352" s="4">
        <v>269</v>
      </c>
      <c r="L352" s="4">
        <v>269</v>
      </c>
      <c r="M352" s="4">
        <v>84</v>
      </c>
      <c r="N352">
        <f t="shared" si="26"/>
        <v>0.31226765799256506</v>
      </c>
    </row>
    <row r="353" spans="6:14">
      <c r="F353" s="4" t="s">
        <v>49</v>
      </c>
      <c r="G353" s="4">
        <v>11077</v>
      </c>
      <c r="H353" s="4" t="s">
        <v>52</v>
      </c>
      <c r="I353" s="4" t="s">
        <v>51</v>
      </c>
      <c r="J353" s="6">
        <v>45765</v>
      </c>
      <c r="K353" s="4">
        <v>286</v>
      </c>
      <c r="L353" s="4">
        <v>286</v>
      </c>
      <c r="M353" s="4">
        <v>81</v>
      </c>
      <c r="N353">
        <f t="shared" si="26"/>
        <v>0.28321678321678323</v>
      </c>
    </row>
    <row r="354" spans="6:14">
      <c r="F354" s="4" t="s">
        <v>49</v>
      </c>
      <c r="G354" s="4">
        <v>11077</v>
      </c>
      <c r="H354" s="4" t="s">
        <v>52</v>
      </c>
      <c r="I354" s="4" t="s">
        <v>51</v>
      </c>
      <c r="J354" s="6">
        <v>45766</v>
      </c>
      <c r="K354" s="4">
        <v>308</v>
      </c>
      <c r="L354" s="4">
        <v>308</v>
      </c>
      <c r="M354" s="4">
        <v>89</v>
      </c>
      <c r="N354">
        <f t="shared" si="26"/>
        <v>0.28896103896103897</v>
      </c>
    </row>
    <row r="355" spans="6:14">
      <c r="F355" s="4" t="s">
        <v>49</v>
      </c>
      <c r="G355" s="4">
        <v>11077</v>
      </c>
      <c r="H355" s="4" t="s">
        <v>52</v>
      </c>
      <c r="I355" s="4" t="s">
        <v>51</v>
      </c>
      <c r="J355" s="6">
        <v>45767</v>
      </c>
      <c r="K355" s="4">
        <v>379</v>
      </c>
      <c r="L355" s="4">
        <v>379</v>
      </c>
      <c r="M355" s="4">
        <v>100</v>
      </c>
      <c r="N355">
        <f t="shared" si="26"/>
        <v>0.26385224274406333</v>
      </c>
    </row>
    <row r="356" spans="6:14">
      <c r="F356" s="4" t="s">
        <v>49</v>
      </c>
      <c r="G356" s="4">
        <v>11077</v>
      </c>
      <c r="H356" s="4" t="s">
        <v>53</v>
      </c>
      <c r="I356" s="4" t="s">
        <v>50</v>
      </c>
      <c r="J356" s="6">
        <v>45750</v>
      </c>
      <c r="K356" s="4">
        <v>18</v>
      </c>
      <c r="L356" s="4">
        <v>18</v>
      </c>
      <c r="M356" s="4">
        <v>2</v>
      </c>
      <c r="N356">
        <f t="shared" si="26"/>
        <v>0.1111111111111111</v>
      </c>
    </row>
    <row r="357" spans="6:14">
      <c r="F357" s="4" t="s">
        <v>49</v>
      </c>
      <c r="G357" s="4">
        <v>11077</v>
      </c>
      <c r="H357" s="4" t="s">
        <v>53</v>
      </c>
      <c r="I357" s="4" t="s">
        <v>50</v>
      </c>
      <c r="J357" s="6">
        <v>45751</v>
      </c>
      <c r="K357" s="4">
        <v>148</v>
      </c>
      <c r="L357" s="4">
        <v>148</v>
      </c>
      <c r="M357" s="4">
        <v>16</v>
      </c>
      <c r="N357">
        <f t="shared" si="26"/>
        <v>0.10810810810810811</v>
      </c>
    </row>
    <row r="358" spans="6:14">
      <c r="F358" s="4" t="s">
        <v>49</v>
      </c>
      <c r="G358" s="4">
        <v>11077</v>
      </c>
      <c r="H358" s="4" t="s">
        <v>53</v>
      </c>
      <c r="I358" s="4" t="s">
        <v>50</v>
      </c>
      <c r="J358" s="6">
        <v>45752</v>
      </c>
      <c r="K358" s="4">
        <v>239</v>
      </c>
      <c r="L358" s="4">
        <v>239</v>
      </c>
      <c r="M358" s="4">
        <v>28</v>
      </c>
      <c r="N358">
        <f t="shared" si="26"/>
        <v>0.11715481171548117</v>
      </c>
    </row>
    <row r="359" spans="6:14">
      <c r="F359" s="4" t="s">
        <v>49</v>
      </c>
      <c r="G359" s="4">
        <v>11077</v>
      </c>
      <c r="H359" s="4" t="s">
        <v>53</v>
      </c>
      <c r="I359" s="4" t="s">
        <v>50</v>
      </c>
      <c r="J359" s="6">
        <v>45753</v>
      </c>
      <c r="K359" s="4">
        <v>293</v>
      </c>
      <c r="L359" s="4">
        <v>293</v>
      </c>
      <c r="M359" s="4">
        <v>35</v>
      </c>
      <c r="N359">
        <f t="shared" si="26"/>
        <v>0.11945392491467577</v>
      </c>
    </row>
    <row r="360" spans="6:14">
      <c r="F360" s="4" t="s">
        <v>49</v>
      </c>
      <c r="G360" s="4">
        <v>11077</v>
      </c>
      <c r="H360" s="4" t="s">
        <v>53</v>
      </c>
      <c r="I360" s="4" t="s">
        <v>50</v>
      </c>
      <c r="J360" s="6">
        <v>45754</v>
      </c>
      <c r="K360" s="4">
        <v>463</v>
      </c>
      <c r="L360" s="4">
        <v>463</v>
      </c>
      <c r="M360" s="4">
        <v>64</v>
      </c>
      <c r="N360">
        <f t="shared" si="26"/>
        <v>0.13822894168466524</v>
      </c>
    </row>
    <row r="361" spans="6:14">
      <c r="F361" s="4" t="s">
        <v>49</v>
      </c>
      <c r="G361" s="4">
        <v>11077</v>
      </c>
      <c r="H361" s="4" t="s">
        <v>53</v>
      </c>
      <c r="I361" s="4" t="s">
        <v>50</v>
      </c>
      <c r="J361" s="6">
        <v>45755</v>
      </c>
      <c r="K361" s="4">
        <v>511</v>
      </c>
      <c r="L361" s="4">
        <v>511</v>
      </c>
      <c r="M361" s="4">
        <v>68</v>
      </c>
      <c r="N361">
        <f t="shared" si="26"/>
        <v>0.13307240704500978</v>
      </c>
    </row>
    <row r="362" spans="6:14">
      <c r="F362" s="4" t="s">
        <v>49</v>
      </c>
      <c r="G362" s="4">
        <v>11077</v>
      </c>
      <c r="H362" s="4" t="s">
        <v>53</v>
      </c>
      <c r="I362" s="4" t="s">
        <v>50</v>
      </c>
      <c r="J362" s="6">
        <v>45756</v>
      </c>
      <c r="K362" s="4">
        <v>442</v>
      </c>
      <c r="L362" s="4">
        <v>442</v>
      </c>
      <c r="M362" s="4">
        <v>63</v>
      </c>
      <c r="N362">
        <f t="shared" si="26"/>
        <v>0.1425339366515837</v>
      </c>
    </row>
    <row r="363" spans="6:14">
      <c r="F363" s="4" t="s">
        <v>49</v>
      </c>
      <c r="G363" s="4">
        <v>11077</v>
      </c>
      <c r="H363" s="4" t="s">
        <v>53</v>
      </c>
      <c r="I363" s="4" t="s">
        <v>50</v>
      </c>
      <c r="J363" s="6">
        <v>45757</v>
      </c>
      <c r="K363" s="4">
        <v>497</v>
      </c>
      <c r="L363" s="4">
        <v>497</v>
      </c>
      <c r="M363" s="4">
        <v>81</v>
      </c>
      <c r="N363">
        <f t="shared" si="26"/>
        <v>0.16297786720321933</v>
      </c>
    </row>
    <row r="364" spans="6:14">
      <c r="F364" s="4" t="s">
        <v>49</v>
      </c>
      <c r="G364" s="4">
        <v>11077</v>
      </c>
      <c r="H364" s="4" t="s">
        <v>53</v>
      </c>
      <c r="I364" s="4" t="s">
        <v>50</v>
      </c>
      <c r="J364" s="6">
        <v>45758</v>
      </c>
      <c r="K364" s="4">
        <v>498</v>
      </c>
      <c r="L364" s="4">
        <v>498</v>
      </c>
      <c r="M364" s="4">
        <v>77</v>
      </c>
      <c r="N364">
        <f t="shared" si="26"/>
        <v>0.15461847389558234</v>
      </c>
    </row>
    <row r="365" spans="6:14">
      <c r="F365" s="4" t="s">
        <v>49</v>
      </c>
      <c r="G365" s="4">
        <v>11077</v>
      </c>
      <c r="H365" s="4" t="s">
        <v>53</v>
      </c>
      <c r="I365" s="4" t="s">
        <v>50</v>
      </c>
      <c r="J365" s="6">
        <v>45759</v>
      </c>
      <c r="K365" s="4">
        <v>328</v>
      </c>
      <c r="L365" s="4">
        <v>328</v>
      </c>
      <c r="M365" s="4">
        <v>64</v>
      </c>
      <c r="N365">
        <f t="shared" si="26"/>
        <v>0.1951219512195122</v>
      </c>
    </row>
    <row r="366" spans="6:14">
      <c r="F366" s="4" t="s">
        <v>49</v>
      </c>
      <c r="G366" s="4">
        <v>11077</v>
      </c>
      <c r="H366" s="4" t="s">
        <v>53</v>
      </c>
      <c r="I366" s="4" t="s">
        <v>50</v>
      </c>
      <c r="J366" s="6">
        <v>45760</v>
      </c>
      <c r="K366" s="4">
        <v>419</v>
      </c>
      <c r="L366" s="4">
        <v>419</v>
      </c>
      <c r="M366" s="4">
        <v>59</v>
      </c>
      <c r="N366">
        <f t="shared" si="26"/>
        <v>0.14081145584725538</v>
      </c>
    </row>
    <row r="367" spans="6:14">
      <c r="F367" s="4" t="s">
        <v>49</v>
      </c>
      <c r="G367" s="4">
        <v>11077</v>
      </c>
      <c r="H367" s="4" t="s">
        <v>53</v>
      </c>
      <c r="I367" s="4" t="s">
        <v>50</v>
      </c>
      <c r="J367" s="6">
        <v>45761</v>
      </c>
      <c r="K367" s="4">
        <v>370</v>
      </c>
      <c r="L367" s="4">
        <v>370</v>
      </c>
      <c r="M367" s="4">
        <v>58</v>
      </c>
      <c r="N367">
        <f t="shared" si="26"/>
        <v>0.15675675675675677</v>
      </c>
    </row>
    <row r="368" spans="6:14">
      <c r="F368" s="4" t="s">
        <v>49</v>
      </c>
      <c r="G368" s="4">
        <v>11077</v>
      </c>
      <c r="H368" s="4" t="s">
        <v>53</v>
      </c>
      <c r="I368" s="4" t="s">
        <v>50</v>
      </c>
      <c r="J368" s="6">
        <v>45762</v>
      </c>
      <c r="K368" s="4">
        <v>343</v>
      </c>
      <c r="L368" s="4">
        <v>343</v>
      </c>
      <c r="M368" s="4">
        <v>53</v>
      </c>
      <c r="N368">
        <f t="shared" si="26"/>
        <v>0.15451895043731778</v>
      </c>
    </row>
    <row r="369" spans="6:14">
      <c r="F369" s="4" t="s">
        <v>49</v>
      </c>
      <c r="G369" s="4">
        <v>11077</v>
      </c>
      <c r="H369" s="4" t="s">
        <v>53</v>
      </c>
      <c r="I369" s="4" t="s">
        <v>50</v>
      </c>
      <c r="J369" s="6">
        <v>45763</v>
      </c>
      <c r="K369" s="4">
        <v>315</v>
      </c>
      <c r="L369" s="4">
        <v>315</v>
      </c>
      <c r="M369" s="4">
        <v>58</v>
      </c>
      <c r="N369">
        <f t="shared" si="26"/>
        <v>0.18412698412698414</v>
      </c>
    </row>
    <row r="370" spans="6:14">
      <c r="F370" s="4" t="s">
        <v>49</v>
      </c>
      <c r="G370" s="4">
        <v>11077</v>
      </c>
      <c r="H370" s="4" t="s">
        <v>53</v>
      </c>
      <c r="I370" s="4" t="s">
        <v>50</v>
      </c>
      <c r="J370" s="6">
        <v>45764</v>
      </c>
      <c r="K370" s="4">
        <v>339</v>
      </c>
      <c r="L370" s="4">
        <v>339</v>
      </c>
      <c r="M370" s="4">
        <v>53</v>
      </c>
      <c r="N370">
        <f t="shared" si="26"/>
        <v>0.15634218289085547</v>
      </c>
    </row>
    <row r="371" spans="6:14">
      <c r="F371" s="4" t="s">
        <v>49</v>
      </c>
      <c r="G371" s="4">
        <v>11077</v>
      </c>
      <c r="H371" s="4" t="s">
        <v>53</v>
      </c>
      <c r="I371" s="4" t="s">
        <v>50</v>
      </c>
      <c r="J371" s="6">
        <v>45765</v>
      </c>
      <c r="K371" s="4">
        <v>384</v>
      </c>
      <c r="L371" s="4">
        <v>384</v>
      </c>
      <c r="M371" s="4">
        <v>55</v>
      </c>
      <c r="N371">
        <f t="shared" si="26"/>
        <v>0.14322916666666666</v>
      </c>
    </row>
    <row r="372" spans="6:14">
      <c r="F372" s="4" t="s">
        <v>49</v>
      </c>
      <c r="G372" s="4">
        <v>11077</v>
      </c>
      <c r="H372" s="4" t="s">
        <v>53</v>
      </c>
      <c r="I372" s="4" t="s">
        <v>50</v>
      </c>
      <c r="J372" s="6">
        <v>45766</v>
      </c>
      <c r="K372" s="4">
        <v>444</v>
      </c>
      <c r="L372" s="4">
        <v>444</v>
      </c>
      <c r="M372" s="4">
        <v>68</v>
      </c>
      <c r="N372">
        <f t="shared" si="26"/>
        <v>0.15315315315315314</v>
      </c>
    </row>
    <row r="373" spans="6:14">
      <c r="F373" s="4" t="s">
        <v>49</v>
      </c>
      <c r="G373" s="4">
        <v>11077</v>
      </c>
      <c r="H373" s="4" t="s">
        <v>53</v>
      </c>
      <c r="I373" s="4" t="s">
        <v>50</v>
      </c>
      <c r="J373" s="6">
        <v>45767</v>
      </c>
      <c r="K373" s="4">
        <v>520</v>
      </c>
      <c r="L373" s="4">
        <v>520</v>
      </c>
      <c r="M373" s="4">
        <v>82</v>
      </c>
      <c r="N373">
        <f t="shared" si="26"/>
        <v>0.15769230769230769</v>
      </c>
    </row>
    <row r="374" spans="6:14">
      <c r="F374" s="4" t="s">
        <v>49</v>
      </c>
      <c r="G374" s="4">
        <v>11077</v>
      </c>
      <c r="H374" s="4" t="s">
        <v>53</v>
      </c>
      <c r="I374" s="4" t="s">
        <v>51</v>
      </c>
      <c r="J374" s="6">
        <v>45750</v>
      </c>
      <c r="K374" s="4">
        <v>8</v>
      </c>
      <c r="L374" s="4">
        <v>8</v>
      </c>
      <c r="M374" s="4">
        <v>7</v>
      </c>
      <c r="N374">
        <f t="shared" si="26"/>
        <v>0.875</v>
      </c>
    </row>
    <row r="375" spans="6:14">
      <c r="F375" s="4" t="s">
        <v>49</v>
      </c>
      <c r="G375" s="4">
        <v>11077</v>
      </c>
      <c r="H375" s="4" t="s">
        <v>53</v>
      </c>
      <c r="I375" s="4" t="s">
        <v>51</v>
      </c>
      <c r="J375" s="6">
        <v>45751</v>
      </c>
      <c r="K375" s="4">
        <v>24</v>
      </c>
      <c r="L375" s="4">
        <v>24</v>
      </c>
      <c r="M375" s="4">
        <v>13</v>
      </c>
      <c r="N375">
        <f t="shared" si="26"/>
        <v>0.54166666666666663</v>
      </c>
    </row>
    <row r="376" spans="6:14">
      <c r="F376" s="4" t="s">
        <v>49</v>
      </c>
      <c r="G376" s="4">
        <v>11077</v>
      </c>
      <c r="H376" s="4" t="s">
        <v>53</v>
      </c>
      <c r="I376" s="4" t="s">
        <v>51</v>
      </c>
      <c r="J376" s="6">
        <v>45752</v>
      </c>
      <c r="K376" s="4">
        <v>67</v>
      </c>
      <c r="L376" s="4">
        <v>67</v>
      </c>
      <c r="M376" s="4">
        <v>31</v>
      </c>
      <c r="N376">
        <f t="shared" si="26"/>
        <v>0.46268656716417911</v>
      </c>
    </row>
    <row r="377" spans="6:14">
      <c r="F377" s="4" t="s">
        <v>49</v>
      </c>
      <c r="G377" s="4">
        <v>11077</v>
      </c>
      <c r="H377" s="4" t="s">
        <v>53</v>
      </c>
      <c r="I377" s="4" t="s">
        <v>51</v>
      </c>
      <c r="J377" s="6">
        <v>45753</v>
      </c>
      <c r="K377" s="4">
        <v>121</v>
      </c>
      <c r="L377" s="4">
        <v>121</v>
      </c>
      <c r="M377" s="4">
        <v>33</v>
      </c>
      <c r="N377">
        <f t="shared" si="26"/>
        <v>0.27272727272727271</v>
      </c>
    </row>
    <row r="378" spans="6:14">
      <c r="F378" s="4" t="s">
        <v>49</v>
      </c>
      <c r="G378" s="4">
        <v>11077</v>
      </c>
      <c r="H378" s="4" t="s">
        <v>53</v>
      </c>
      <c r="I378" s="4" t="s">
        <v>51</v>
      </c>
      <c r="J378" s="6">
        <v>45754</v>
      </c>
      <c r="K378" s="4">
        <v>160</v>
      </c>
      <c r="L378" s="4">
        <v>160</v>
      </c>
      <c r="M378" s="4">
        <v>42</v>
      </c>
      <c r="N378">
        <f t="shared" si="26"/>
        <v>0.26250000000000001</v>
      </c>
    </row>
    <row r="379" spans="6:14">
      <c r="F379" s="4" t="s">
        <v>49</v>
      </c>
      <c r="G379" s="4">
        <v>11077</v>
      </c>
      <c r="H379" s="4" t="s">
        <v>53</v>
      </c>
      <c r="I379" s="4" t="s">
        <v>51</v>
      </c>
      <c r="J379" s="6">
        <v>45755</v>
      </c>
      <c r="K379" s="4">
        <v>249</v>
      </c>
      <c r="L379" s="4">
        <v>249</v>
      </c>
      <c r="M379" s="4">
        <v>64</v>
      </c>
      <c r="N379">
        <f t="shared" si="26"/>
        <v>0.25702811244979917</v>
      </c>
    </row>
    <row r="380" spans="6:14">
      <c r="F380" s="4" t="s">
        <v>49</v>
      </c>
      <c r="G380" s="4">
        <v>11077</v>
      </c>
      <c r="H380" s="4" t="s">
        <v>53</v>
      </c>
      <c r="I380" s="4" t="s">
        <v>51</v>
      </c>
      <c r="J380" s="6">
        <v>45756</v>
      </c>
      <c r="K380" s="4">
        <v>298</v>
      </c>
      <c r="L380" s="4">
        <v>298</v>
      </c>
      <c r="M380" s="4">
        <v>72</v>
      </c>
      <c r="N380">
        <f t="shared" si="26"/>
        <v>0.24161073825503357</v>
      </c>
    </row>
    <row r="381" spans="6:14">
      <c r="F381" s="4" t="s">
        <v>49</v>
      </c>
      <c r="G381" s="4">
        <v>11077</v>
      </c>
      <c r="H381" s="4" t="s">
        <v>53</v>
      </c>
      <c r="I381" s="4" t="s">
        <v>51</v>
      </c>
      <c r="J381" s="6">
        <v>45757</v>
      </c>
      <c r="K381" s="4">
        <v>331</v>
      </c>
      <c r="L381" s="4">
        <v>331</v>
      </c>
      <c r="M381" s="4">
        <v>80</v>
      </c>
      <c r="N381">
        <f t="shared" si="26"/>
        <v>0.24169184290030213</v>
      </c>
    </row>
    <row r="382" spans="6:14">
      <c r="F382" s="4" t="s">
        <v>49</v>
      </c>
      <c r="G382" s="4">
        <v>11077</v>
      </c>
      <c r="H382" s="4" t="s">
        <v>53</v>
      </c>
      <c r="I382" s="4" t="s">
        <v>51</v>
      </c>
      <c r="J382" s="6">
        <v>45758</v>
      </c>
      <c r="K382" s="4">
        <v>382</v>
      </c>
      <c r="L382" s="4">
        <v>382</v>
      </c>
      <c r="M382" s="4">
        <v>100</v>
      </c>
      <c r="N382">
        <f t="shared" si="26"/>
        <v>0.26178010471204188</v>
      </c>
    </row>
    <row r="383" spans="6:14">
      <c r="F383" s="4" t="s">
        <v>49</v>
      </c>
      <c r="G383" s="4">
        <v>11077</v>
      </c>
      <c r="H383" s="4" t="s">
        <v>53</v>
      </c>
      <c r="I383" s="4" t="s">
        <v>51</v>
      </c>
      <c r="J383" s="6">
        <v>45759</v>
      </c>
      <c r="K383" s="4">
        <v>385</v>
      </c>
      <c r="L383" s="4">
        <v>385</v>
      </c>
      <c r="M383" s="4">
        <v>95</v>
      </c>
      <c r="N383">
        <f t="shared" si="26"/>
        <v>0.24675324675324675</v>
      </c>
    </row>
    <row r="384" spans="6:14">
      <c r="F384" s="4" t="s">
        <v>49</v>
      </c>
      <c r="G384" s="4">
        <v>11077</v>
      </c>
      <c r="H384" s="4" t="s">
        <v>53</v>
      </c>
      <c r="I384" s="4" t="s">
        <v>51</v>
      </c>
      <c r="J384" s="6">
        <v>45760</v>
      </c>
      <c r="K384" s="4">
        <v>387</v>
      </c>
      <c r="L384" s="4">
        <v>387</v>
      </c>
      <c r="M384" s="4">
        <v>109</v>
      </c>
      <c r="N384">
        <f t="shared" si="26"/>
        <v>0.28165374677002586</v>
      </c>
    </row>
    <row r="385" spans="6:14">
      <c r="F385" s="4" t="s">
        <v>49</v>
      </c>
      <c r="G385" s="4">
        <v>11077</v>
      </c>
      <c r="H385" s="4" t="s">
        <v>53</v>
      </c>
      <c r="I385" s="4" t="s">
        <v>51</v>
      </c>
      <c r="J385" s="6">
        <v>45761</v>
      </c>
      <c r="K385" s="4">
        <v>402</v>
      </c>
      <c r="L385" s="4">
        <v>402</v>
      </c>
      <c r="M385" s="4">
        <v>105</v>
      </c>
      <c r="N385">
        <f t="shared" si="26"/>
        <v>0.26119402985074625</v>
      </c>
    </row>
    <row r="386" spans="6:14">
      <c r="F386" s="4" t="s">
        <v>49</v>
      </c>
      <c r="G386" s="4">
        <v>11077</v>
      </c>
      <c r="H386" s="4" t="s">
        <v>53</v>
      </c>
      <c r="I386" s="4" t="s">
        <v>51</v>
      </c>
      <c r="J386" s="6">
        <v>45762</v>
      </c>
      <c r="K386" s="4">
        <v>388</v>
      </c>
      <c r="L386" s="4">
        <v>388</v>
      </c>
      <c r="M386" s="4">
        <v>108</v>
      </c>
      <c r="N386">
        <f t="shared" si="26"/>
        <v>0.27835051546391754</v>
      </c>
    </row>
    <row r="387" spans="6:14">
      <c r="F387" s="4" t="s">
        <v>49</v>
      </c>
      <c r="G387" s="4">
        <v>11077</v>
      </c>
      <c r="H387" s="4" t="s">
        <v>53</v>
      </c>
      <c r="I387" s="4" t="s">
        <v>51</v>
      </c>
      <c r="J387" s="6">
        <v>45763</v>
      </c>
      <c r="K387" s="4">
        <v>386</v>
      </c>
      <c r="L387" s="4">
        <v>386</v>
      </c>
      <c r="M387" s="4">
        <v>111</v>
      </c>
      <c r="N387">
        <f t="shared" ref="N387:N450" si="27">M387/L387</f>
        <v>0.28756476683937826</v>
      </c>
    </row>
    <row r="388" spans="6:14">
      <c r="F388" s="4" t="s">
        <v>49</v>
      </c>
      <c r="G388" s="4">
        <v>11077</v>
      </c>
      <c r="H388" s="4" t="s">
        <v>53</v>
      </c>
      <c r="I388" s="4" t="s">
        <v>51</v>
      </c>
      <c r="J388" s="6">
        <v>45764</v>
      </c>
      <c r="K388" s="4">
        <v>391</v>
      </c>
      <c r="L388" s="4">
        <v>391</v>
      </c>
      <c r="M388" s="4">
        <v>122</v>
      </c>
      <c r="N388">
        <f t="shared" si="27"/>
        <v>0.31202046035805625</v>
      </c>
    </row>
    <row r="389" spans="6:14">
      <c r="F389" s="4" t="s">
        <v>49</v>
      </c>
      <c r="G389" s="4">
        <v>11077</v>
      </c>
      <c r="H389" s="4" t="s">
        <v>53</v>
      </c>
      <c r="I389" s="4" t="s">
        <v>51</v>
      </c>
      <c r="J389" s="6">
        <v>45765</v>
      </c>
      <c r="K389" s="4">
        <v>410</v>
      </c>
      <c r="L389" s="4">
        <v>410</v>
      </c>
      <c r="M389" s="4">
        <v>139</v>
      </c>
      <c r="N389">
        <f t="shared" si="27"/>
        <v>0.33902439024390246</v>
      </c>
    </row>
    <row r="390" spans="6:14">
      <c r="F390" s="4" t="s">
        <v>49</v>
      </c>
      <c r="G390" s="4">
        <v>11077</v>
      </c>
      <c r="H390" s="4" t="s">
        <v>53</v>
      </c>
      <c r="I390" s="4" t="s">
        <v>51</v>
      </c>
      <c r="J390" s="6">
        <v>45766</v>
      </c>
      <c r="K390" s="4">
        <v>454</v>
      </c>
      <c r="L390" s="4">
        <v>454</v>
      </c>
      <c r="M390" s="4">
        <v>138</v>
      </c>
      <c r="N390">
        <f t="shared" si="27"/>
        <v>0.30396475770925108</v>
      </c>
    </row>
    <row r="391" spans="6:14">
      <c r="F391" s="4" t="s">
        <v>49</v>
      </c>
      <c r="G391" s="4">
        <v>11077</v>
      </c>
      <c r="H391" s="4" t="s">
        <v>53</v>
      </c>
      <c r="I391" s="4" t="s">
        <v>51</v>
      </c>
      <c r="J391" s="6">
        <v>45767</v>
      </c>
      <c r="K391" s="4">
        <v>512</v>
      </c>
      <c r="L391" s="4">
        <v>512</v>
      </c>
      <c r="M391" s="4">
        <v>170</v>
      </c>
      <c r="N391">
        <f t="shared" si="27"/>
        <v>0.33203125</v>
      </c>
    </row>
    <row r="392" spans="6:14">
      <c r="F392" s="4" t="s">
        <v>49</v>
      </c>
      <c r="G392" s="4">
        <v>11077</v>
      </c>
      <c r="H392" s="4" t="s">
        <v>54</v>
      </c>
      <c r="I392" s="4" t="s">
        <v>50</v>
      </c>
      <c r="J392" s="6">
        <v>45750</v>
      </c>
      <c r="K392" s="4">
        <v>125</v>
      </c>
      <c r="L392" s="4">
        <v>125</v>
      </c>
      <c r="M392" s="4">
        <v>28</v>
      </c>
      <c r="N392">
        <f t="shared" si="27"/>
        <v>0.224</v>
      </c>
    </row>
    <row r="393" spans="6:14">
      <c r="F393" s="4" t="s">
        <v>49</v>
      </c>
      <c r="G393" s="4">
        <v>11077</v>
      </c>
      <c r="H393" s="4" t="s">
        <v>54</v>
      </c>
      <c r="I393" s="4" t="s">
        <v>50</v>
      </c>
      <c r="J393" s="6">
        <v>45751</v>
      </c>
      <c r="K393" s="4">
        <v>666</v>
      </c>
      <c r="L393" s="4">
        <v>666</v>
      </c>
      <c r="M393" s="4">
        <v>102</v>
      </c>
      <c r="N393">
        <f t="shared" si="27"/>
        <v>0.15315315315315314</v>
      </c>
    </row>
    <row r="394" spans="6:14">
      <c r="F394" s="4" t="s">
        <v>49</v>
      </c>
      <c r="G394" s="4">
        <v>11077</v>
      </c>
      <c r="H394" s="4" t="s">
        <v>54</v>
      </c>
      <c r="I394" s="4" t="s">
        <v>50</v>
      </c>
      <c r="J394" s="6">
        <v>45752</v>
      </c>
      <c r="K394" s="4">
        <v>884</v>
      </c>
      <c r="L394" s="4">
        <v>884</v>
      </c>
      <c r="M394" s="4">
        <v>109</v>
      </c>
      <c r="N394">
        <f t="shared" si="27"/>
        <v>0.12330316742081449</v>
      </c>
    </row>
    <row r="395" spans="6:14">
      <c r="F395" s="4" t="s">
        <v>49</v>
      </c>
      <c r="G395" s="4">
        <v>11077</v>
      </c>
      <c r="H395" s="4" t="s">
        <v>54</v>
      </c>
      <c r="I395" s="4" t="s">
        <v>50</v>
      </c>
      <c r="J395" s="6">
        <v>45753</v>
      </c>
      <c r="K395" s="4">
        <v>1248</v>
      </c>
      <c r="L395" s="4">
        <v>1248</v>
      </c>
      <c r="M395" s="4">
        <v>181</v>
      </c>
      <c r="N395">
        <f t="shared" si="27"/>
        <v>0.14503205128205129</v>
      </c>
    </row>
    <row r="396" spans="6:14">
      <c r="F396" s="4" t="s">
        <v>49</v>
      </c>
      <c r="G396" s="4">
        <v>11077</v>
      </c>
      <c r="H396" s="4" t="s">
        <v>54</v>
      </c>
      <c r="I396" s="4" t="s">
        <v>50</v>
      </c>
      <c r="J396" s="6">
        <v>45754</v>
      </c>
      <c r="K396" s="4">
        <v>1988</v>
      </c>
      <c r="L396" s="4">
        <v>1988</v>
      </c>
      <c r="M396" s="4">
        <v>277</v>
      </c>
      <c r="N396">
        <f t="shared" si="27"/>
        <v>0.13933601609657947</v>
      </c>
    </row>
    <row r="397" spans="6:14">
      <c r="F397" s="4" t="s">
        <v>49</v>
      </c>
      <c r="G397" s="4">
        <v>11077</v>
      </c>
      <c r="H397" s="4" t="s">
        <v>54</v>
      </c>
      <c r="I397" s="4" t="s">
        <v>50</v>
      </c>
      <c r="J397" s="6">
        <v>45755</v>
      </c>
      <c r="K397" s="4">
        <v>2398</v>
      </c>
      <c r="L397" s="4">
        <v>2398</v>
      </c>
      <c r="M397" s="4">
        <v>321</v>
      </c>
      <c r="N397">
        <f t="shared" si="27"/>
        <v>0.13386155129274396</v>
      </c>
    </row>
    <row r="398" spans="6:14">
      <c r="F398" s="4" t="s">
        <v>49</v>
      </c>
      <c r="G398" s="4">
        <v>11077</v>
      </c>
      <c r="H398" s="4" t="s">
        <v>54</v>
      </c>
      <c r="I398" s="4" t="s">
        <v>50</v>
      </c>
      <c r="J398" s="6">
        <v>45756</v>
      </c>
      <c r="K398" s="4">
        <v>2192</v>
      </c>
      <c r="L398" s="4">
        <v>2192</v>
      </c>
      <c r="M398" s="4">
        <v>353</v>
      </c>
      <c r="N398">
        <f t="shared" si="27"/>
        <v>0.16104014598540145</v>
      </c>
    </row>
    <row r="399" spans="6:14">
      <c r="F399" s="4" t="s">
        <v>49</v>
      </c>
      <c r="G399" s="4">
        <v>11077</v>
      </c>
      <c r="H399" s="4" t="s">
        <v>54</v>
      </c>
      <c r="I399" s="4" t="s">
        <v>50</v>
      </c>
      <c r="J399" s="6">
        <v>45757</v>
      </c>
      <c r="K399" s="4">
        <v>2533</v>
      </c>
      <c r="L399" s="4">
        <v>2533</v>
      </c>
      <c r="M399" s="4">
        <v>288</v>
      </c>
      <c r="N399">
        <f t="shared" si="27"/>
        <v>0.1136991709435452</v>
      </c>
    </row>
    <row r="400" spans="6:14">
      <c r="F400" s="4" t="s">
        <v>49</v>
      </c>
      <c r="G400" s="4">
        <v>11077</v>
      </c>
      <c r="H400" s="4" t="s">
        <v>54</v>
      </c>
      <c r="I400" s="4" t="s">
        <v>50</v>
      </c>
      <c r="J400" s="6">
        <v>45758</v>
      </c>
      <c r="K400" s="4">
        <v>2299</v>
      </c>
      <c r="L400" s="4">
        <v>2299</v>
      </c>
      <c r="M400" s="4">
        <v>315</v>
      </c>
      <c r="N400">
        <f t="shared" si="27"/>
        <v>0.137016093953893</v>
      </c>
    </row>
    <row r="401" spans="6:14">
      <c r="F401" s="4" t="s">
        <v>49</v>
      </c>
      <c r="G401" s="4">
        <v>11077</v>
      </c>
      <c r="H401" s="4" t="s">
        <v>54</v>
      </c>
      <c r="I401" s="4" t="s">
        <v>50</v>
      </c>
      <c r="J401" s="6">
        <v>45759</v>
      </c>
      <c r="K401" s="4">
        <v>2257</v>
      </c>
      <c r="L401" s="4">
        <v>2257</v>
      </c>
      <c r="M401" s="4">
        <v>360</v>
      </c>
      <c r="N401">
        <f t="shared" si="27"/>
        <v>0.15950376606114311</v>
      </c>
    </row>
    <row r="402" spans="6:14">
      <c r="F402" s="4" t="s">
        <v>49</v>
      </c>
      <c r="G402" s="4">
        <v>11077</v>
      </c>
      <c r="H402" s="4" t="s">
        <v>54</v>
      </c>
      <c r="I402" s="4" t="s">
        <v>50</v>
      </c>
      <c r="J402" s="6">
        <v>45760</v>
      </c>
      <c r="K402" s="4">
        <v>2760</v>
      </c>
      <c r="L402" s="4">
        <v>2760</v>
      </c>
      <c r="M402" s="4">
        <v>420</v>
      </c>
      <c r="N402">
        <f t="shared" si="27"/>
        <v>0.15217391304347827</v>
      </c>
    </row>
    <row r="403" spans="6:14">
      <c r="F403" s="4" t="s">
        <v>49</v>
      </c>
      <c r="G403" s="4">
        <v>11077</v>
      </c>
      <c r="H403" s="4" t="s">
        <v>54</v>
      </c>
      <c r="I403" s="4" t="s">
        <v>50</v>
      </c>
      <c r="J403" s="6">
        <v>45761</v>
      </c>
      <c r="K403" s="4">
        <v>2896</v>
      </c>
      <c r="L403" s="4">
        <v>2896</v>
      </c>
      <c r="M403" s="4">
        <v>390</v>
      </c>
      <c r="N403">
        <f t="shared" si="27"/>
        <v>0.13466850828729282</v>
      </c>
    </row>
    <row r="404" spans="6:14">
      <c r="F404" s="4" t="s">
        <v>49</v>
      </c>
      <c r="G404" s="4">
        <v>11077</v>
      </c>
      <c r="H404" s="4" t="s">
        <v>54</v>
      </c>
      <c r="I404" s="4" t="s">
        <v>50</v>
      </c>
      <c r="J404" s="6">
        <v>45762</v>
      </c>
      <c r="K404" s="4">
        <v>2352</v>
      </c>
      <c r="L404" s="4">
        <v>2352</v>
      </c>
      <c r="M404" s="4">
        <v>316</v>
      </c>
      <c r="N404">
        <f t="shared" si="27"/>
        <v>0.13435374149659865</v>
      </c>
    </row>
    <row r="405" spans="6:14">
      <c r="F405" s="4" t="s">
        <v>49</v>
      </c>
      <c r="G405" s="4">
        <v>11077</v>
      </c>
      <c r="H405" s="4" t="s">
        <v>54</v>
      </c>
      <c r="I405" s="4" t="s">
        <v>50</v>
      </c>
      <c r="J405" s="6">
        <v>45763</v>
      </c>
      <c r="K405" s="4">
        <v>2187</v>
      </c>
      <c r="L405" s="4">
        <v>2187</v>
      </c>
      <c r="M405" s="4">
        <v>310</v>
      </c>
      <c r="N405">
        <f t="shared" si="27"/>
        <v>0.14174668495656151</v>
      </c>
    </row>
    <row r="406" spans="6:14">
      <c r="F406" s="4" t="s">
        <v>49</v>
      </c>
      <c r="G406" s="4">
        <v>11077</v>
      </c>
      <c r="H406" s="4" t="s">
        <v>54</v>
      </c>
      <c r="I406" s="4" t="s">
        <v>50</v>
      </c>
      <c r="J406" s="6">
        <v>45764</v>
      </c>
      <c r="K406" s="4">
        <v>2440</v>
      </c>
      <c r="L406" s="4">
        <v>2440</v>
      </c>
      <c r="M406" s="4">
        <v>361</v>
      </c>
      <c r="N406">
        <f t="shared" si="27"/>
        <v>0.14795081967213114</v>
      </c>
    </row>
    <row r="407" spans="6:14">
      <c r="F407" s="4" t="s">
        <v>49</v>
      </c>
      <c r="G407" s="4">
        <v>11077</v>
      </c>
      <c r="H407" s="4" t="s">
        <v>54</v>
      </c>
      <c r="I407" s="4" t="s">
        <v>50</v>
      </c>
      <c r="J407" s="6">
        <v>45765</v>
      </c>
      <c r="K407" s="4">
        <v>2410</v>
      </c>
      <c r="L407" s="4">
        <v>2410</v>
      </c>
      <c r="M407" s="4">
        <v>361</v>
      </c>
      <c r="N407">
        <f t="shared" si="27"/>
        <v>0.14979253112033195</v>
      </c>
    </row>
    <row r="408" spans="6:14">
      <c r="F408" s="4" t="s">
        <v>49</v>
      </c>
      <c r="G408" s="4">
        <v>11077</v>
      </c>
      <c r="H408" s="4" t="s">
        <v>54</v>
      </c>
      <c r="I408" s="4" t="s">
        <v>50</v>
      </c>
      <c r="J408" s="6">
        <v>45766</v>
      </c>
      <c r="K408" s="4">
        <v>2865</v>
      </c>
      <c r="L408" s="4">
        <v>2865</v>
      </c>
      <c r="M408" s="4">
        <v>490</v>
      </c>
      <c r="N408">
        <f t="shared" si="27"/>
        <v>0.17102966841186737</v>
      </c>
    </row>
    <row r="409" spans="6:14">
      <c r="F409" s="4" t="s">
        <v>49</v>
      </c>
      <c r="G409" s="4">
        <v>11077</v>
      </c>
      <c r="H409" s="4" t="s">
        <v>54</v>
      </c>
      <c r="I409" s="4" t="s">
        <v>50</v>
      </c>
      <c r="J409" s="6">
        <v>45767</v>
      </c>
      <c r="K409" s="4">
        <v>3056</v>
      </c>
      <c r="L409" s="4">
        <v>3056</v>
      </c>
      <c r="M409" s="4">
        <v>513</v>
      </c>
      <c r="N409">
        <f t="shared" si="27"/>
        <v>0.16786649214659685</v>
      </c>
    </row>
    <row r="410" spans="6:14">
      <c r="F410" s="4" t="s">
        <v>49</v>
      </c>
      <c r="G410" s="4">
        <v>11077</v>
      </c>
      <c r="H410" s="4" t="s">
        <v>54</v>
      </c>
      <c r="I410" s="4" t="s">
        <v>51</v>
      </c>
      <c r="J410" s="6">
        <v>45750</v>
      </c>
      <c r="K410" s="4">
        <v>3</v>
      </c>
      <c r="L410" s="4">
        <v>3</v>
      </c>
      <c r="M410" s="4">
        <v>0</v>
      </c>
      <c r="N410">
        <f t="shared" si="27"/>
        <v>0</v>
      </c>
    </row>
    <row r="411" spans="6:14">
      <c r="F411" s="4" t="s">
        <v>49</v>
      </c>
      <c r="G411" s="4">
        <v>11077</v>
      </c>
      <c r="H411" s="4" t="s">
        <v>54</v>
      </c>
      <c r="I411" s="4" t="s">
        <v>51</v>
      </c>
      <c r="J411" s="6">
        <v>45751</v>
      </c>
      <c r="K411" s="4">
        <v>93</v>
      </c>
      <c r="L411" s="4">
        <v>93</v>
      </c>
      <c r="M411" s="4">
        <v>32</v>
      </c>
      <c r="N411">
        <f t="shared" si="27"/>
        <v>0.34408602150537637</v>
      </c>
    </row>
    <row r="412" spans="6:14">
      <c r="F412" s="4" t="s">
        <v>49</v>
      </c>
      <c r="G412" s="4">
        <v>11077</v>
      </c>
      <c r="H412" s="4" t="s">
        <v>54</v>
      </c>
      <c r="I412" s="4" t="s">
        <v>51</v>
      </c>
      <c r="J412" s="6">
        <v>45752</v>
      </c>
      <c r="K412" s="4">
        <v>282</v>
      </c>
      <c r="L412" s="4">
        <v>282</v>
      </c>
      <c r="M412" s="4">
        <v>78</v>
      </c>
      <c r="N412">
        <f t="shared" si="27"/>
        <v>0.27659574468085107</v>
      </c>
    </row>
    <row r="413" spans="6:14">
      <c r="F413" s="4" t="s">
        <v>49</v>
      </c>
      <c r="G413" s="4">
        <v>11077</v>
      </c>
      <c r="H413" s="4" t="s">
        <v>54</v>
      </c>
      <c r="I413" s="4" t="s">
        <v>51</v>
      </c>
      <c r="J413" s="6">
        <v>45753</v>
      </c>
      <c r="K413" s="4">
        <v>475</v>
      </c>
      <c r="L413" s="4">
        <v>475</v>
      </c>
      <c r="M413" s="4">
        <v>120</v>
      </c>
      <c r="N413">
        <f t="shared" si="27"/>
        <v>0.25263157894736843</v>
      </c>
    </row>
    <row r="414" spans="6:14">
      <c r="F414" s="4" t="s">
        <v>49</v>
      </c>
      <c r="G414" s="4">
        <v>11077</v>
      </c>
      <c r="H414" s="4" t="s">
        <v>54</v>
      </c>
      <c r="I414" s="4" t="s">
        <v>51</v>
      </c>
      <c r="J414" s="6">
        <v>45754</v>
      </c>
      <c r="K414" s="4">
        <v>727</v>
      </c>
      <c r="L414" s="4">
        <v>727</v>
      </c>
      <c r="M414" s="4">
        <v>160</v>
      </c>
      <c r="N414">
        <f t="shared" si="27"/>
        <v>0.2200825309491059</v>
      </c>
    </row>
    <row r="415" spans="6:14">
      <c r="F415" s="4" t="s">
        <v>49</v>
      </c>
      <c r="G415" s="4">
        <v>11077</v>
      </c>
      <c r="H415" s="4" t="s">
        <v>54</v>
      </c>
      <c r="I415" s="4" t="s">
        <v>51</v>
      </c>
      <c r="J415" s="6">
        <v>45755</v>
      </c>
      <c r="K415" s="4">
        <v>1057</v>
      </c>
      <c r="L415" s="4">
        <v>1057</v>
      </c>
      <c r="M415" s="4">
        <v>275</v>
      </c>
      <c r="N415">
        <f t="shared" si="27"/>
        <v>0.26017029328287605</v>
      </c>
    </row>
    <row r="416" spans="6:14">
      <c r="F416" s="4" t="s">
        <v>49</v>
      </c>
      <c r="G416" s="4">
        <v>11077</v>
      </c>
      <c r="H416" s="4" t="s">
        <v>54</v>
      </c>
      <c r="I416" s="4" t="s">
        <v>51</v>
      </c>
      <c r="J416" s="6">
        <v>45756</v>
      </c>
      <c r="K416" s="4">
        <v>1361</v>
      </c>
      <c r="L416" s="4">
        <v>1361</v>
      </c>
      <c r="M416" s="4">
        <v>351</v>
      </c>
      <c r="N416">
        <f t="shared" si="27"/>
        <v>0.25789860396767084</v>
      </c>
    </row>
    <row r="417" spans="6:14">
      <c r="F417" s="4" t="s">
        <v>49</v>
      </c>
      <c r="G417" s="4">
        <v>11077</v>
      </c>
      <c r="H417" s="4" t="s">
        <v>54</v>
      </c>
      <c r="I417" s="4" t="s">
        <v>51</v>
      </c>
      <c r="J417" s="6">
        <v>45757</v>
      </c>
      <c r="K417" s="4">
        <v>1588</v>
      </c>
      <c r="L417" s="4">
        <v>1588</v>
      </c>
      <c r="M417" s="4">
        <v>432</v>
      </c>
      <c r="N417">
        <f t="shared" si="27"/>
        <v>0.27204030226700254</v>
      </c>
    </row>
    <row r="418" spans="6:14">
      <c r="F418" s="4" t="s">
        <v>49</v>
      </c>
      <c r="G418" s="4">
        <v>11077</v>
      </c>
      <c r="H418" s="4" t="s">
        <v>54</v>
      </c>
      <c r="I418" s="4" t="s">
        <v>51</v>
      </c>
      <c r="J418" s="6">
        <v>45758</v>
      </c>
      <c r="K418" s="4">
        <v>1667</v>
      </c>
      <c r="L418" s="4">
        <v>1667</v>
      </c>
      <c r="M418" s="4">
        <v>456</v>
      </c>
      <c r="N418">
        <f t="shared" si="27"/>
        <v>0.27354529094181163</v>
      </c>
    </row>
    <row r="419" spans="6:14">
      <c r="F419" s="4" t="s">
        <v>49</v>
      </c>
      <c r="G419" s="4">
        <v>11077</v>
      </c>
      <c r="H419" s="4" t="s">
        <v>54</v>
      </c>
      <c r="I419" s="4" t="s">
        <v>51</v>
      </c>
      <c r="J419" s="6">
        <v>45759</v>
      </c>
      <c r="K419" s="4">
        <v>1726</v>
      </c>
      <c r="L419" s="4">
        <v>1726</v>
      </c>
      <c r="M419" s="4">
        <v>523</v>
      </c>
      <c r="N419">
        <f t="shared" si="27"/>
        <v>0.30301274623406721</v>
      </c>
    </row>
    <row r="420" spans="6:14">
      <c r="F420" s="4" t="s">
        <v>49</v>
      </c>
      <c r="G420" s="4">
        <v>11077</v>
      </c>
      <c r="H420" s="4" t="s">
        <v>54</v>
      </c>
      <c r="I420" s="4" t="s">
        <v>51</v>
      </c>
      <c r="J420" s="6">
        <v>45760</v>
      </c>
      <c r="K420" s="4">
        <v>2118</v>
      </c>
      <c r="L420" s="4">
        <v>2118</v>
      </c>
      <c r="M420" s="4">
        <v>591</v>
      </c>
      <c r="N420">
        <f t="shared" si="27"/>
        <v>0.27903682719546741</v>
      </c>
    </row>
    <row r="421" spans="6:14">
      <c r="F421" s="4" t="s">
        <v>49</v>
      </c>
      <c r="G421" s="4">
        <v>11077</v>
      </c>
      <c r="H421" s="4" t="s">
        <v>54</v>
      </c>
      <c r="I421" s="4" t="s">
        <v>51</v>
      </c>
      <c r="J421" s="6">
        <v>45761</v>
      </c>
      <c r="K421" s="4">
        <v>2290</v>
      </c>
      <c r="L421" s="4">
        <v>2290</v>
      </c>
      <c r="M421" s="4">
        <v>556</v>
      </c>
      <c r="N421">
        <f t="shared" si="27"/>
        <v>0.2427947598253275</v>
      </c>
    </row>
    <row r="422" spans="6:14">
      <c r="F422" s="4" t="s">
        <v>49</v>
      </c>
      <c r="G422" s="4">
        <v>11077</v>
      </c>
      <c r="H422" s="4" t="s">
        <v>54</v>
      </c>
      <c r="I422" s="4" t="s">
        <v>51</v>
      </c>
      <c r="J422" s="6">
        <v>45762</v>
      </c>
      <c r="K422" s="4">
        <v>2064</v>
      </c>
      <c r="L422" s="4">
        <v>2064</v>
      </c>
      <c r="M422" s="4">
        <v>511</v>
      </c>
      <c r="N422">
        <f t="shared" si="27"/>
        <v>0.24757751937984496</v>
      </c>
    </row>
    <row r="423" spans="6:14">
      <c r="F423" s="4" t="s">
        <v>49</v>
      </c>
      <c r="G423" s="4">
        <v>11077</v>
      </c>
      <c r="H423" s="4" t="s">
        <v>54</v>
      </c>
      <c r="I423" s="4" t="s">
        <v>51</v>
      </c>
      <c r="J423" s="6">
        <v>45763</v>
      </c>
      <c r="K423" s="4">
        <v>2079</v>
      </c>
      <c r="L423" s="4">
        <v>2079</v>
      </c>
      <c r="M423" s="4">
        <v>558</v>
      </c>
      <c r="N423">
        <f t="shared" si="27"/>
        <v>0.26839826839826841</v>
      </c>
    </row>
    <row r="424" spans="6:14">
      <c r="F424" s="4" t="s">
        <v>49</v>
      </c>
      <c r="G424" s="4">
        <v>11077</v>
      </c>
      <c r="H424" s="4" t="s">
        <v>54</v>
      </c>
      <c r="I424" s="4" t="s">
        <v>51</v>
      </c>
      <c r="J424" s="6">
        <v>45764</v>
      </c>
      <c r="K424" s="4">
        <v>2255</v>
      </c>
      <c r="L424" s="4">
        <v>2255</v>
      </c>
      <c r="M424" s="4">
        <v>663</v>
      </c>
      <c r="N424">
        <f t="shared" si="27"/>
        <v>0.29401330376940132</v>
      </c>
    </row>
    <row r="425" spans="6:14">
      <c r="F425" s="4" t="s">
        <v>49</v>
      </c>
      <c r="G425" s="4">
        <v>11077</v>
      </c>
      <c r="H425" s="4" t="s">
        <v>54</v>
      </c>
      <c r="I425" s="4" t="s">
        <v>51</v>
      </c>
      <c r="J425" s="6">
        <v>45765</v>
      </c>
      <c r="K425" s="4">
        <v>2451</v>
      </c>
      <c r="L425" s="4">
        <v>2451</v>
      </c>
      <c r="M425" s="4">
        <v>676</v>
      </c>
      <c r="N425">
        <f t="shared" si="27"/>
        <v>0.27580579355365159</v>
      </c>
    </row>
    <row r="426" spans="6:14">
      <c r="F426" s="4" t="s">
        <v>49</v>
      </c>
      <c r="G426" s="4">
        <v>11077</v>
      </c>
      <c r="H426" s="4" t="s">
        <v>54</v>
      </c>
      <c r="I426" s="4" t="s">
        <v>51</v>
      </c>
      <c r="J426" s="6">
        <v>45766</v>
      </c>
      <c r="K426" s="4">
        <v>2669</v>
      </c>
      <c r="L426" s="4">
        <v>2669</v>
      </c>
      <c r="M426" s="4">
        <v>789</v>
      </c>
      <c r="N426">
        <f t="shared" si="27"/>
        <v>0.29561633570625701</v>
      </c>
    </row>
    <row r="427" spans="6:14">
      <c r="F427" s="4" t="s">
        <v>49</v>
      </c>
      <c r="G427" s="4">
        <v>11077</v>
      </c>
      <c r="H427" s="4" t="s">
        <v>54</v>
      </c>
      <c r="I427" s="4" t="s">
        <v>51</v>
      </c>
      <c r="J427" s="6">
        <v>45767</v>
      </c>
      <c r="K427" s="4">
        <v>3091</v>
      </c>
      <c r="L427" s="4">
        <v>3091</v>
      </c>
      <c r="M427" s="4">
        <v>888</v>
      </c>
      <c r="N427">
        <f t="shared" si="27"/>
        <v>0.28728566806858624</v>
      </c>
    </row>
    <row r="428" spans="6:14">
      <c r="F428" s="4" t="s">
        <v>55</v>
      </c>
      <c r="G428" s="4">
        <v>11072</v>
      </c>
      <c r="H428" s="4"/>
      <c r="I428" s="4" t="s">
        <v>50</v>
      </c>
      <c r="J428" s="6">
        <v>45750</v>
      </c>
      <c r="K428" s="4">
        <v>37</v>
      </c>
      <c r="L428" s="4">
        <v>37</v>
      </c>
      <c r="M428" s="4">
        <v>8</v>
      </c>
      <c r="N428">
        <f t="shared" si="27"/>
        <v>0.21621621621621623</v>
      </c>
    </row>
    <row r="429" spans="6:14">
      <c r="F429" s="4" t="s">
        <v>55</v>
      </c>
      <c r="G429" s="4">
        <v>11072</v>
      </c>
      <c r="H429" s="4"/>
      <c r="I429" s="4" t="s">
        <v>50</v>
      </c>
      <c r="J429" s="6">
        <v>45751</v>
      </c>
      <c r="K429" s="4">
        <v>28</v>
      </c>
      <c r="L429" s="4">
        <v>28</v>
      </c>
      <c r="M429" s="4">
        <v>5</v>
      </c>
      <c r="N429">
        <f t="shared" si="27"/>
        <v>0.17857142857142858</v>
      </c>
    </row>
    <row r="430" spans="6:14">
      <c r="F430" s="4" t="s">
        <v>55</v>
      </c>
      <c r="G430" s="4">
        <v>11072</v>
      </c>
      <c r="H430" s="4"/>
      <c r="I430" s="4" t="s">
        <v>50</v>
      </c>
      <c r="J430" s="6">
        <v>45752</v>
      </c>
      <c r="K430" s="4">
        <v>23</v>
      </c>
      <c r="L430" s="4">
        <v>23</v>
      </c>
      <c r="M430" s="4">
        <v>3</v>
      </c>
      <c r="N430">
        <f t="shared" si="27"/>
        <v>0.13043478260869565</v>
      </c>
    </row>
    <row r="431" spans="6:14">
      <c r="F431" s="4" t="s">
        <v>55</v>
      </c>
      <c r="G431" s="4">
        <v>11072</v>
      </c>
      <c r="H431" s="4"/>
      <c r="I431" s="4" t="s">
        <v>50</v>
      </c>
      <c r="J431" s="6">
        <v>45753</v>
      </c>
      <c r="K431" s="4">
        <v>48</v>
      </c>
      <c r="L431" s="4">
        <v>48</v>
      </c>
      <c r="M431" s="4">
        <v>9</v>
      </c>
      <c r="N431">
        <f t="shared" si="27"/>
        <v>0.1875</v>
      </c>
    </row>
    <row r="432" spans="6:14">
      <c r="F432" s="4" t="s">
        <v>55</v>
      </c>
      <c r="G432" s="4">
        <v>11072</v>
      </c>
      <c r="H432" s="4"/>
      <c r="I432" s="4" t="s">
        <v>50</v>
      </c>
      <c r="J432" s="6">
        <v>45754</v>
      </c>
      <c r="K432" s="4">
        <v>33</v>
      </c>
      <c r="L432" s="4">
        <v>33</v>
      </c>
      <c r="M432" s="4">
        <v>5</v>
      </c>
      <c r="N432">
        <f t="shared" si="27"/>
        <v>0.15151515151515152</v>
      </c>
    </row>
    <row r="433" spans="6:14">
      <c r="F433" s="4" t="s">
        <v>55</v>
      </c>
      <c r="G433" s="4">
        <v>11072</v>
      </c>
      <c r="H433" s="4"/>
      <c r="I433" s="4" t="s">
        <v>50</v>
      </c>
      <c r="J433" s="6">
        <v>45755</v>
      </c>
      <c r="K433" s="4">
        <v>29</v>
      </c>
      <c r="L433" s="4">
        <v>29</v>
      </c>
      <c r="M433" s="4">
        <v>5</v>
      </c>
      <c r="N433">
        <f t="shared" si="27"/>
        <v>0.17241379310344829</v>
      </c>
    </row>
    <row r="434" spans="6:14">
      <c r="F434" s="4" t="s">
        <v>55</v>
      </c>
      <c r="G434" s="4">
        <v>11072</v>
      </c>
      <c r="H434" s="4"/>
      <c r="I434" s="4" t="s">
        <v>50</v>
      </c>
      <c r="J434" s="6">
        <v>45756</v>
      </c>
      <c r="K434" s="4">
        <v>28</v>
      </c>
      <c r="L434" s="4">
        <v>28</v>
      </c>
      <c r="M434" s="4">
        <v>10</v>
      </c>
      <c r="N434">
        <f t="shared" si="27"/>
        <v>0.35714285714285715</v>
      </c>
    </row>
    <row r="435" spans="6:14">
      <c r="F435" s="4" t="s">
        <v>55</v>
      </c>
      <c r="G435" s="4">
        <v>11072</v>
      </c>
      <c r="H435" s="4"/>
      <c r="I435" s="4" t="s">
        <v>50</v>
      </c>
      <c r="J435" s="6">
        <v>45757</v>
      </c>
      <c r="K435" s="4">
        <v>31</v>
      </c>
      <c r="L435" s="4">
        <v>31</v>
      </c>
      <c r="M435" s="4">
        <v>5</v>
      </c>
      <c r="N435">
        <f t="shared" si="27"/>
        <v>0.16129032258064516</v>
      </c>
    </row>
    <row r="436" spans="6:14">
      <c r="F436" s="4" t="s">
        <v>55</v>
      </c>
      <c r="G436" s="4">
        <v>11072</v>
      </c>
      <c r="H436" s="4"/>
      <c r="I436" s="4" t="s">
        <v>50</v>
      </c>
      <c r="J436" s="6">
        <v>45758</v>
      </c>
      <c r="K436" s="4">
        <v>22</v>
      </c>
      <c r="L436" s="4">
        <v>22</v>
      </c>
      <c r="M436" s="4">
        <v>3</v>
      </c>
      <c r="N436">
        <f t="shared" si="27"/>
        <v>0.13636363636363635</v>
      </c>
    </row>
    <row r="437" spans="6:14">
      <c r="F437" s="4" t="s">
        <v>55</v>
      </c>
      <c r="G437" s="4">
        <v>11072</v>
      </c>
      <c r="H437" s="4"/>
      <c r="I437" s="4" t="s">
        <v>50</v>
      </c>
      <c r="J437" s="6">
        <v>45759</v>
      </c>
      <c r="K437" s="4">
        <v>29</v>
      </c>
      <c r="L437" s="4">
        <v>29</v>
      </c>
      <c r="M437" s="4">
        <v>3</v>
      </c>
      <c r="N437">
        <f t="shared" si="27"/>
        <v>0.10344827586206896</v>
      </c>
    </row>
    <row r="438" spans="6:14">
      <c r="F438" s="4" t="s">
        <v>55</v>
      </c>
      <c r="G438" s="4">
        <v>11072</v>
      </c>
      <c r="H438" s="4"/>
      <c r="I438" s="4" t="s">
        <v>50</v>
      </c>
      <c r="J438" s="6">
        <v>45760</v>
      </c>
      <c r="K438" s="4">
        <v>33</v>
      </c>
      <c r="L438" s="4">
        <v>33</v>
      </c>
      <c r="M438" s="4">
        <v>5</v>
      </c>
      <c r="N438">
        <f t="shared" si="27"/>
        <v>0.15151515151515152</v>
      </c>
    </row>
    <row r="439" spans="6:14">
      <c r="F439" s="4" t="s">
        <v>55</v>
      </c>
      <c r="G439" s="4">
        <v>11072</v>
      </c>
      <c r="H439" s="4"/>
      <c r="I439" s="4" t="s">
        <v>50</v>
      </c>
      <c r="J439" s="6">
        <v>45761</v>
      </c>
      <c r="K439" s="4">
        <v>38</v>
      </c>
      <c r="L439" s="4">
        <v>38</v>
      </c>
      <c r="M439" s="4">
        <v>5</v>
      </c>
      <c r="N439">
        <f t="shared" si="27"/>
        <v>0.13157894736842105</v>
      </c>
    </row>
    <row r="440" spans="6:14">
      <c r="F440" s="4" t="s">
        <v>55</v>
      </c>
      <c r="G440" s="4">
        <v>11072</v>
      </c>
      <c r="H440" s="4"/>
      <c r="I440" s="4" t="s">
        <v>50</v>
      </c>
      <c r="J440" s="6">
        <v>45762</v>
      </c>
      <c r="K440" s="4">
        <v>33</v>
      </c>
      <c r="L440" s="4">
        <v>33</v>
      </c>
      <c r="M440" s="4">
        <v>8</v>
      </c>
      <c r="N440">
        <f t="shared" si="27"/>
        <v>0.24242424242424243</v>
      </c>
    </row>
    <row r="441" spans="6:14">
      <c r="F441" s="4" t="s">
        <v>55</v>
      </c>
      <c r="G441" s="4">
        <v>11072</v>
      </c>
      <c r="H441" s="4"/>
      <c r="I441" s="4" t="s">
        <v>50</v>
      </c>
      <c r="J441" s="6">
        <v>45763</v>
      </c>
      <c r="K441" s="4">
        <v>34</v>
      </c>
      <c r="L441" s="4">
        <v>34</v>
      </c>
      <c r="M441" s="4">
        <v>3</v>
      </c>
      <c r="N441">
        <f t="shared" si="27"/>
        <v>8.8235294117647065E-2</v>
      </c>
    </row>
    <row r="442" spans="6:14">
      <c r="F442" s="4" t="s">
        <v>55</v>
      </c>
      <c r="G442" s="4">
        <v>11072</v>
      </c>
      <c r="H442" s="4"/>
      <c r="I442" s="4" t="s">
        <v>50</v>
      </c>
      <c r="J442" s="6">
        <v>45764</v>
      </c>
      <c r="K442" s="4">
        <v>30</v>
      </c>
      <c r="L442" s="4">
        <v>30</v>
      </c>
      <c r="M442" s="4">
        <v>5</v>
      </c>
      <c r="N442">
        <f t="shared" si="27"/>
        <v>0.16666666666666666</v>
      </c>
    </row>
    <row r="443" spans="6:14">
      <c r="F443" s="4" t="s">
        <v>55</v>
      </c>
      <c r="G443" s="4">
        <v>11072</v>
      </c>
      <c r="H443" s="4"/>
      <c r="I443" s="4" t="s">
        <v>50</v>
      </c>
      <c r="J443" s="6">
        <v>45765</v>
      </c>
      <c r="K443" s="4">
        <v>39</v>
      </c>
      <c r="L443" s="4">
        <v>39</v>
      </c>
      <c r="M443" s="4">
        <v>6</v>
      </c>
      <c r="N443">
        <f t="shared" si="27"/>
        <v>0.15384615384615385</v>
      </c>
    </row>
    <row r="444" spans="6:14">
      <c r="F444" s="4" t="s">
        <v>55</v>
      </c>
      <c r="G444" s="4">
        <v>11072</v>
      </c>
      <c r="H444" s="4"/>
      <c r="I444" s="4" t="s">
        <v>50</v>
      </c>
      <c r="J444" s="6">
        <v>45766</v>
      </c>
      <c r="K444" s="4">
        <v>33</v>
      </c>
      <c r="L444" s="4">
        <v>33</v>
      </c>
      <c r="M444" s="4">
        <v>9</v>
      </c>
      <c r="N444">
        <f t="shared" si="27"/>
        <v>0.27272727272727271</v>
      </c>
    </row>
    <row r="445" spans="6:14">
      <c r="F445" s="4" t="s">
        <v>55</v>
      </c>
      <c r="G445" s="4">
        <v>11072</v>
      </c>
      <c r="H445" s="4"/>
      <c r="I445" s="4" t="s">
        <v>50</v>
      </c>
      <c r="J445" s="6">
        <v>45767</v>
      </c>
      <c r="K445" s="4">
        <v>57</v>
      </c>
      <c r="L445" s="4">
        <v>57</v>
      </c>
      <c r="M445" s="4">
        <v>12</v>
      </c>
      <c r="N445">
        <f t="shared" si="27"/>
        <v>0.21052631578947367</v>
      </c>
    </row>
    <row r="446" spans="6:14">
      <c r="F446" s="4" t="s">
        <v>55</v>
      </c>
      <c r="G446" s="4">
        <v>11072</v>
      </c>
      <c r="H446" s="4"/>
      <c r="I446" s="4" t="s">
        <v>51</v>
      </c>
      <c r="J446" s="6">
        <v>45750</v>
      </c>
      <c r="K446" s="4">
        <v>14</v>
      </c>
      <c r="L446" s="4">
        <v>14</v>
      </c>
      <c r="M446" s="4">
        <v>2</v>
      </c>
      <c r="N446">
        <f t="shared" si="27"/>
        <v>0.14285714285714285</v>
      </c>
    </row>
    <row r="447" spans="6:14">
      <c r="F447" s="4" t="s">
        <v>55</v>
      </c>
      <c r="G447" s="4">
        <v>11072</v>
      </c>
      <c r="H447" s="4"/>
      <c r="I447" s="4" t="s">
        <v>51</v>
      </c>
      <c r="J447" s="6">
        <v>45751</v>
      </c>
      <c r="K447" s="4">
        <v>25</v>
      </c>
      <c r="L447" s="4">
        <v>25</v>
      </c>
      <c r="M447" s="4">
        <v>5</v>
      </c>
      <c r="N447">
        <f t="shared" si="27"/>
        <v>0.2</v>
      </c>
    </row>
    <row r="448" spans="6:14">
      <c r="F448" s="4" t="s">
        <v>55</v>
      </c>
      <c r="G448" s="4">
        <v>11072</v>
      </c>
      <c r="H448" s="4"/>
      <c r="I448" s="4" t="s">
        <v>51</v>
      </c>
      <c r="J448" s="6">
        <v>45752</v>
      </c>
      <c r="K448" s="4">
        <v>42</v>
      </c>
      <c r="L448" s="4">
        <v>42</v>
      </c>
      <c r="M448" s="4">
        <v>12</v>
      </c>
      <c r="N448">
        <f t="shared" si="27"/>
        <v>0.2857142857142857</v>
      </c>
    </row>
    <row r="449" spans="6:14">
      <c r="F449" s="4" t="s">
        <v>55</v>
      </c>
      <c r="G449" s="4">
        <v>11072</v>
      </c>
      <c r="H449" s="4"/>
      <c r="I449" s="4" t="s">
        <v>51</v>
      </c>
      <c r="J449" s="6">
        <v>45753</v>
      </c>
      <c r="K449" s="4">
        <v>44</v>
      </c>
      <c r="L449" s="4">
        <v>44</v>
      </c>
      <c r="M449" s="4">
        <v>9</v>
      </c>
      <c r="N449">
        <f t="shared" si="27"/>
        <v>0.20454545454545456</v>
      </c>
    </row>
    <row r="450" spans="6:14">
      <c r="F450" s="4" t="s">
        <v>55</v>
      </c>
      <c r="G450" s="4">
        <v>11072</v>
      </c>
      <c r="H450" s="4"/>
      <c r="I450" s="4" t="s">
        <v>51</v>
      </c>
      <c r="J450" s="6">
        <v>45754</v>
      </c>
      <c r="K450" s="4">
        <v>48</v>
      </c>
      <c r="L450" s="4">
        <v>48</v>
      </c>
      <c r="M450" s="4">
        <v>16</v>
      </c>
      <c r="N450">
        <f t="shared" si="27"/>
        <v>0.33333333333333331</v>
      </c>
    </row>
    <row r="451" spans="6:14">
      <c r="F451" s="4" t="s">
        <v>55</v>
      </c>
      <c r="G451" s="4">
        <v>11072</v>
      </c>
      <c r="H451" s="4"/>
      <c r="I451" s="4" t="s">
        <v>51</v>
      </c>
      <c r="J451" s="6">
        <v>45755</v>
      </c>
      <c r="K451" s="4">
        <v>54</v>
      </c>
      <c r="L451" s="4">
        <v>54</v>
      </c>
      <c r="M451" s="4">
        <v>13</v>
      </c>
      <c r="N451">
        <f t="shared" ref="N451:N514" si="28">M451/L451</f>
        <v>0.24074074074074073</v>
      </c>
    </row>
    <row r="452" spans="6:14">
      <c r="F452" s="4" t="s">
        <v>55</v>
      </c>
      <c r="G452" s="4">
        <v>11072</v>
      </c>
      <c r="H452" s="4"/>
      <c r="I452" s="4" t="s">
        <v>51</v>
      </c>
      <c r="J452" s="6">
        <v>45756</v>
      </c>
      <c r="K452" s="4">
        <v>57</v>
      </c>
      <c r="L452" s="4">
        <v>57</v>
      </c>
      <c r="M452" s="4">
        <v>15</v>
      </c>
      <c r="N452">
        <f t="shared" si="28"/>
        <v>0.26315789473684209</v>
      </c>
    </row>
    <row r="453" spans="6:14">
      <c r="F453" s="4" t="s">
        <v>55</v>
      </c>
      <c r="G453" s="4">
        <v>11072</v>
      </c>
      <c r="H453" s="4"/>
      <c r="I453" s="4" t="s">
        <v>51</v>
      </c>
      <c r="J453" s="6">
        <v>45757</v>
      </c>
      <c r="K453" s="4">
        <v>91</v>
      </c>
      <c r="L453" s="4">
        <v>91</v>
      </c>
      <c r="M453" s="4">
        <v>27</v>
      </c>
      <c r="N453">
        <f t="shared" si="28"/>
        <v>0.2967032967032967</v>
      </c>
    </row>
    <row r="454" spans="6:14">
      <c r="F454" s="4" t="s">
        <v>55</v>
      </c>
      <c r="G454" s="4">
        <v>11072</v>
      </c>
      <c r="H454" s="4"/>
      <c r="I454" s="4" t="s">
        <v>51</v>
      </c>
      <c r="J454" s="6">
        <v>45758</v>
      </c>
      <c r="K454" s="4">
        <v>86</v>
      </c>
      <c r="L454" s="4">
        <v>86</v>
      </c>
      <c r="M454" s="4">
        <v>17</v>
      </c>
      <c r="N454">
        <f t="shared" si="28"/>
        <v>0.19767441860465115</v>
      </c>
    </row>
    <row r="455" spans="6:14">
      <c r="F455" s="4" t="s">
        <v>55</v>
      </c>
      <c r="G455" s="4">
        <v>11072</v>
      </c>
      <c r="H455" s="4"/>
      <c r="I455" s="4" t="s">
        <v>51</v>
      </c>
      <c r="J455" s="6">
        <v>45759</v>
      </c>
      <c r="K455" s="4">
        <v>106</v>
      </c>
      <c r="L455" s="4">
        <v>106</v>
      </c>
      <c r="M455" s="4">
        <v>27</v>
      </c>
      <c r="N455">
        <f t="shared" si="28"/>
        <v>0.25471698113207547</v>
      </c>
    </row>
    <row r="456" spans="6:14">
      <c r="F456" s="4" t="s">
        <v>55</v>
      </c>
      <c r="G456" s="4">
        <v>11072</v>
      </c>
      <c r="H456" s="4"/>
      <c r="I456" s="4" t="s">
        <v>51</v>
      </c>
      <c r="J456" s="6">
        <v>45760</v>
      </c>
      <c r="K456" s="4">
        <v>133</v>
      </c>
      <c r="L456" s="4">
        <v>133</v>
      </c>
      <c r="M456" s="4">
        <v>23</v>
      </c>
      <c r="N456">
        <f t="shared" si="28"/>
        <v>0.17293233082706766</v>
      </c>
    </row>
    <row r="457" spans="6:14">
      <c r="F457" s="4" t="s">
        <v>55</v>
      </c>
      <c r="G457" s="4">
        <v>11072</v>
      </c>
      <c r="H457" s="4"/>
      <c r="I457" s="4" t="s">
        <v>51</v>
      </c>
      <c r="J457" s="6">
        <v>45761</v>
      </c>
      <c r="K457" s="4">
        <v>104</v>
      </c>
      <c r="L457" s="4">
        <v>104</v>
      </c>
      <c r="M457" s="4">
        <v>21</v>
      </c>
      <c r="N457">
        <f t="shared" si="28"/>
        <v>0.20192307692307693</v>
      </c>
    </row>
    <row r="458" spans="6:14">
      <c r="F458" s="4" t="s">
        <v>55</v>
      </c>
      <c r="G458" s="4">
        <v>11072</v>
      </c>
      <c r="H458" s="4"/>
      <c r="I458" s="4" t="s">
        <v>51</v>
      </c>
      <c r="J458" s="6">
        <v>45762</v>
      </c>
      <c r="K458" s="4">
        <v>105</v>
      </c>
      <c r="L458" s="4">
        <v>105</v>
      </c>
      <c r="M458" s="4">
        <v>27</v>
      </c>
      <c r="N458">
        <f t="shared" si="28"/>
        <v>0.25714285714285712</v>
      </c>
    </row>
    <row r="459" spans="6:14">
      <c r="F459" s="4" t="s">
        <v>55</v>
      </c>
      <c r="G459" s="4">
        <v>11072</v>
      </c>
      <c r="H459" s="4"/>
      <c r="I459" s="4" t="s">
        <v>51</v>
      </c>
      <c r="J459" s="6">
        <v>45763</v>
      </c>
      <c r="K459" s="4">
        <v>126</v>
      </c>
      <c r="L459" s="4">
        <v>126</v>
      </c>
      <c r="M459" s="4">
        <v>33</v>
      </c>
      <c r="N459">
        <f t="shared" si="28"/>
        <v>0.26190476190476192</v>
      </c>
    </row>
    <row r="460" spans="6:14">
      <c r="F460" s="4" t="s">
        <v>55</v>
      </c>
      <c r="G460" s="4">
        <v>11072</v>
      </c>
      <c r="H460" s="4"/>
      <c r="I460" s="4" t="s">
        <v>51</v>
      </c>
      <c r="J460" s="6">
        <v>45764</v>
      </c>
      <c r="K460" s="4">
        <v>136</v>
      </c>
      <c r="L460" s="4">
        <v>136</v>
      </c>
      <c r="M460" s="4">
        <v>32</v>
      </c>
      <c r="N460">
        <f t="shared" si="28"/>
        <v>0.23529411764705882</v>
      </c>
    </row>
    <row r="461" spans="6:14">
      <c r="F461" s="4" t="s">
        <v>55</v>
      </c>
      <c r="G461" s="4">
        <v>11072</v>
      </c>
      <c r="H461" s="4"/>
      <c r="I461" s="4" t="s">
        <v>51</v>
      </c>
      <c r="J461" s="6">
        <v>45765</v>
      </c>
      <c r="K461" s="4">
        <v>144</v>
      </c>
      <c r="L461" s="4">
        <v>144</v>
      </c>
      <c r="M461" s="4">
        <v>48</v>
      </c>
      <c r="N461">
        <f t="shared" si="28"/>
        <v>0.33333333333333331</v>
      </c>
    </row>
    <row r="462" spans="6:14">
      <c r="F462" s="4" t="s">
        <v>55</v>
      </c>
      <c r="G462" s="4">
        <v>11072</v>
      </c>
      <c r="H462" s="4"/>
      <c r="I462" s="4" t="s">
        <v>51</v>
      </c>
      <c r="J462" s="6">
        <v>45766</v>
      </c>
      <c r="K462" s="4">
        <v>134</v>
      </c>
      <c r="L462" s="4">
        <v>134</v>
      </c>
      <c r="M462" s="4">
        <v>40</v>
      </c>
      <c r="N462">
        <f t="shared" si="28"/>
        <v>0.29850746268656714</v>
      </c>
    </row>
    <row r="463" spans="6:14">
      <c r="F463" s="4" t="s">
        <v>55</v>
      </c>
      <c r="G463" s="4">
        <v>11072</v>
      </c>
      <c r="H463" s="4"/>
      <c r="I463" s="4" t="s">
        <v>51</v>
      </c>
      <c r="J463" s="6">
        <v>45767</v>
      </c>
      <c r="K463" s="4">
        <v>186</v>
      </c>
      <c r="L463" s="4">
        <v>186</v>
      </c>
      <c r="M463" s="4">
        <v>47</v>
      </c>
      <c r="N463">
        <f t="shared" si="28"/>
        <v>0.25268817204301075</v>
      </c>
    </row>
    <row r="464" spans="6:14">
      <c r="F464" s="4" t="s">
        <v>55</v>
      </c>
      <c r="G464" s="4">
        <v>11072</v>
      </c>
      <c r="H464" s="4" t="s">
        <v>52</v>
      </c>
      <c r="I464" s="4" t="s">
        <v>50</v>
      </c>
      <c r="J464" s="6">
        <v>45750</v>
      </c>
      <c r="K464" s="4">
        <v>978</v>
      </c>
      <c r="L464" s="4">
        <v>978</v>
      </c>
      <c r="M464" s="4">
        <v>145</v>
      </c>
      <c r="N464">
        <f t="shared" si="28"/>
        <v>0.14826175869120656</v>
      </c>
    </row>
    <row r="465" spans="6:14">
      <c r="F465" s="4" t="s">
        <v>55</v>
      </c>
      <c r="G465" s="4">
        <v>11072</v>
      </c>
      <c r="H465" s="4" t="s">
        <v>52</v>
      </c>
      <c r="I465" s="4" t="s">
        <v>50</v>
      </c>
      <c r="J465" s="6">
        <v>45751</v>
      </c>
      <c r="K465" s="4">
        <v>1006</v>
      </c>
      <c r="L465" s="4">
        <v>1006</v>
      </c>
      <c r="M465" s="4">
        <v>139</v>
      </c>
      <c r="N465">
        <f t="shared" si="28"/>
        <v>0.13817097415506957</v>
      </c>
    </row>
    <row r="466" spans="6:14">
      <c r="F466" s="4" t="s">
        <v>55</v>
      </c>
      <c r="G466" s="4">
        <v>11072</v>
      </c>
      <c r="H466" s="4" t="s">
        <v>52</v>
      </c>
      <c r="I466" s="4" t="s">
        <v>50</v>
      </c>
      <c r="J466" s="6">
        <v>45752</v>
      </c>
      <c r="K466" s="4">
        <v>1157</v>
      </c>
      <c r="L466" s="4">
        <v>1157</v>
      </c>
      <c r="M466" s="4">
        <v>156</v>
      </c>
      <c r="N466">
        <f t="shared" si="28"/>
        <v>0.1348314606741573</v>
      </c>
    </row>
    <row r="467" spans="6:14">
      <c r="F467" s="4" t="s">
        <v>55</v>
      </c>
      <c r="G467" s="4">
        <v>11072</v>
      </c>
      <c r="H467" s="4" t="s">
        <v>52</v>
      </c>
      <c r="I467" s="4" t="s">
        <v>50</v>
      </c>
      <c r="J467" s="6">
        <v>45753</v>
      </c>
      <c r="K467" s="4">
        <v>1635</v>
      </c>
      <c r="L467" s="4">
        <v>1635</v>
      </c>
      <c r="M467" s="4">
        <v>232</v>
      </c>
      <c r="N467">
        <f t="shared" si="28"/>
        <v>0.14189602446483179</v>
      </c>
    </row>
    <row r="468" spans="6:14">
      <c r="F468" s="4" t="s">
        <v>55</v>
      </c>
      <c r="G468" s="4">
        <v>11072</v>
      </c>
      <c r="H468" s="4" t="s">
        <v>52</v>
      </c>
      <c r="I468" s="4" t="s">
        <v>50</v>
      </c>
      <c r="J468" s="6">
        <v>45754</v>
      </c>
      <c r="K468" s="4">
        <v>1479</v>
      </c>
      <c r="L468" s="4">
        <v>1479</v>
      </c>
      <c r="M468" s="4">
        <v>201</v>
      </c>
      <c r="N468">
        <f t="shared" si="28"/>
        <v>0.13590263691683571</v>
      </c>
    </row>
    <row r="469" spans="6:14">
      <c r="F469" s="4" t="s">
        <v>55</v>
      </c>
      <c r="G469" s="4">
        <v>11072</v>
      </c>
      <c r="H469" s="4" t="s">
        <v>52</v>
      </c>
      <c r="I469" s="4" t="s">
        <v>50</v>
      </c>
      <c r="J469" s="6">
        <v>45755</v>
      </c>
      <c r="K469" s="4">
        <v>1101</v>
      </c>
      <c r="L469" s="4">
        <v>1101</v>
      </c>
      <c r="M469" s="4">
        <v>120</v>
      </c>
      <c r="N469">
        <f t="shared" si="28"/>
        <v>0.10899182561307902</v>
      </c>
    </row>
    <row r="470" spans="6:14">
      <c r="F470" s="4" t="s">
        <v>55</v>
      </c>
      <c r="G470" s="4">
        <v>11072</v>
      </c>
      <c r="H470" s="4" t="s">
        <v>52</v>
      </c>
      <c r="I470" s="4" t="s">
        <v>50</v>
      </c>
      <c r="J470" s="6">
        <v>45756</v>
      </c>
      <c r="K470" s="4">
        <v>1055</v>
      </c>
      <c r="L470" s="4">
        <v>1055</v>
      </c>
      <c r="M470" s="4">
        <v>151</v>
      </c>
      <c r="N470">
        <f t="shared" si="28"/>
        <v>0.14312796208530806</v>
      </c>
    </row>
    <row r="471" spans="6:14">
      <c r="F471" s="4" t="s">
        <v>55</v>
      </c>
      <c r="G471" s="4">
        <v>11072</v>
      </c>
      <c r="H471" s="4" t="s">
        <v>52</v>
      </c>
      <c r="I471" s="4" t="s">
        <v>50</v>
      </c>
      <c r="J471" s="6">
        <v>45757</v>
      </c>
      <c r="K471" s="4">
        <v>1076</v>
      </c>
      <c r="L471" s="4">
        <v>1076</v>
      </c>
      <c r="M471" s="4">
        <v>158</v>
      </c>
      <c r="N471">
        <f t="shared" si="28"/>
        <v>0.14684014869888476</v>
      </c>
    </row>
    <row r="472" spans="6:14">
      <c r="F472" s="4" t="s">
        <v>55</v>
      </c>
      <c r="G472" s="4">
        <v>11072</v>
      </c>
      <c r="H472" s="4" t="s">
        <v>52</v>
      </c>
      <c r="I472" s="4" t="s">
        <v>50</v>
      </c>
      <c r="J472" s="6">
        <v>45758</v>
      </c>
      <c r="K472" s="4">
        <v>1117</v>
      </c>
      <c r="L472" s="4">
        <v>1117</v>
      </c>
      <c r="M472" s="4">
        <v>146</v>
      </c>
      <c r="N472">
        <f t="shared" si="28"/>
        <v>0.13070725156669652</v>
      </c>
    </row>
    <row r="473" spans="6:14">
      <c r="F473" s="4" t="s">
        <v>55</v>
      </c>
      <c r="G473" s="4">
        <v>11072</v>
      </c>
      <c r="H473" s="4" t="s">
        <v>52</v>
      </c>
      <c r="I473" s="4" t="s">
        <v>50</v>
      </c>
      <c r="J473" s="6">
        <v>45759</v>
      </c>
      <c r="K473" s="4">
        <v>1104</v>
      </c>
      <c r="L473" s="4">
        <v>1104</v>
      </c>
      <c r="M473" s="4">
        <v>168</v>
      </c>
      <c r="N473">
        <f t="shared" si="28"/>
        <v>0.15217391304347827</v>
      </c>
    </row>
    <row r="474" spans="6:14">
      <c r="F474" s="4" t="s">
        <v>55</v>
      </c>
      <c r="G474" s="4">
        <v>11072</v>
      </c>
      <c r="H474" s="4" t="s">
        <v>52</v>
      </c>
      <c r="I474" s="4" t="s">
        <v>50</v>
      </c>
      <c r="J474" s="6">
        <v>45760</v>
      </c>
      <c r="K474" s="4">
        <v>1593</v>
      </c>
      <c r="L474" s="4">
        <v>1593</v>
      </c>
      <c r="M474" s="4">
        <v>231</v>
      </c>
      <c r="N474">
        <f t="shared" si="28"/>
        <v>0.14500941619585686</v>
      </c>
    </row>
    <row r="475" spans="6:14">
      <c r="F475" s="4" t="s">
        <v>55</v>
      </c>
      <c r="G475" s="4">
        <v>11072</v>
      </c>
      <c r="H475" s="4" t="s">
        <v>52</v>
      </c>
      <c r="I475" s="4" t="s">
        <v>50</v>
      </c>
      <c r="J475" s="6">
        <v>45761</v>
      </c>
      <c r="K475" s="4">
        <v>1583</v>
      </c>
      <c r="L475" s="4">
        <v>1583</v>
      </c>
      <c r="M475" s="4">
        <v>205</v>
      </c>
      <c r="N475">
        <f t="shared" si="28"/>
        <v>0.12950094756790903</v>
      </c>
    </row>
    <row r="476" spans="6:14">
      <c r="F476" s="4" t="s">
        <v>55</v>
      </c>
      <c r="G476" s="4">
        <v>11072</v>
      </c>
      <c r="H476" s="4" t="s">
        <v>52</v>
      </c>
      <c r="I476" s="4" t="s">
        <v>50</v>
      </c>
      <c r="J476" s="6">
        <v>45762</v>
      </c>
      <c r="K476" s="4">
        <v>1289</v>
      </c>
      <c r="L476" s="4">
        <v>1289</v>
      </c>
      <c r="M476" s="4">
        <v>189</v>
      </c>
      <c r="N476">
        <f t="shared" si="28"/>
        <v>0.14662529092319629</v>
      </c>
    </row>
    <row r="477" spans="6:14">
      <c r="F477" s="4" t="s">
        <v>55</v>
      </c>
      <c r="G477" s="4">
        <v>11072</v>
      </c>
      <c r="H477" s="4" t="s">
        <v>52</v>
      </c>
      <c r="I477" s="4" t="s">
        <v>50</v>
      </c>
      <c r="J477" s="6">
        <v>45763</v>
      </c>
      <c r="K477" s="4">
        <v>1188</v>
      </c>
      <c r="L477" s="4">
        <v>1188</v>
      </c>
      <c r="M477" s="4">
        <v>165</v>
      </c>
      <c r="N477">
        <f t="shared" si="28"/>
        <v>0.1388888888888889</v>
      </c>
    </row>
    <row r="478" spans="6:14">
      <c r="F478" s="4" t="s">
        <v>55</v>
      </c>
      <c r="G478" s="4">
        <v>11072</v>
      </c>
      <c r="H478" s="4" t="s">
        <v>52</v>
      </c>
      <c r="I478" s="4" t="s">
        <v>50</v>
      </c>
      <c r="J478" s="6">
        <v>45764</v>
      </c>
      <c r="K478" s="4">
        <v>1102</v>
      </c>
      <c r="L478" s="4">
        <v>1102</v>
      </c>
      <c r="M478" s="4">
        <v>156</v>
      </c>
      <c r="N478">
        <f t="shared" si="28"/>
        <v>0.14156079854809436</v>
      </c>
    </row>
    <row r="479" spans="6:14">
      <c r="F479" s="4" t="s">
        <v>55</v>
      </c>
      <c r="G479" s="4">
        <v>11072</v>
      </c>
      <c r="H479" s="4" t="s">
        <v>52</v>
      </c>
      <c r="I479" s="4" t="s">
        <v>50</v>
      </c>
      <c r="J479" s="6">
        <v>45765</v>
      </c>
      <c r="K479" s="4">
        <v>1139</v>
      </c>
      <c r="L479" s="4">
        <v>1139</v>
      </c>
      <c r="M479" s="4">
        <v>154</v>
      </c>
      <c r="N479">
        <f t="shared" si="28"/>
        <v>0.13520632133450394</v>
      </c>
    </row>
    <row r="480" spans="6:14">
      <c r="F480" s="4" t="s">
        <v>55</v>
      </c>
      <c r="G480" s="4">
        <v>11072</v>
      </c>
      <c r="H480" s="4" t="s">
        <v>52</v>
      </c>
      <c r="I480" s="4" t="s">
        <v>50</v>
      </c>
      <c r="J480" s="6">
        <v>45766</v>
      </c>
      <c r="K480" s="4">
        <v>1329</v>
      </c>
      <c r="L480" s="4">
        <v>1329</v>
      </c>
      <c r="M480" s="4">
        <v>204</v>
      </c>
      <c r="N480">
        <f t="shared" si="28"/>
        <v>0.15349887133182843</v>
      </c>
    </row>
    <row r="481" spans="6:14">
      <c r="F481" s="4" t="s">
        <v>55</v>
      </c>
      <c r="G481" s="4">
        <v>11072</v>
      </c>
      <c r="H481" s="4" t="s">
        <v>52</v>
      </c>
      <c r="I481" s="4" t="s">
        <v>50</v>
      </c>
      <c r="J481" s="6">
        <v>45767</v>
      </c>
      <c r="K481" s="4">
        <v>1569</v>
      </c>
      <c r="L481" s="4">
        <v>1569</v>
      </c>
      <c r="M481" s="4">
        <v>259</v>
      </c>
      <c r="N481">
        <f t="shared" si="28"/>
        <v>0.16507329509241556</v>
      </c>
    </row>
    <row r="482" spans="6:14">
      <c r="F482" s="4" t="s">
        <v>55</v>
      </c>
      <c r="G482" s="4">
        <v>11072</v>
      </c>
      <c r="H482" s="4" t="s">
        <v>52</v>
      </c>
      <c r="I482" s="4" t="s">
        <v>51</v>
      </c>
      <c r="J482" s="6">
        <v>45750</v>
      </c>
      <c r="K482" s="4">
        <v>715</v>
      </c>
      <c r="L482" s="4">
        <v>715</v>
      </c>
      <c r="M482" s="4">
        <v>90</v>
      </c>
      <c r="N482">
        <f t="shared" si="28"/>
        <v>0.12587412587412589</v>
      </c>
    </row>
    <row r="483" spans="6:14">
      <c r="F483" s="4" t="s">
        <v>55</v>
      </c>
      <c r="G483" s="4">
        <v>11072</v>
      </c>
      <c r="H483" s="4" t="s">
        <v>52</v>
      </c>
      <c r="I483" s="4" t="s">
        <v>51</v>
      </c>
      <c r="J483" s="6">
        <v>45751</v>
      </c>
      <c r="K483" s="4">
        <v>1203</v>
      </c>
      <c r="L483" s="4">
        <v>1203</v>
      </c>
      <c r="M483" s="4">
        <v>258</v>
      </c>
      <c r="N483">
        <f t="shared" si="28"/>
        <v>0.21446384039900249</v>
      </c>
    </row>
    <row r="484" spans="6:14">
      <c r="F484" s="4" t="s">
        <v>55</v>
      </c>
      <c r="G484" s="4">
        <v>11072</v>
      </c>
      <c r="H484" s="4" t="s">
        <v>52</v>
      </c>
      <c r="I484" s="4" t="s">
        <v>51</v>
      </c>
      <c r="J484" s="6">
        <v>45752</v>
      </c>
      <c r="K484" s="4">
        <v>1498</v>
      </c>
      <c r="L484" s="4">
        <v>1498</v>
      </c>
      <c r="M484" s="4">
        <v>310</v>
      </c>
      <c r="N484">
        <f t="shared" si="28"/>
        <v>0.20694259012016022</v>
      </c>
    </row>
    <row r="485" spans="6:14">
      <c r="F485" s="4" t="s">
        <v>55</v>
      </c>
      <c r="G485" s="4">
        <v>11072</v>
      </c>
      <c r="H485" s="4" t="s">
        <v>52</v>
      </c>
      <c r="I485" s="4" t="s">
        <v>51</v>
      </c>
      <c r="J485" s="6">
        <v>45753</v>
      </c>
      <c r="K485" s="4">
        <v>2174</v>
      </c>
      <c r="L485" s="4">
        <v>2174</v>
      </c>
      <c r="M485" s="4">
        <v>483</v>
      </c>
      <c r="N485">
        <f t="shared" si="28"/>
        <v>0.22217111315547378</v>
      </c>
    </row>
    <row r="486" spans="6:14">
      <c r="F486" s="4" t="s">
        <v>55</v>
      </c>
      <c r="G486" s="4">
        <v>11072</v>
      </c>
      <c r="H486" s="4" t="s">
        <v>52</v>
      </c>
      <c r="I486" s="4" t="s">
        <v>51</v>
      </c>
      <c r="J486" s="6">
        <v>45754</v>
      </c>
      <c r="K486" s="4">
        <v>2462</v>
      </c>
      <c r="L486" s="4">
        <v>2462</v>
      </c>
      <c r="M486" s="4">
        <v>544</v>
      </c>
      <c r="N486">
        <f t="shared" si="28"/>
        <v>0.22095857026807472</v>
      </c>
    </row>
    <row r="487" spans="6:14">
      <c r="F487" s="4" t="s">
        <v>55</v>
      </c>
      <c r="G487" s="4">
        <v>11072</v>
      </c>
      <c r="H487" s="4" t="s">
        <v>52</v>
      </c>
      <c r="I487" s="4" t="s">
        <v>51</v>
      </c>
      <c r="J487" s="6">
        <v>45755</v>
      </c>
      <c r="K487" s="4">
        <v>2222</v>
      </c>
      <c r="L487" s="4">
        <v>2222</v>
      </c>
      <c r="M487" s="4">
        <v>401</v>
      </c>
      <c r="N487">
        <f t="shared" si="28"/>
        <v>0.18046804680468045</v>
      </c>
    </row>
    <row r="488" spans="6:14">
      <c r="F488" s="4" t="s">
        <v>55</v>
      </c>
      <c r="G488" s="4">
        <v>11072</v>
      </c>
      <c r="H488" s="4" t="s">
        <v>52</v>
      </c>
      <c r="I488" s="4" t="s">
        <v>51</v>
      </c>
      <c r="J488" s="6">
        <v>45756</v>
      </c>
      <c r="K488" s="4">
        <v>2067</v>
      </c>
      <c r="L488" s="4">
        <v>2067</v>
      </c>
      <c r="M488" s="4">
        <v>405</v>
      </c>
      <c r="N488">
        <f t="shared" si="28"/>
        <v>0.19593613933236576</v>
      </c>
    </row>
    <row r="489" spans="6:14">
      <c r="F489" s="4" t="s">
        <v>55</v>
      </c>
      <c r="G489" s="4">
        <v>11072</v>
      </c>
      <c r="H489" s="4" t="s">
        <v>52</v>
      </c>
      <c r="I489" s="4" t="s">
        <v>51</v>
      </c>
      <c r="J489" s="6">
        <v>45757</v>
      </c>
      <c r="K489" s="4">
        <v>2519</v>
      </c>
      <c r="L489" s="4">
        <v>2519</v>
      </c>
      <c r="M489" s="4">
        <v>637</v>
      </c>
      <c r="N489">
        <f t="shared" si="28"/>
        <v>0.25287812624057165</v>
      </c>
    </row>
    <row r="490" spans="6:14">
      <c r="F490" s="4" t="s">
        <v>55</v>
      </c>
      <c r="G490" s="4">
        <v>11072</v>
      </c>
      <c r="H490" s="4" t="s">
        <v>52</v>
      </c>
      <c r="I490" s="4" t="s">
        <v>51</v>
      </c>
      <c r="J490" s="6">
        <v>45758</v>
      </c>
      <c r="K490" s="4">
        <v>3041</v>
      </c>
      <c r="L490" s="4">
        <v>3041</v>
      </c>
      <c r="M490" s="4">
        <v>781</v>
      </c>
      <c r="N490">
        <f t="shared" si="28"/>
        <v>0.25682341335087144</v>
      </c>
    </row>
    <row r="491" spans="6:14">
      <c r="F491" s="4" t="s">
        <v>55</v>
      </c>
      <c r="G491" s="4">
        <v>11072</v>
      </c>
      <c r="H491" s="4" t="s">
        <v>52</v>
      </c>
      <c r="I491" s="4" t="s">
        <v>51</v>
      </c>
      <c r="J491" s="6">
        <v>45759</v>
      </c>
      <c r="K491" s="4">
        <v>3632</v>
      </c>
      <c r="L491" s="4">
        <v>3632</v>
      </c>
      <c r="M491" s="4">
        <v>935</v>
      </c>
      <c r="N491">
        <f t="shared" si="28"/>
        <v>0.25743392070484583</v>
      </c>
    </row>
    <row r="492" spans="6:14">
      <c r="F492" s="4" t="s">
        <v>55</v>
      </c>
      <c r="G492" s="4">
        <v>11072</v>
      </c>
      <c r="H492" s="4" t="s">
        <v>52</v>
      </c>
      <c r="I492" s="4" t="s">
        <v>51</v>
      </c>
      <c r="J492" s="6">
        <v>45760</v>
      </c>
      <c r="K492" s="4">
        <v>4675</v>
      </c>
      <c r="L492" s="4">
        <v>4675</v>
      </c>
      <c r="M492" s="4">
        <v>1024</v>
      </c>
      <c r="N492">
        <f t="shared" si="28"/>
        <v>0.2190374331550802</v>
      </c>
    </row>
    <row r="493" spans="6:14">
      <c r="F493" s="4" t="s">
        <v>55</v>
      </c>
      <c r="G493" s="4">
        <v>11072</v>
      </c>
      <c r="H493" s="4" t="s">
        <v>52</v>
      </c>
      <c r="I493" s="4" t="s">
        <v>51</v>
      </c>
      <c r="J493" s="6">
        <v>45761</v>
      </c>
      <c r="K493" s="4">
        <v>4562</v>
      </c>
      <c r="L493" s="4">
        <v>4562</v>
      </c>
      <c r="M493" s="4">
        <v>888</v>
      </c>
      <c r="N493">
        <f t="shared" si="28"/>
        <v>0.19465146865409907</v>
      </c>
    </row>
    <row r="494" spans="6:14">
      <c r="F494" s="4" t="s">
        <v>55</v>
      </c>
      <c r="G494" s="4">
        <v>11072</v>
      </c>
      <c r="H494" s="4" t="s">
        <v>52</v>
      </c>
      <c r="I494" s="4" t="s">
        <v>51</v>
      </c>
      <c r="J494" s="6">
        <v>45762</v>
      </c>
      <c r="K494" s="4">
        <v>3744</v>
      </c>
      <c r="L494" s="4">
        <v>3744</v>
      </c>
      <c r="M494" s="4">
        <v>705</v>
      </c>
      <c r="N494">
        <f t="shared" si="28"/>
        <v>0.18830128205128205</v>
      </c>
    </row>
    <row r="495" spans="6:14">
      <c r="F495" s="4" t="s">
        <v>55</v>
      </c>
      <c r="G495" s="4">
        <v>11072</v>
      </c>
      <c r="H495" s="4" t="s">
        <v>52</v>
      </c>
      <c r="I495" s="4" t="s">
        <v>51</v>
      </c>
      <c r="J495" s="6">
        <v>45763</v>
      </c>
      <c r="K495" s="4">
        <v>3604</v>
      </c>
      <c r="L495" s="4">
        <v>3604</v>
      </c>
      <c r="M495" s="4">
        <v>705</v>
      </c>
      <c r="N495">
        <f t="shared" si="28"/>
        <v>0.1956159822419534</v>
      </c>
    </row>
    <row r="496" spans="6:14">
      <c r="F496" s="4" t="s">
        <v>55</v>
      </c>
      <c r="G496" s="4">
        <v>11072</v>
      </c>
      <c r="H496" s="4" t="s">
        <v>52</v>
      </c>
      <c r="I496" s="4" t="s">
        <v>51</v>
      </c>
      <c r="J496" s="6">
        <v>45764</v>
      </c>
      <c r="K496" s="4">
        <v>3548</v>
      </c>
      <c r="L496" s="4">
        <v>3548</v>
      </c>
      <c r="M496" s="4">
        <v>708</v>
      </c>
      <c r="N496">
        <f t="shared" si="28"/>
        <v>0.19954904171364149</v>
      </c>
    </row>
    <row r="497" spans="6:14">
      <c r="F497" s="4" t="s">
        <v>55</v>
      </c>
      <c r="G497" s="4">
        <v>11072</v>
      </c>
      <c r="H497" s="4" t="s">
        <v>52</v>
      </c>
      <c r="I497" s="4" t="s">
        <v>51</v>
      </c>
      <c r="J497" s="6">
        <v>45765</v>
      </c>
      <c r="K497" s="4">
        <v>3948</v>
      </c>
      <c r="L497" s="4">
        <v>3948</v>
      </c>
      <c r="M497" s="4">
        <v>878</v>
      </c>
      <c r="N497">
        <f t="shared" si="28"/>
        <v>0.22239108409321176</v>
      </c>
    </row>
    <row r="498" spans="6:14">
      <c r="F498" s="4" t="s">
        <v>55</v>
      </c>
      <c r="G498" s="4">
        <v>11072</v>
      </c>
      <c r="H498" s="4" t="s">
        <v>52</v>
      </c>
      <c r="I498" s="4" t="s">
        <v>51</v>
      </c>
      <c r="J498" s="6">
        <v>45766</v>
      </c>
      <c r="K498" s="4">
        <v>4420</v>
      </c>
      <c r="L498" s="4">
        <v>4420</v>
      </c>
      <c r="M498" s="4">
        <v>1118</v>
      </c>
      <c r="N498">
        <f t="shared" si="28"/>
        <v>0.25294117647058822</v>
      </c>
    </row>
    <row r="499" spans="6:14">
      <c r="F499" s="4" t="s">
        <v>55</v>
      </c>
      <c r="G499" s="4">
        <v>11072</v>
      </c>
      <c r="H499" s="4" t="s">
        <v>52</v>
      </c>
      <c r="I499" s="4" t="s">
        <v>51</v>
      </c>
      <c r="J499" s="6">
        <v>45767</v>
      </c>
      <c r="K499" s="4">
        <v>5783</v>
      </c>
      <c r="L499" s="4">
        <v>5783</v>
      </c>
      <c r="M499" s="4">
        <v>1518</v>
      </c>
      <c r="N499">
        <f t="shared" si="28"/>
        <v>0.26249351547639632</v>
      </c>
    </row>
    <row r="500" spans="6:14">
      <c r="F500" s="4" t="s">
        <v>55</v>
      </c>
      <c r="G500" s="4">
        <v>11072</v>
      </c>
      <c r="H500" s="4" t="s">
        <v>53</v>
      </c>
      <c r="I500" s="4" t="s">
        <v>50</v>
      </c>
      <c r="J500" s="6">
        <v>45750</v>
      </c>
      <c r="K500" s="4">
        <v>362</v>
      </c>
      <c r="L500" s="4">
        <v>362</v>
      </c>
      <c r="M500" s="4">
        <v>80</v>
      </c>
      <c r="N500">
        <f t="shared" si="28"/>
        <v>0.22099447513812154</v>
      </c>
    </row>
    <row r="501" spans="6:14">
      <c r="F501" s="4" t="s">
        <v>55</v>
      </c>
      <c r="G501" s="4">
        <v>11072</v>
      </c>
      <c r="H501" s="4" t="s">
        <v>53</v>
      </c>
      <c r="I501" s="4" t="s">
        <v>50</v>
      </c>
      <c r="J501" s="6">
        <v>45751</v>
      </c>
      <c r="K501" s="4">
        <v>323</v>
      </c>
      <c r="L501" s="4">
        <v>323</v>
      </c>
      <c r="M501" s="4">
        <v>62</v>
      </c>
      <c r="N501">
        <f t="shared" si="28"/>
        <v>0.19195046439628483</v>
      </c>
    </row>
    <row r="502" spans="6:14">
      <c r="F502" s="4" t="s">
        <v>55</v>
      </c>
      <c r="G502" s="4">
        <v>11072</v>
      </c>
      <c r="H502" s="4" t="s">
        <v>53</v>
      </c>
      <c r="I502" s="4" t="s">
        <v>50</v>
      </c>
      <c r="J502" s="6">
        <v>45752</v>
      </c>
      <c r="K502" s="4">
        <v>401</v>
      </c>
      <c r="L502" s="4">
        <v>401</v>
      </c>
      <c r="M502" s="4">
        <v>68</v>
      </c>
      <c r="N502">
        <f t="shared" si="28"/>
        <v>0.16957605985037408</v>
      </c>
    </row>
    <row r="503" spans="6:14">
      <c r="F503" s="4" t="s">
        <v>55</v>
      </c>
      <c r="G503" s="4">
        <v>11072</v>
      </c>
      <c r="H503" s="4" t="s">
        <v>53</v>
      </c>
      <c r="I503" s="4" t="s">
        <v>50</v>
      </c>
      <c r="J503" s="6">
        <v>45753</v>
      </c>
      <c r="K503" s="4">
        <v>424</v>
      </c>
      <c r="L503" s="4">
        <v>424</v>
      </c>
      <c r="M503" s="4">
        <v>61</v>
      </c>
      <c r="N503">
        <f t="shared" si="28"/>
        <v>0.14386792452830188</v>
      </c>
    </row>
    <row r="504" spans="6:14">
      <c r="F504" s="4" t="s">
        <v>55</v>
      </c>
      <c r="G504" s="4">
        <v>11072</v>
      </c>
      <c r="H504" s="4" t="s">
        <v>53</v>
      </c>
      <c r="I504" s="4" t="s">
        <v>50</v>
      </c>
      <c r="J504" s="6">
        <v>45754</v>
      </c>
      <c r="K504" s="4">
        <v>430</v>
      </c>
      <c r="L504" s="4">
        <v>430</v>
      </c>
      <c r="M504" s="4">
        <v>64</v>
      </c>
      <c r="N504">
        <f t="shared" si="28"/>
        <v>0.14883720930232558</v>
      </c>
    </row>
    <row r="505" spans="6:14">
      <c r="F505" s="4" t="s">
        <v>55</v>
      </c>
      <c r="G505" s="4">
        <v>11072</v>
      </c>
      <c r="H505" s="4" t="s">
        <v>53</v>
      </c>
      <c r="I505" s="4" t="s">
        <v>50</v>
      </c>
      <c r="J505" s="6">
        <v>45755</v>
      </c>
      <c r="K505" s="4">
        <v>363</v>
      </c>
      <c r="L505" s="4">
        <v>363</v>
      </c>
      <c r="M505" s="4">
        <v>54</v>
      </c>
      <c r="N505">
        <f t="shared" si="28"/>
        <v>0.1487603305785124</v>
      </c>
    </row>
    <row r="506" spans="6:14">
      <c r="F506" s="4" t="s">
        <v>55</v>
      </c>
      <c r="G506" s="4">
        <v>11072</v>
      </c>
      <c r="H506" s="4" t="s">
        <v>53</v>
      </c>
      <c r="I506" s="4" t="s">
        <v>50</v>
      </c>
      <c r="J506" s="6">
        <v>45756</v>
      </c>
      <c r="K506" s="4">
        <v>357</v>
      </c>
      <c r="L506" s="4">
        <v>357</v>
      </c>
      <c r="M506" s="4">
        <v>62</v>
      </c>
      <c r="N506">
        <f t="shared" si="28"/>
        <v>0.17366946778711484</v>
      </c>
    </row>
    <row r="507" spans="6:14">
      <c r="F507" s="4" t="s">
        <v>55</v>
      </c>
      <c r="G507" s="4">
        <v>11072</v>
      </c>
      <c r="H507" s="4" t="s">
        <v>53</v>
      </c>
      <c r="I507" s="4" t="s">
        <v>50</v>
      </c>
      <c r="J507" s="6">
        <v>45757</v>
      </c>
      <c r="K507" s="4">
        <v>346</v>
      </c>
      <c r="L507" s="4">
        <v>346</v>
      </c>
      <c r="M507" s="4">
        <v>43</v>
      </c>
      <c r="N507">
        <f t="shared" si="28"/>
        <v>0.12427745664739884</v>
      </c>
    </row>
    <row r="508" spans="6:14">
      <c r="F508" s="4" t="s">
        <v>55</v>
      </c>
      <c r="G508" s="4">
        <v>11072</v>
      </c>
      <c r="H508" s="4" t="s">
        <v>53</v>
      </c>
      <c r="I508" s="4" t="s">
        <v>50</v>
      </c>
      <c r="J508" s="6">
        <v>45758</v>
      </c>
      <c r="K508" s="4">
        <v>365</v>
      </c>
      <c r="L508" s="4">
        <v>365</v>
      </c>
      <c r="M508" s="4">
        <v>64</v>
      </c>
      <c r="N508">
        <f t="shared" si="28"/>
        <v>0.17534246575342466</v>
      </c>
    </row>
    <row r="509" spans="6:14">
      <c r="F509" s="4" t="s">
        <v>55</v>
      </c>
      <c r="G509" s="4">
        <v>11072</v>
      </c>
      <c r="H509" s="4" t="s">
        <v>53</v>
      </c>
      <c r="I509" s="4" t="s">
        <v>50</v>
      </c>
      <c r="J509" s="6">
        <v>45759</v>
      </c>
      <c r="K509" s="4">
        <v>385</v>
      </c>
      <c r="L509" s="4">
        <v>385</v>
      </c>
      <c r="M509" s="4">
        <v>71</v>
      </c>
      <c r="N509">
        <f t="shared" si="28"/>
        <v>0.18441558441558442</v>
      </c>
    </row>
    <row r="510" spans="6:14">
      <c r="F510" s="4" t="s">
        <v>55</v>
      </c>
      <c r="G510" s="4">
        <v>11072</v>
      </c>
      <c r="H510" s="4" t="s">
        <v>53</v>
      </c>
      <c r="I510" s="4" t="s">
        <v>50</v>
      </c>
      <c r="J510" s="6">
        <v>45760</v>
      </c>
      <c r="K510" s="4">
        <v>459</v>
      </c>
      <c r="L510" s="4">
        <v>459</v>
      </c>
      <c r="M510" s="4">
        <v>58</v>
      </c>
      <c r="N510">
        <f t="shared" si="28"/>
        <v>0.12636165577342048</v>
      </c>
    </row>
    <row r="511" spans="6:14">
      <c r="F511" s="4" t="s">
        <v>55</v>
      </c>
      <c r="G511" s="4">
        <v>11072</v>
      </c>
      <c r="H511" s="4" t="s">
        <v>53</v>
      </c>
      <c r="I511" s="4" t="s">
        <v>50</v>
      </c>
      <c r="J511" s="6">
        <v>45761</v>
      </c>
      <c r="K511" s="4">
        <v>441</v>
      </c>
      <c r="L511" s="4">
        <v>441</v>
      </c>
      <c r="M511" s="4">
        <v>53</v>
      </c>
      <c r="N511">
        <f t="shared" si="28"/>
        <v>0.12018140589569161</v>
      </c>
    </row>
    <row r="512" spans="6:14">
      <c r="F512" s="4" t="s">
        <v>55</v>
      </c>
      <c r="G512" s="4">
        <v>11072</v>
      </c>
      <c r="H512" s="4" t="s">
        <v>53</v>
      </c>
      <c r="I512" s="4" t="s">
        <v>50</v>
      </c>
      <c r="J512" s="6">
        <v>45762</v>
      </c>
      <c r="K512" s="4">
        <v>349</v>
      </c>
      <c r="L512" s="4">
        <v>349</v>
      </c>
      <c r="M512" s="4">
        <v>58</v>
      </c>
      <c r="N512">
        <f t="shared" si="28"/>
        <v>0.166189111747851</v>
      </c>
    </row>
    <row r="513" spans="6:14">
      <c r="F513" s="4" t="s">
        <v>55</v>
      </c>
      <c r="G513" s="4">
        <v>11072</v>
      </c>
      <c r="H513" s="4" t="s">
        <v>53</v>
      </c>
      <c r="I513" s="4" t="s">
        <v>50</v>
      </c>
      <c r="J513" s="6">
        <v>45763</v>
      </c>
      <c r="K513" s="4">
        <v>379</v>
      </c>
      <c r="L513" s="4">
        <v>379</v>
      </c>
      <c r="M513" s="4">
        <v>73</v>
      </c>
      <c r="N513">
        <f t="shared" si="28"/>
        <v>0.19261213720316622</v>
      </c>
    </row>
    <row r="514" spans="6:14">
      <c r="F514" s="4" t="s">
        <v>55</v>
      </c>
      <c r="G514" s="4">
        <v>11072</v>
      </c>
      <c r="H514" s="4" t="s">
        <v>53</v>
      </c>
      <c r="I514" s="4" t="s">
        <v>50</v>
      </c>
      <c r="J514" s="6">
        <v>45764</v>
      </c>
      <c r="K514" s="4">
        <v>385</v>
      </c>
      <c r="L514" s="4">
        <v>385</v>
      </c>
      <c r="M514" s="4">
        <v>57</v>
      </c>
      <c r="N514">
        <f t="shared" si="28"/>
        <v>0.14805194805194805</v>
      </c>
    </row>
    <row r="515" spans="6:14">
      <c r="F515" s="4" t="s">
        <v>55</v>
      </c>
      <c r="G515" s="4">
        <v>11072</v>
      </c>
      <c r="H515" s="4" t="s">
        <v>53</v>
      </c>
      <c r="I515" s="4" t="s">
        <v>50</v>
      </c>
      <c r="J515" s="6">
        <v>45765</v>
      </c>
      <c r="K515" s="4">
        <v>432</v>
      </c>
      <c r="L515" s="4">
        <v>432</v>
      </c>
      <c r="M515" s="4">
        <v>68</v>
      </c>
      <c r="N515">
        <f t="shared" ref="N515:N578" si="29">M515/L515</f>
        <v>0.15740740740740741</v>
      </c>
    </row>
    <row r="516" spans="6:14">
      <c r="F516" s="4" t="s">
        <v>55</v>
      </c>
      <c r="G516" s="4">
        <v>11072</v>
      </c>
      <c r="H516" s="4" t="s">
        <v>53</v>
      </c>
      <c r="I516" s="4" t="s">
        <v>50</v>
      </c>
      <c r="J516" s="6">
        <v>45766</v>
      </c>
      <c r="K516" s="4">
        <v>403</v>
      </c>
      <c r="L516" s="4">
        <v>403</v>
      </c>
      <c r="M516" s="4">
        <v>81</v>
      </c>
      <c r="N516">
        <f t="shared" si="29"/>
        <v>0.20099255583126552</v>
      </c>
    </row>
    <row r="517" spans="6:14">
      <c r="F517" s="4" t="s">
        <v>55</v>
      </c>
      <c r="G517" s="4">
        <v>11072</v>
      </c>
      <c r="H517" s="4" t="s">
        <v>53</v>
      </c>
      <c r="I517" s="4" t="s">
        <v>50</v>
      </c>
      <c r="J517" s="6">
        <v>45767</v>
      </c>
      <c r="K517" s="4">
        <v>568</v>
      </c>
      <c r="L517" s="4">
        <v>568</v>
      </c>
      <c r="M517" s="4">
        <v>73</v>
      </c>
      <c r="N517">
        <f t="shared" si="29"/>
        <v>0.12852112676056338</v>
      </c>
    </row>
    <row r="518" spans="6:14">
      <c r="F518" s="4" t="s">
        <v>55</v>
      </c>
      <c r="G518" s="4">
        <v>11072</v>
      </c>
      <c r="H518" s="4" t="s">
        <v>53</v>
      </c>
      <c r="I518" s="4" t="s">
        <v>51</v>
      </c>
      <c r="J518" s="6">
        <v>45750</v>
      </c>
      <c r="K518" s="4">
        <v>208</v>
      </c>
      <c r="L518" s="4">
        <v>208</v>
      </c>
      <c r="M518" s="4">
        <v>35</v>
      </c>
      <c r="N518">
        <f t="shared" si="29"/>
        <v>0.16826923076923078</v>
      </c>
    </row>
    <row r="519" spans="6:14">
      <c r="F519" s="4" t="s">
        <v>55</v>
      </c>
      <c r="G519" s="4">
        <v>11072</v>
      </c>
      <c r="H519" s="4" t="s">
        <v>53</v>
      </c>
      <c r="I519" s="4" t="s">
        <v>51</v>
      </c>
      <c r="J519" s="6">
        <v>45751</v>
      </c>
      <c r="K519" s="4">
        <v>364</v>
      </c>
      <c r="L519" s="4">
        <v>364</v>
      </c>
      <c r="M519" s="4">
        <v>62</v>
      </c>
      <c r="N519">
        <f t="shared" si="29"/>
        <v>0.17032967032967034</v>
      </c>
    </row>
    <row r="520" spans="6:14">
      <c r="F520" s="4" t="s">
        <v>55</v>
      </c>
      <c r="G520" s="4">
        <v>11072</v>
      </c>
      <c r="H520" s="4" t="s">
        <v>53</v>
      </c>
      <c r="I520" s="4" t="s">
        <v>51</v>
      </c>
      <c r="J520" s="6">
        <v>45752</v>
      </c>
      <c r="K520" s="4">
        <v>431</v>
      </c>
      <c r="L520" s="4">
        <v>431</v>
      </c>
      <c r="M520" s="4">
        <v>95</v>
      </c>
      <c r="N520">
        <f t="shared" si="29"/>
        <v>0.22041763341067286</v>
      </c>
    </row>
    <row r="521" spans="6:14">
      <c r="F521" s="4" t="s">
        <v>55</v>
      </c>
      <c r="G521" s="4">
        <v>11072</v>
      </c>
      <c r="H521" s="4" t="s">
        <v>53</v>
      </c>
      <c r="I521" s="4" t="s">
        <v>51</v>
      </c>
      <c r="J521" s="6">
        <v>45753</v>
      </c>
      <c r="K521" s="4">
        <v>570</v>
      </c>
      <c r="L521" s="4">
        <v>570</v>
      </c>
      <c r="M521" s="4">
        <v>116</v>
      </c>
      <c r="N521">
        <f t="shared" si="29"/>
        <v>0.20350877192982456</v>
      </c>
    </row>
    <row r="522" spans="6:14">
      <c r="F522" s="4" t="s">
        <v>55</v>
      </c>
      <c r="G522" s="4">
        <v>11072</v>
      </c>
      <c r="H522" s="4" t="s">
        <v>53</v>
      </c>
      <c r="I522" s="4" t="s">
        <v>51</v>
      </c>
      <c r="J522" s="6">
        <v>45754</v>
      </c>
      <c r="K522" s="4">
        <v>553</v>
      </c>
      <c r="L522" s="4">
        <v>553</v>
      </c>
      <c r="M522" s="4">
        <v>122</v>
      </c>
      <c r="N522">
        <f t="shared" si="29"/>
        <v>0.22061482820976491</v>
      </c>
    </row>
    <row r="523" spans="6:14">
      <c r="F523" s="4" t="s">
        <v>55</v>
      </c>
      <c r="G523" s="4">
        <v>11072</v>
      </c>
      <c r="H523" s="4" t="s">
        <v>53</v>
      </c>
      <c r="I523" s="4" t="s">
        <v>51</v>
      </c>
      <c r="J523" s="6">
        <v>45755</v>
      </c>
      <c r="K523" s="4">
        <v>599</v>
      </c>
      <c r="L523" s="4">
        <v>599</v>
      </c>
      <c r="M523" s="4">
        <v>150</v>
      </c>
      <c r="N523">
        <f t="shared" si="29"/>
        <v>0.25041736227045075</v>
      </c>
    </row>
    <row r="524" spans="6:14">
      <c r="F524" s="4" t="s">
        <v>55</v>
      </c>
      <c r="G524" s="4">
        <v>11072</v>
      </c>
      <c r="H524" s="4" t="s">
        <v>53</v>
      </c>
      <c r="I524" s="4" t="s">
        <v>51</v>
      </c>
      <c r="J524" s="6">
        <v>45756</v>
      </c>
      <c r="K524" s="4">
        <v>619</v>
      </c>
      <c r="L524" s="4">
        <v>619</v>
      </c>
      <c r="M524" s="4">
        <v>155</v>
      </c>
      <c r="N524">
        <f t="shared" si="29"/>
        <v>0.25040387722132473</v>
      </c>
    </row>
    <row r="525" spans="6:14">
      <c r="F525" s="4" t="s">
        <v>55</v>
      </c>
      <c r="G525" s="4">
        <v>11072</v>
      </c>
      <c r="H525" s="4" t="s">
        <v>53</v>
      </c>
      <c r="I525" s="4" t="s">
        <v>51</v>
      </c>
      <c r="J525" s="6">
        <v>45757</v>
      </c>
      <c r="K525" s="4">
        <v>703</v>
      </c>
      <c r="L525" s="4">
        <v>703</v>
      </c>
      <c r="M525" s="4">
        <v>175</v>
      </c>
      <c r="N525">
        <f t="shared" si="29"/>
        <v>0.24893314366998578</v>
      </c>
    </row>
    <row r="526" spans="6:14">
      <c r="F526" s="4" t="s">
        <v>55</v>
      </c>
      <c r="G526" s="4">
        <v>11072</v>
      </c>
      <c r="H526" s="4" t="s">
        <v>53</v>
      </c>
      <c r="I526" s="4" t="s">
        <v>51</v>
      </c>
      <c r="J526" s="6">
        <v>45758</v>
      </c>
      <c r="K526" s="4">
        <v>792</v>
      </c>
      <c r="L526" s="4">
        <v>792</v>
      </c>
      <c r="M526" s="4">
        <v>198</v>
      </c>
      <c r="N526">
        <f t="shared" si="29"/>
        <v>0.25</v>
      </c>
    </row>
    <row r="527" spans="6:14">
      <c r="F527" s="4" t="s">
        <v>55</v>
      </c>
      <c r="G527" s="4">
        <v>11072</v>
      </c>
      <c r="H527" s="4" t="s">
        <v>53</v>
      </c>
      <c r="I527" s="4" t="s">
        <v>51</v>
      </c>
      <c r="J527" s="6">
        <v>45759</v>
      </c>
      <c r="K527" s="4">
        <v>928</v>
      </c>
      <c r="L527" s="4">
        <v>928</v>
      </c>
      <c r="M527" s="4">
        <v>191</v>
      </c>
      <c r="N527">
        <f t="shared" si="29"/>
        <v>0.20581896551724138</v>
      </c>
    </row>
    <row r="528" spans="6:14">
      <c r="F528" s="4" t="s">
        <v>55</v>
      </c>
      <c r="G528" s="4">
        <v>11072</v>
      </c>
      <c r="H528" s="4" t="s">
        <v>53</v>
      </c>
      <c r="I528" s="4" t="s">
        <v>51</v>
      </c>
      <c r="J528" s="6">
        <v>45760</v>
      </c>
      <c r="K528" s="4">
        <v>1052</v>
      </c>
      <c r="L528" s="4">
        <v>1052</v>
      </c>
      <c r="M528" s="4">
        <v>241</v>
      </c>
      <c r="N528">
        <f t="shared" si="29"/>
        <v>0.22908745247148288</v>
      </c>
    </row>
    <row r="529" spans="6:14">
      <c r="F529" s="4" t="s">
        <v>55</v>
      </c>
      <c r="G529" s="4">
        <v>11072</v>
      </c>
      <c r="H529" s="4" t="s">
        <v>53</v>
      </c>
      <c r="I529" s="4" t="s">
        <v>51</v>
      </c>
      <c r="J529" s="6">
        <v>45761</v>
      </c>
      <c r="K529" s="4">
        <v>1149</v>
      </c>
      <c r="L529" s="4">
        <v>1149</v>
      </c>
      <c r="M529" s="4">
        <v>256</v>
      </c>
      <c r="N529">
        <f t="shared" si="29"/>
        <v>0.22280243690165361</v>
      </c>
    </row>
    <row r="530" spans="6:14">
      <c r="F530" s="4" t="s">
        <v>55</v>
      </c>
      <c r="G530" s="4">
        <v>11072</v>
      </c>
      <c r="H530" s="4" t="s">
        <v>53</v>
      </c>
      <c r="I530" s="4" t="s">
        <v>51</v>
      </c>
      <c r="J530" s="6">
        <v>45762</v>
      </c>
      <c r="K530" s="4">
        <v>1040</v>
      </c>
      <c r="L530" s="4">
        <v>1040</v>
      </c>
      <c r="M530" s="4">
        <v>247</v>
      </c>
      <c r="N530">
        <f t="shared" si="29"/>
        <v>0.23749999999999999</v>
      </c>
    </row>
    <row r="531" spans="6:14">
      <c r="F531" s="4" t="s">
        <v>55</v>
      </c>
      <c r="G531" s="4">
        <v>11072</v>
      </c>
      <c r="H531" s="4" t="s">
        <v>53</v>
      </c>
      <c r="I531" s="4" t="s">
        <v>51</v>
      </c>
      <c r="J531" s="6">
        <v>45763</v>
      </c>
      <c r="K531" s="4">
        <v>1083</v>
      </c>
      <c r="L531" s="4">
        <v>1083</v>
      </c>
      <c r="M531" s="4">
        <v>273</v>
      </c>
      <c r="N531">
        <f t="shared" si="29"/>
        <v>0.25207756232686979</v>
      </c>
    </row>
    <row r="532" spans="6:14">
      <c r="F532" s="4" t="s">
        <v>55</v>
      </c>
      <c r="G532" s="4">
        <v>11072</v>
      </c>
      <c r="H532" s="4" t="s">
        <v>53</v>
      </c>
      <c r="I532" s="4" t="s">
        <v>51</v>
      </c>
      <c r="J532" s="6">
        <v>45764</v>
      </c>
      <c r="K532" s="4">
        <v>1171</v>
      </c>
      <c r="L532" s="4">
        <v>1171</v>
      </c>
      <c r="M532" s="4">
        <v>304</v>
      </c>
      <c r="N532">
        <f t="shared" si="29"/>
        <v>0.25960717335610589</v>
      </c>
    </row>
    <row r="533" spans="6:14">
      <c r="F533" s="4" t="s">
        <v>55</v>
      </c>
      <c r="G533" s="4">
        <v>11072</v>
      </c>
      <c r="H533" s="4" t="s">
        <v>53</v>
      </c>
      <c r="I533" s="4" t="s">
        <v>51</v>
      </c>
      <c r="J533" s="6">
        <v>45765</v>
      </c>
      <c r="K533" s="4">
        <v>1177</v>
      </c>
      <c r="L533" s="4">
        <v>1177</v>
      </c>
      <c r="M533" s="4">
        <v>317</v>
      </c>
      <c r="N533">
        <f t="shared" si="29"/>
        <v>0.26932880203908244</v>
      </c>
    </row>
    <row r="534" spans="6:14">
      <c r="F534" s="4" t="s">
        <v>55</v>
      </c>
      <c r="G534" s="4">
        <v>11072</v>
      </c>
      <c r="H534" s="4" t="s">
        <v>53</v>
      </c>
      <c r="I534" s="4" t="s">
        <v>51</v>
      </c>
      <c r="J534" s="6">
        <v>45766</v>
      </c>
      <c r="K534" s="4">
        <v>1307</v>
      </c>
      <c r="L534" s="4">
        <v>1307</v>
      </c>
      <c r="M534" s="4">
        <v>372</v>
      </c>
      <c r="N534">
        <f t="shared" si="29"/>
        <v>0.28462127008416221</v>
      </c>
    </row>
    <row r="535" spans="6:14">
      <c r="F535" s="4" t="s">
        <v>55</v>
      </c>
      <c r="G535" s="4">
        <v>11072</v>
      </c>
      <c r="H535" s="4" t="s">
        <v>53</v>
      </c>
      <c r="I535" s="4" t="s">
        <v>51</v>
      </c>
      <c r="J535" s="6">
        <v>45767</v>
      </c>
      <c r="K535" s="4">
        <v>1594</v>
      </c>
      <c r="L535" s="4">
        <v>1594</v>
      </c>
      <c r="M535" s="4">
        <v>388</v>
      </c>
      <c r="N535">
        <f t="shared" si="29"/>
        <v>0.24341279799247176</v>
      </c>
    </row>
    <row r="536" spans="6:14">
      <c r="F536" s="4" t="s">
        <v>55</v>
      </c>
      <c r="G536" s="4">
        <v>11072</v>
      </c>
      <c r="H536" s="4" t="s">
        <v>54</v>
      </c>
      <c r="I536" s="4" t="s">
        <v>50</v>
      </c>
      <c r="J536" s="6">
        <v>45750</v>
      </c>
      <c r="K536" s="4">
        <v>681</v>
      </c>
      <c r="L536" s="4">
        <v>681</v>
      </c>
      <c r="M536" s="4">
        <v>110</v>
      </c>
      <c r="N536">
        <f t="shared" si="29"/>
        <v>0.16152716593245228</v>
      </c>
    </row>
    <row r="537" spans="6:14">
      <c r="F537" s="4" t="s">
        <v>55</v>
      </c>
      <c r="G537" s="4">
        <v>11072</v>
      </c>
      <c r="H537" s="4" t="s">
        <v>54</v>
      </c>
      <c r="I537" s="4" t="s">
        <v>50</v>
      </c>
      <c r="J537" s="6">
        <v>45751</v>
      </c>
      <c r="K537" s="4">
        <v>823</v>
      </c>
      <c r="L537" s="4">
        <v>823</v>
      </c>
      <c r="M537" s="4">
        <v>154</v>
      </c>
      <c r="N537">
        <f t="shared" si="29"/>
        <v>0.18712029161603888</v>
      </c>
    </row>
    <row r="538" spans="6:14">
      <c r="F538" s="4" t="s">
        <v>55</v>
      </c>
      <c r="G538" s="4">
        <v>11072</v>
      </c>
      <c r="H538" s="4" t="s">
        <v>54</v>
      </c>
      <c r="I538" s="4" t="s">
        <v>50</v>
      </c>
      <c r="J538" s="6">
        <v>45752</v>
      </c>
      <c r="K538" s="4">
        <v>779</v>
      </c>
      <c r="L538" s="4">
        <v>779</v>
      </c>
      <c r="M538" s="4">
        <v>138</v>
      </c>
      <c r="N538">
        <f t="shared" si="29"/>
        <v>0.17715019255455713</v>
      </c>
    </row>
    <row r="539" spans="6:14">
      <c r="F539" s="4" t="s">
        <v>55</v>
      </c>
      <c r="G539" s="4">
        <v>11072</v>
      </c>
      <c r="H539" s="4" t="s">
        <v>54</v>
      </c>
      <c r="I539" s="4" t="s">
        <v>50</v>
      </c>
      <c r="J539" s="6">
        <v>45753</v>
      </c>
      <c r="K539" s="4">
        <v>960</v>
      </c>
      <c r="L539" s="4">
        <v>960</v>
      </c>
      <c r="M539" s="4">
        <v>181</v>
      </c>
      <c r="N539">
        <f t="shared" si="29"/>
        <v>0.18854166666666666</v>
      </c>
    </row>
    <row r="540" spans="6:14">
      <c r="F540" s="4" t="s">
        <v>55</v>
      </c>
      <c r="G540" s="4">
        <v>11072</v>
      </c>
      <c r="H540" s="4" t="s">
        <v>54</v>
      </c>
      <c r="I540" s="4" t="s">
        <v>50</v>
      </c>
      <c r="J540" s="6">
        <v>45754</v>
      </c>
      <c r="K540" s="4">
        <v>1003</v>
      </c>
      <c r="L540" s="4">
        <v>1003</v>
      </c>
      <c r="M540" s="4">
        <v>139</v>
      </c>
      <c r="N540">
        <f t="shared" si="29"/>
        <v>0.13858424725822532</v>
      </c>
    </row>
    <row r="541" spans="6:14">
      <c r="F541" s="4" t="s">
        <v>55</v>
      </c>
      <c r="G541" s="4">
        <v>11072</v>
      </c>
      <c r="H541" s="4" t="s">
        <v>54</v>
      </c>
      <c r="I541" s="4" t="s">
        <v>50</v>
      </c>
      <c r="J541" s="6">
        <v>45755</v>
      </c>
      <c r="K541" s="4">
        <v>694</v>
      </c>
      <c r="L541" s="4">
        <v>694</v>
      </c>
      <c r="M541" s="4">
        <v>120</v>
      </c>
      <c r="N541">
        <f t="shared" si="29"/>
        <v>0.1729106628242075</v>
      </c>
    </row>
    <row r="542" spans="6:14">
      <c r="F542" s="4" t="s">
        <v>55</v>
      </c>
      <c r="G542" s="4">
        <v>11072</v>
      </c>
      <c r="H542" s="4" t="s">
        <v>54</v>
      </c>
      <c r="I542" s="4" t="s">
        <v>50</v>
      </c>
      <c r="J542" s="6">
        <v>45756</v>
      </c>
      <c r="K542" s="4">
        <v>711</v>
      </c>
      <c r="L542" s="4">
        <v>711</v>
      </c>
      <c r="M542" s="4">
        <v>134</v>
      </c>
      <c r="N542">
        <f t="shared" si="29"/>
        <v>0.18846694796061886</v>
      </c>
    </row>
    <row r="543" spans="6:14">
      <c r="F543" s="4" t="s">
        <v>55</v>
      </c>
      <c r="G543" s="4">
        <v>11072</v>
      </c>
      <c r="H543" s="4" t="s">
        <v>54</v>
      </c>
      <c r="I543" s="4" t="s">
        <v>50</v>
      </c>
      <c r="J543" s="6">
        <v>45757</v>
      </c>
      <c r="K543" s="4">
        <v>730</v>
      </c>
      <c r="L543" s="4">
        <v>730</v>
      </c>
      <c r="M543" s="4">
        <v>146</v>
      </c>
      <c r="N543">
        <f t="shared" si="29"/>
        <v>0.2</v>
      </c>
    </row>
    <row r="544" spans="6:14">
      <c r="F544" s="4" t="s">
        <v>55</v>
      </c>
      <c r="G544" s="4">
        <v>11072</v>
      </c>
      <c r="H544" s="4" t="s">
        <v>54</v>
      </c>
      <c r="I544" s="4" t="s">
        <v>50</v>
      </c>
      <c r="J544" s="6">
        <v>45758</v>
      </c>
      <c r="K544" s="4">
        <v>739</v>
      </c>
      <c r="L544" s="4">
        <v>739</v>
      </c>
      <c r="M544" s="4">
        <v>131</v>
      </c>
      <c r="N544">
        <f t="shared" si="29"/>
        <v>0.17726657645466848</v>
      </c>
    </row>
    <row r="545" spans="6:14">
      <c r="F545" s="4" t="s">
        <v>55</v>
      </c>
      <c r="G545" s="4">
        <v>11072</v>
      </c>
      <c r="H545" s="4" t="s">
        <v>54</v>
      </c>
      <c r="I545" s="4" t="s">
        <v>50</v>
      </c>
      <c r="J545" s="6">
        <v>45759</v>
      </c>
      <c r="K545" s="4">
        <v>774</v>
      </c>
      <c r="L545" s="4">
        <v>774</v>
      </c>
      <c r="M545" s="4">
        <v>152</v>
      </c>
      <c r="N545">
        <f t="shared" si="29"/>
        <v>0.19638242894056848</v>
      </c>
    </row>
    <row r="546" spans="6:14">
      <c r="F546" s="4" t="s">
        <v>55</v>
      </c>
      <c r="G546" s="4">
        <v>11072</v>
      </c>
      <c r="H546" s="4" t="s">
        <v>54</v>
      </c>
      <c r="I546" s="4" t="s">
        <v>50</v>
      </c>
      <c r="J546" s="6">
        <v>45760</v>
      </c>
      <c r="K546" s="4">
        <v>1000</v>
      </c>
      <c r="L546" s="4">
        <v>1000</v>
      </c>
      <c r="M546" s="4">
        <v>177</v>
      </c>
      <c r="N546">
        <f t="shared" si="29"/>
        <v>0.17699999999999999</v>
      </c>
    </row>
    <row r="547" spans="6:14">
      <c r="F547" s="4" t="s">
        <v>55</v>
      </c>
      <c r="G547" s="4">
        <v>11072</v>
      </c>
      <c r="H547" s="4" t="s">
        <v>54</v>
      </c>
      <c r="I547" s="4" t="s">
        <v>50</v>
      </c>
      <c r="J547" s="6">
        <v>45761</v>
      </c>
      <c r="K547" s="4">
        <v>1103</v>
      </c>
      <c r="L547" s="4">
        <v>1103</v>
      </c>
      <c r="M547" s="4">
        <v>178</v>
      </c>
      <c r="N547">
        <f t="shared" si="29"/>
        <v>0.1613780598368087</v>
      </c>
    </row>
    <row r="548" spans="6:14">
      <c r="F548" s="4" t="s">
        <v>55</v>
      </c>
      <c r="G548" s="4">
        <v>11072</v>
      </c>
      <c r="H548" s="4" t="s">
        <v>54</v>
      </c>
      <c r="I548" s="4" t="s">
        <v>50</v>
      </c>
      <c r="J548" s="6">
        <v>45762</v>
      </c>
      <c r="K548" s="4">
        <v>765</v>
      </c>
      <c r="L548" s="4">
        <v>765</v>
      </c>
      <c r="M548" s="4">
        <v>126</v>
      </c>
      <c r="N548">
        <f t="shared" si="29"/>
        <v>0.16470588235294117</v>
      </c>
    </row>
    <row r="549" spans="6:14">
      <c r="F549" s="4" t="s">
        <v>55</v>
      </c>
      <c r="G549" s="4">
        <v>11072</v>
      </c>
      <c r="H549" s="4" t="s">
        <v>54</v>
      </c>
      <c r="I549" s="4" t="s">
        <v>50</v>
      </c>
      <c r="J549" s="6">
        <v>45763</v>
      </c>
      <c r="K549" s="4">
        <v>752</v>
      </c>
      <c r="L549" s="4">
        <v>752</v>
      </c>
      <c r="M549" s="4">
        <v>132</v>
      </c>
      <c r="N549">
        <f t="shared" si="29"/>
        <v>0.17553191489361702</v>
      </c>
    </row>
    <row r="550" spans="6:14">
      <c r="F550" s="4" t="s">
        <v>55</v>
      </c>
      <c r="G550" s="4">
        <v>11072</v>
      </c>
      <c r="H550" s="4" t="s">
        <v>54</v>
      </c>
      <c r="I550" s="4" t="s">
        <v>50</v>
      </c>
      <c r="J550" s="6">
        <v>45764</v>
      </c>
      <c r="K550" s="4">
        <v>752</v>
      </c>
      <c r="L550" s="4">
        <v>752</v>
      </c>
      <c r="M550" s="4">
        <v>123</v>
      </c>
      <c r="N550">
        <f t="shared" si="29"/>
        <v>0.16356382978723405</v>
      </c>
    </row>
    <row r="551" spans="6:14">
      <c r="F551" s="4" t="s">
        <v>55</v>
      </c>
      <c r="G551" s="4">
        <v>11072</v>
      </c>
      <c r="H551" s="4" t="s">
        <v>54</v>
      </c>
      <c r="I551" s="4" t="s">
        <v>50</v>
      </c>
      <c r="J551" s="6">
        <v>45765</v>
      </c>
      <c r="K551" s="4">
        <v>733</v>
      </c>
      <c r="L551" s="4">
        <v>733</v>
      </c>
      <c r="M551" s="4">
        <v>148</v>
      </c>
      <c r="N551">
        <f t="shared" si="29"/>
        <v>0.20190995907230561</v>
      </c>
    </row>
    <row r="552" spans="6:14">
      <c r="F552" s="4" t="s">
        <v>55</v>
      </c>
      <c r="G552" s="4">
        <v>11072</v>
      </c>
      <c r="H552" s="4" t="s">
        <v>54</v>
      </c>
      <c r="I552" s="4" t="s">
        <v>50</v>
      </c>
      <c r="J552" s="6">
        <v>45766</v>
      </c>
      <c r="K552" s="4">
        <v>983</v>
      </c>
      <c r="L552" s="4">
        <v>983</v>
      </c>
      <c r="M552" s="4">
        <v>190</v>
      </c>
      <c r="N552">
        <f t="shared" si="29"/>
        <v>0.19328585961342828</v>
      </c>
    </row>
    <row r="553" spans="6:14">
      <c r="F553" s="4" t="s">
        <v>55</v>
      </c>
      <c r="G553" s="4">
        <v>11072</v>
      </c>
      <c r="H553" s="4" t="s">
        <v>54</v>
      </c>
      <c r="I553" s="4" t="s">
        <v>50</v>
      </c>
      <c r="J553" s="6">
        <v>45767</v>
      </c>
      <c r="K553" s="4">
        <v>1195</v>
      </c>
      <c r="L553" s="4">
        <v>1195</v>
      </c>
      <c r="M553" s="4">
        <v>233</v>
      </c>
      <c r="N553">
        <f t="shared" si="29"/>
        <v>0.19497907949790794</v>
      </c>
    </row>
    <row r="554" spans="6:14">
      <c r="F554" s="4" t="s">
        <v>55</v>
      </c>
      <c r="G554" s="4">
        <v>11072</v>
      </c>
      <c r="H554" s="4" t="s">
        <v>54</v>
      </c>
      <c r="I554" s="4" t="s">
        <v>51</v>
      </c>
      <c r="J554" s="6">
        <v>45750</v>
      </c>
      <c r="K554" s="4">
        <v>657</v>
      </c>
      <c r="L554" s="4">
        <v>657</v>
      </c>
      <c r="M554" s="4">
        <v>90</v>
      </c>
      <c r="N554">
        <f t="shared" si="29"/>
        <v>0.13698630136986301</v>
      </c>
    </row>
    <row r="555" spans="6:14">
      <c r="F555" s="4" t="s">
        <v>55</v>
      </c>
      <c r="G555" s="4">
        <v>11072</v>
      </c>
      <c r="H555" s="4" t="s">
        <v>54</v>
      </c>
      <c r="I555" s="4" t="s">
        <v>51</v>
      </c>
      <c r="J555" s="6">
        <v>45751</v>
      </c>
      <c r="K555" s="4">
        <v>977</v>
      </c>
      <c r="L555" s="4">
        <v>977</v>
      </c>
      <c r="M555" s="4">
        <v>173</v>
      </c>
      <c r="N555">
        <f t="shared" si="29"/>
        <v>0.17707267144319344</v>
      </c>
    </row>
    <row r="556" spans="6:14">
      <c r="F556" s="4" t="s">
        <v>55</v>
      </c>
      <c r="G556" s="4">
        <v>11072</v>
      </c>
      <c r="H556" s="4" t="s">
        <v>54</v>
      </c>
      <c r="I556" s="4" t="s">
        <v>51</v>
      </c>
      <c r="J556" s="6">
        <v>45752</v>
      </c>
      <c r="K556" s="4">
        <v>1258</v>
      </c>
      <c r="L556" s="4">
        <v>1258</v>
      </c>
      <c r="M556" s="4">
        <v>311</v>
      </c>
      <c r="N556">
        <f t="shared" si="29"/>
        <v>0.24721780604133545</v>
      </c>
    </row>
    <row r="557" spans="6:14">
      <c r="F557" s="4" t="s">
        <v>55</v>
      </c>
      <c r="G557" s="4">
        <v>11072</v>
      </c>
      <c r="H557" s="4" t="s">
        <v>54</v>
      </c>
      <c r="I557" s="4" t="s">
        <v>51</v>
      </c>
      <c r="J557" s="6">
        <v>45753</v>
      </c>
      <c r="K557" s="4">
        <v>1767</v>
      </c>
      <c r="L557" s="4">
        <v>1767</v>
      </c>
      <c r="M557" s="4">
        <v>476</v>
      </c>
      <c r="N557">
        <f t="shared" si="29"/>
        <v>0.26938313525749857</v>
      </c>
    </row>
    <row r="558" spans="6:14">
      <c r="F558" s="4" t="s">
        <v>55</v>
      </c>
      <c r="G558" s="4">
        <v>11072</v>
      </c>
      <c r="H558" s="4" t="s">
        <v>54</v>
      </c>
      <c r="I558" s="4" t="s">
        <v>51</v>
      </c>
      <c r="J558" s="6">
        <v>45754</v>
      </c>
      <c r="K558" s="4">
        <v>2084</v>
      </c>
      <c r="L558" s="4">
        <v>2084</v>
      </c>
      <c r="M558" s="4">
        <v>473</v>
      </c>
      <c r="N558">
        <f t="shared" si="29"/>
        <v>0.22696737044145873</v>
      </c>
    </row>
    <row r="559" spans="6:14">
      <c r="F559" s="4" t="s">
        <v>55</v>
      </c>
      <c r="G559" s="4">
        <v>11072</v>
      </c>
      <c r="H559" s="4" t="s">
        <v>54</v>
      </c>
      <c r="I559" s="4" t="s">
        <v>51</v>
      </c>
      <c r="J559" s="6">
        <v>45755</v>
      </c>
      <c r="K559" s="4">
        <v>1884</v>
      </c>
      <c r="L559" s="4">
        <v>1884</v>
      </c>
      <c r="M559" s="4">
        <v>470</v>
      </c>
      <c r="N559">
        <f t="shared" si="29"/>
        <v>0.2494692144373673</v>
      </c>
    </row>
    <row r="560" spans="6:14">
      <c r="F560" s="4" t="s">
        <v>55</v>
      </c>
      <c r="G560" s="4">
        <v>11072</v>
      </c>
      <c r="H560" s="4" t="s">
        <v>54</v>
      </c>
      <c r="I560" s="4" t="s">
        <v>51</v>
      </c>
      <c r="J560" s="6">
        <v>45756</v>
      </c>
      <c r="K560" s="4">
        <v>1862</v>
      </c>
      <c r="L560" s="4">
        <v>1862</v>
      </c>
      <c r="M560" s="4">
        <v>492</v>
      </c>
      <c r="N560">
        <f t="shared" si="29"/>
        <v>0.26423200859291085</v>
      </c>
    </row>
    <row r="561" spans="6:14">
      <c r="F561" s="4" t="s">
        <v>55</v>
      </c>
      <c r="G561" s="4">
        <v>11072</v>
      </c>
      <c r="H561" s="4" t="s">
        <v>54</v>
      </c>
      <c r="I561" s="4" t="s">
        <v>51</v>
      </c>
      <c r="J561" s="6">
        <v>45757</v>
      </c>
      <c r="K561" s="4">
        <v>2194</v>
      </c>
      <c r="L561" s="4">
        <v>2194</v>
      </c>
      <c r="M561" s="4">
        <v>587</v>
      </c>
      <c r="N561">
        <f t="shared" si="29"/>
        <v>0.2675478577939836</v>
      </c>
    </row>
    <row r="562" spans="6:14">
      <c r="F562" s="4" t="s">
        <v>55</v>
      </c>
      <c r="G562" s="4">
        <v>11072</v>
      </c>
      <c r="H562" s="4" t="s">
        <v>54</v>
      </c>
      <c r="I562" s="4" t="s">
        <v>51</v>
      </c>
      <c r="J562" s="6">
        <v>45758</v>
      </c>
      <c r="K562" s="4">
        <v>2500</v>
      </c>
      <c r="L562" s="4">
        <v>2500</v>
      </c>
      <c r="M562" s="4">
        <v>642</v>
      </c>
      <c r="N562">
        <f t="shared" si="29"/>
        <v>0.25679999999999997</v>
      </c>
    </row>
    <row r="563" spans="6:14">
      <c r="F563" s="4" t="s">
        <v>55</v>
      </c>
      <c r="G563" s="4">
        <v>11072</v>
      </c>
      <c r="H563" s="4" t="s">
        <v>54</v>
      </c>
      <c r="I563" s="4" t="s">
        <v>51</v>
      </c>
      <c r="J563" s="6">
        <v>45759</v>
      </c>
      <c r="K563" s="4">
        <v>2734</v>
      </c>
      <c r="L563" s="4">
        <v>2734</v>
      </c>
      <c r="M563" s="4">
        <v>777</v>
      </c>
      <c r="N563">
        <f t="shared" si="29"/>
        <v>0.28419897585954645</v>
      </c>
    </row>
    <row r="564" spans="6:14">
      <c r="F564" s="4" t="s">
        <v>55</v>
      </c>
      <c r="G564" s="4">
        <v>11072</v>
      </c>
      <c r="H564" s="4" t="s">
        <v>54</v>
      </c>
      <c r="I564" s="4" t="s">
        <v>51</v>
      </c>
      <c r="J564" s="6">
        <v>45760</v>
      </c>
      <c r="K564" s="4">
        <v>3506</v>
      </c>
      <c r="L564" s="4">
        <v>3506</v>
      </c>
      <c r="M564" s="4">
        <v>953</v>
      </c>
      <c r="N564">
        <f t="shared" si="29"/>
        <v>0.27181973759269823</v>
      </c>
    </row>
    <row r="565" spans="6:14">
      <c r="F565" s="4" t="s">
        <v>55</v>
      </c>
      <c r="G565" s="4">
        <v>11072</v>
      </c>
      <c r="H565" s="4" t="s">
        <v>54</v>
      </c>
      <c r="I565" s="4" t="s">
        <v>51</v>
      </c>
      <c r="J565" s="6">
        <v>45761</v>
      </c>
      <c r="K565" s="4">
        <v>3637</v>
      </c>
      <c r="L565" s="4">
        <v>3637</v>
      </c>
      <c r="M565" s="4">
        <v>844</v>
      </c>
      <c r="N565">
        <f t="shared" si="29"/>
        <v>0.23205938960681879</v>
      </c>
    </row>
    <row r="566" spans="6:14">
      <c r="F566" s="4" t="s">
        <v>55</v>
      </c>
      <c r="G566" s="4">
        <v>11072</v>
      </c>
      <c r="H566" s="4" t="s">
        <v>54</v>
      </c>
      <c r="I566" s="4" t="s">
        <v>51</v>
      </c>
      <c r="J566" s="6">
        <v>45762</v>
      </c>
      <c r="K566" s="4">
        <v>3184</v>
      </c>
      <c r="L566" s="4">
        <v>3184</v>
      </c>
      <c r="M566" s="4">
        <v>844</v>
      </c>
      <c r="N566">
        <f t="shared" si="29"/>
        <v>0.26507537688442212</v>
      </c>
    </row>
    <row r="567" spans="6:14">
      <c r="F567" s="4" t="s">
        <v>55</v>
      </c>
      <c r="G567" s="4">
        <v>11072</v>
      </c>
      <c r="H567" s="4" t="s">
        <v>54</v>
      </c>
      <c r="I567" s="4" t="s">
        <v>51</v>
      </c>
      <c r="J567" s="6">
        <v>45763</v>
      </c>
      <c r="K567" s="4">
        <v>3131</v>
      </c>
      <c r="L567" s="4">
        <v>3131</v>
      </c>
      <c r="M567" s="4">
        <v>857</v>
      </c>
      <c r="N567">
        <f t="shared" si="29"/>
        <v>0.27371446822101564</v>
      </c>
    </row>
    <row r="568" spans="6:14">
      <c r="F568" s="4" t="s">
        <v>55</v>
      </c>
      <c r="G568" s="4">
        <v>11072</v>
      </c>
      <c r="H568" s="4" t="s">
        <v>54</v>
      </c>
      <c r="I568" s="4" t="s">
        <v>51</v>
      </c>
      <c r="J568" s="6">
        <v>45764</v>
      </c>
      <c r="K568" s="4">
        <v>3389</v>
      </c>
      <c r="L568" s="4">
        <v>3389</v>
      </c>
      <c r="M568" s="4">
        <v>925</v>
      </c>
      <c r="N568">
        <f t="shared" si="29"/>
        <v>0.27294187075833581</v>
      </c>
    </row>
    <row r="569" spans="6:14">
      <c r="F569" s="4" t="s">
        <v>55</v>
      </c>
      <c r="G569" s="4">
        <v>11072</v>
      </c>
      <c r="H569" s="4" t="s">
        <v>54</v>
      </c>
      <c r="I569" s="4" t="s">
        <v>51</v>
      </c>
      <c r="J569" s="6">
        <v>45765</v>
      </c>
      <c r="K569" s="4">
        <v>3521</v>
      </c>
      <c r="L569" s="4">
        <v>3521</v>
      </c>
      <c r="M569" s="4">
        <v>1069</v>
      </c>
      <c r="N569">
        <f t="shared" si="29"/>
        <v>0.30360692984947457</v>
      </c>
    </row>
    <row r="570" spans="6:14">
      <c r="F570" s="4" t="s">
        <v>55</v>
      </c>
      <c r="G570" s="4">
        <v>11072</v>
      </c>
      <c r="H570" s="4" t="s">
        <v>54</v>
      </c>
      <c r="I570" s="4" t="s">
        <v>51</v>
      </c>
      <c r="J570" s="6">
        <v>45766</v>
      </c>
      <c r="K570" s="4">
        <v>4103</v>
      </c>
      <c r="L570" s="4">
        <v>4103</v>
      </c>
      <c r="M570" s="4">
        <v>1334</v>
      </c>
      <c r="N570">
        <f t="shared" si="29"/>
        <v>0.32512795515476478</v>
      </c>
    </row>
    <row r="571" spans="6:14">
      <c r="F571" s="4" t="s">
        <v>55</v>
      </c>
      <c r="G571" s="4">
        <v>11072</v>
      </c>
      <c r="H571" s="4" t="s">
        <v>54</v>
      </c>
      <c r="I571" s="4" t="s">
        <v>51</v>
      </c>
      <c r="J571" s="6">
        <v>45767</v>
      </c>
      <c r="K571" s="4">
        <v>4941</v>
      </c>
      <c r="L571" s="4">
        <v>4941</v>
      </c>
      <c r="M571" s="4">
        <v>1543</v>
      </c>
      <c r="N571">
        <f t="shared" si="29"/>
        <v>0.31228496255818661</v>
      </c>
    </row>
    <row r="572" spans="6:14">
      <c r="F572" s="4" t="s">
        <v>55</v>
      </c>
      <c r="G572" s="4">
        <v>11073</v>
      </c>
      <c r="H572" s="4"/>
      <c r="I572" s="4" t="s">
        <v>50</v>
      </c>
      <c r="J572" s="6">
        <v>45750</v>
      </c>
      <c r="K572" s="4">
        <v>29</v>
      </c>
      <c r="L572" s="4">
        <v>29</v>
      </c>
      <c r="M572" s="4">
        <v>6</v>
      </c>
      <c r="N572">
        <f t="shared" si="29"/>
        <v>0.20689655172413793</v>
      </c>
    </row>
    <row r="573" spans="6:14">
      <c r="F573" s="4" t="s">
        <v>55</v>
      </c>
      <c r="G573" s="4">
        <v>11073</v>
      </c>
      <c r="H573" s="4"/>
      <c r="I573" s="4" t="s">
        <v>50</v>
      </c>
      <c r="J573" s="6">
        <v>45751</v>
      </c>
      <c r="K573" s="4">
        <v>42</v>
      </c>
      <c r="L573" s="4">
        <v>42</v>
      </c>
      <c r="M573" s="4">
        <v>7</v>
      </c>
      <c r="N573">
        <f t="shared" si="29"/>
        <v>0.16666666666666666</v>
      </c>
    </row>
    <row r="574" spans="6:14">
      <c r="F574" s="4" t="s">
        <v>55</v>
      </c>
      <c r="G574" s="4">
        <v>11073</v>
      </c>
      <c r="H574" s="4"/>
      <c r="I574" s="4" t="s">
        <v>50</v>
      </c>
      <c r="J574" s="6">
        <v>45752</v>
      </c>
      <c r="K574" s="4">
        <v>26</v>
      </c>
      <c r="L574" s="4">
        <v>26</v>
      </c>
      <c r="M574" s="4">
        <v>7</v>
      </c>
      <c r="N574">
        <f t="shared" si="29"/>
        <v>0.26923076923076922</v>
      </c>
    </row>
    <row r="575" spans="6:14">
      <c r="F575" s="4" t="s">
        <v>55</v>
      </c>
      <c r="G575" s="4">
        <v>11073</v>
      </c>
      <c r="H575" s="4"/>
      <c r="I575" s="4" t="s">
        <v>50</v>
      </c>
      <c r="J575" s="6">
        <v>45753</v>
      </c>
      <c r="K575" s="4">
        <v>32</v>
      </c>
      <c r="L575" s="4">
        <v>32</v>
      </c>
      <c r="M575" s="4">
        <v>5</v>
      </c>
      <c r="N575">
        <f t="shared" si="29"/>
        <v>0.15625</v>
      </c>
    </row>
    <row r="576" spans="6:14">
      <c r="F576" s="4" t="s">
        <v>55</v>
      </c>
      <c r="G576" s="4">
        <v>11073</v>
      </c>
      <c r="H576" s="4"/>
      <c r="I576" s="4" t="s">
        <v>50</v>
      </c>
      <c r="J576" s="6">
        <v>45754</v>
      </c>
      <c r="K576" s="4">
        <v>30</v>
      </c>
      <c r="L576" s="4">
        <v>30</v>
      </c>
      <c r="M576" s="4">
        <v>10</v>
      </c>
      <c r="N576">
        <f t="shared" si="29"/>
        <v>0.33333333333333331</v>
      </c>
    </row>
    <row r="577" spans="6:14">
      <c r="F577" s="4" t="s">
        <v>55</v>
      </c>
      <c r="G577" s="4">
        <v>11073</v>
      </c>
      <c r="H577" s="4"/>
      <c r="I577" s="4" t="s">
        <v>50</v>
      </c>
      <c r="J577" s="6">
        <v>45755</v>
      </c>
      <c r="K577" s="4">
        <v>26</v>
      </c>
      <c r="L577" s="4">
        <v>26</v>
      </c>
      <c r="M577" s="4">
        <v>5</v>
      </c>
      <c r="N577">
        <f t="shared" si="29"/>
        <v>0.19230769230769232</v>
      </c>
    </row>
    <row r="578" spans="6:14">
      <c r="F578" s="4" t="s">
        <v>55</v>
      </c>
      <c r="G578" s="4">
        <v>11073</v>
      </c>
      <c r="H578" s="4"/>
      <c r="I578" s="4" t="s">
        <v>50</v>
      </c>
      <c r="J578" s="6">
        <v>45756</v>
      </c>
      <c r="K578" s="4">
        <v>27</v>
      </c>
      <c r="L578" s="4">
        <v>27</v>
      </c>
      <c r="M578" s="4">
        <v>6</v>
      </c>
      <c r="N578">
        <f t="shared" si="29"/>
        <v>0.22222222222222221</v>
      </c>
    </row>
    <row r="579" spans="6:14">
      <c r="F579" s="4" t="s">
        <v>55</v>
      </c>
      <c r="G579" s="4">
        <v>11073</v>
      </c>
      <c r="H579" s="4"/>
      <c r="I579" s="4" t="s">
        <v>50</v>
      </c>
      <c r="J579" s="6">
        <v>45757</v>
      </c>
      <c r="K579" s="4">
        <v>37</v>
      </c>
      <c r="L579" s="4">
        <v>37</v>
      </c>
      <c r="M579" s="4">
        <v>7</v>
      </c>
      <c r="N579">
        <f t="shared" ref="N579:N642" si="30">M579/L579</f>
        <v>0.1891891891891892</v>
      </c>
    </row>
    <row r="580" spans="6:14">
      <c r="F580" s="4" t="s">
        <v>55</v>
      </c>
      <c r="G580" s="4">
        <v>11073</v>
      </c>
      <c r="H580" s="4"/>
      <c r="I580" s="4" t="s">
        <v>50</v>
      </c>
      <c r="J580" s="6">
        <v>45758</v>
      </c>
      <c r="K580" s="4">
        <v>25</v>
      </c>
      <c r="L580" s="4">
        <v>25</v>
      </c>
      <c r="M580" s="4">
        <v>0</v>
      </c>
      <c r="N580">
        <f t="shared" si="30"/>
        <v>0</v>
      </c>
    </row>
    <row r="581" spans="6:14">
      <c r="F581" s="4" t="s">
        <v>55</v>
      </c>
      <c r="G581" s="4">
        <v>11073</v>
      </c>
      <c r="H581" s="4"/>
      <c r="I581" s="4" t="s">
        <v>50</v>
      </c>
      <c r="J581" s="6">
        <v>45759</v>
      </c>
      <c r="K581" s="4">
        <v>43</v>
      </c>
      <c r="L581" s="4">
        <v>43</v>
      </c>
      <c r="M581" s="4">
        <v>10</v>
      </c>
      <c r="N581">
        <f t="shared" si="30"/>
        <v>0.23255813953488372</v>
      </c>
    </row>
    <row r="582" spans="6:14">
      <c r="F582" s="4" t="s">
        <v>55</v>
      </c>
      <c r="G582" s="4">
        <v>11073</v>
      </c>
      <c r="H582" s="4"/>
      <c r="I582" s="4" t="s">
        <v>50</v>
      </c>
      <c r="J582" s="6">
        <v>45760</v>
      </c>
      <c r="K582" s="4">
        <v>45</v>
      </c>
      <c r="L582" s="4">
        <v>45</v>
      </c>
      <c r="M582" s="4">
        <v>14</v>
      </c>
      <c r="N582">
        <f t="shared" si="30"/>
        <v>0.31111111111111112</v>
      </c>
    </row>
    <row r="583" spans="6:14">
      <c r="F583" s="4" t="s">
        <v>55</v>
      </c>
      <c r="G583" s="4">
        <v>11073</v>
      </c>
      <c r="H583" s="4"/>
      <c r="I583" s="4" t="s">
        <v>50</v>
      </c>
      <c r="J583" s="6">
        <v>45761</v>
      </c>
      <c r="K583" s="4">
        <v>32</v>
      </c>
      <c r="L583" s="4">
        <v>32</v>
      </c>
      <c r="M583" s="4">
        <v>5</v>
      </c>
      <c r="N583">
        <f t="shared" si="30"/>
        <v>0.15625</v>
      </c>
    </row>
    <row r="584" spans="6:14">
      <c r="F584" s="4" t="s">
        <v>55</v>
      </c>
      <c r="G584" s="4">
        <v>11073</v>
      </c>
      <c r="H584" s="4"/>
      <c r="I584" s="4" t="s">
        <v>50</v>
      </c>
      <c r="J584" s="6">
        <v>45762</v>
      </c>
      <c r="K584" s="4">
        <v>35</v>
      </c>
      <c r="L584" s="4">
        <v>35</v>
      </c>
      <c r="M584" s="4">
        <v>6</v>
      </c>
      <c r="N584">
        <f t="shared" si="30"/>
        <v>0.17142857142857143</v>
      </c>
    </row>
    <row r="585" spans="6:14">
      <c r="F585" s="4" t="s">
        <v>55</v>
      </c>
      <c r="G585" s="4">
        <v>11073</v>
      </c>
      <c r="H585" s="4"/>
      <c r="I585" s="4" t="s">
        <v>50</v>
      </c>
      <c r="J585" s="6">
        <v>45763</v>
      </c>
      <c r="K585" s="4">
        <v>30</v>
      </c>
      <c r="L585" s="4">
        <v>30</v>
      </c>
      <c r="M585" s="4">
        <v>9</v>
      </c>
      <c r="N585">
        <f t="shared" si="30"/>
        <v>0.3</v>
      </c>
    </row>
    <row r="586" spans="6:14">
      <c r="F586" s="4" t="s">
        <v>55</v>
      </c>
      <c r="G586" s="4">
        <v>11073</v>
      </c>
      <c r="H586" s="4"/>
      <c r="I586" s="4" t="s">
        <v>50</v>
      </c>
      <c r="J586" s="6">
        <v>45764</v>
      </c>
      <c r="K586" s="4">
        <v>26</v>
      </c>
      <c r="L586" s="4">
        <v>26</v>
      </c>
      <c r="M586" s="4">
        <v>6</v>
      </c>
      <c r="N586">
        <f t="shared" si="30"/>
        <v>0.23076923076923078</v>
      </c>
    </row>
    <row r="587" spans="6:14">
      <c r="F587" s="4" t="s">
        <v>55</v>
      </c>
      <c r="G587" s="4">
        <v>11073</v>
      </c>
      <c r="H587" s="4"/>
      <c r="I587" s="4" t="s">
        <v>50</v>
      </c>
      <c r="J587" s="6">
        <v>45765</v>
      </c>
      <c r="K587" s="4">
        <v>34</v>
      </c>
      <c r="L587" s="4">
        <v>34</v>
      </c>
      <c r="M587" s="4">
        <v>9</v>
      </c>
      <c r="N587">
        <f t="shared" si="30"/>
        <v>0.26470588235294118</v>
      </c>
    </row>
    <row r="588" spans="6:14">
      <c r="F588" s="4" t="s">
        <v>55</v>
      </c>
      <c r="G588" s="4">
        <v>11073</v>
      </c>
      <c r="H588" s="4"/>
      <c r="I588" s="4" t="s">
        <v>50</v>
      </c>
      <c r="J588" s="6">
        <v>45766</v>
      </c>
      <c r="K588" s="4">
        <v>37</v>
      </c>
      <c r="L588" s="4">
        <v>37</v>
      </c>
      <c r="M588" s="4">
        <v>3</v>
      </c>
      <c r="N588">
        <f t="shared" si="30"/>
        <v>8.1081081081081086E-2</v>
      </c>
    </row>
    <row r="589" spans="6:14">
      <c r="F589" s="4" t="s">
        <v>55</v>
      </c>
      <c r="G589" s="4">
        <v>11073</v>
      </c>
      <c r="H589" s="4"/>
      <c r="I589" s="4" t="s">
        <v>50</v>
      </c>
      <c r="J589" s="6">
        <v>45767</v>
      </c>
      <c r="K589" s="4">
        <v>38</v>
      </c>
      <c r="L589" s="4">
        <v>38</v>
      </c>
      <c r="M589" s="4">
        <v>8</v>
      </c>
      <c r="N589">
        <f t="shared" si="30"/>
        <v>0.21052631578947367</v>
      </c>
    </row>
    <row r="590" spans="6:14">
      <c r="F590" s="4" t="s">
        <v>55</v>
      </c>
      <c r="G590" s="4">
        <v>11073</v>
      </c>
      <c r="H590" s="4"/>
      <c r="I590" s="4" t="s">
        <v>51</v>
      </c>
      <c r="J590" s="6">
        <v>45750</v>
      </c>
      <c r="K590" s="4">
        <v>20</v>
      </c>
      <c r="L590" s="4">
        <v>20</v>
      </c>
      <c r="M590" s="4">
        <v>1</v>
      </c>
      <c r="N590">
        <f t="shared" si="30"/>
        <v>0.05</v>
      </c>
    </row>
    <row r="591" spans="6:14">
      <c r="F591" s="4" t="s">
        <v>55</v>
      </c>
      <c r="G591" s="4">
        <v>11073</v>
      </c>
      <c r="H591" s="4"/>
      <c r="I591" s="4" t="s">
        <v>51</v>
      </c>
      <c r="J591" s="6">
        <v>45751</v>
      </c>
      <c r="K591" s="4">
        <v>30</v>
      </c>
      <c r="L591" s="4">
        <v>30</v>
      </c>
      <c r="M591" s="4">
        <v>8</v>
      </c>
      <c r="N591">
        <f t="shared" si="30"/>
        <v>0.26666666666666666</v>
      </c>
    </row>
    <row r="592" spans="6:14">
      <c r="F592" s="4" t="s">
        <v>55</v>
      </c>
      <c r="G592" s="4">
        <v>11073</v>
      </c>
      <c r="H592" s="4"/>
      <c r="I592" s="4" t="s">
        <v>51</v>
      </c>
      <c r="J592" s="6">
        <v>45752</v>
      </c>
      <c r="K592" s="4">
        <v>42</v>
      </c>
      <c r="L592" s="4">
        <v>42</v>
      </c>
      <c r="M592" s="4">
        <v>10</v>
      </c>
      <c r="N592">
        <f t="shared" si="30"/>
        <v>0.23809523809523808</v>
      </c>
    </row>
    <row r="593" spans="6:14">
      <c r="F593" s="4" t="s">
        <v>55</v>
      </c>
      <c r="G593" s="4">
        <v>11073</v>
      </c>
      <c r="H593" s="4"/>
      <c r="I593" s="4" t="s">
        <v>51</v>
      </c>
      <c r="J593" s="6">
        <v>45753</v>
      </c>
      <c r="K593" s="4">
        <v>57</v>
      </c>
      <c r="L593" s="4">
        <v>57</v>
      </c>
      <c r="M593" s="4">
        <v>17</v>
      </c>
      <c r="N593">
        <f t="shared" si="30"/>
        <v>0.2982456140350877</v>
      </c>
    </row>
    <row r="594" spans="6:14">
      <c r="F594" s="4" t="s">
        <v>55</v>
      </c>
      <c r="G594" s="4">
        <v>11073</v>
      </c>
      <c r="H594" s="4"/>
      <c r="I594" s="4" t="s">
        <v>51</v>
      </c>
      <c r="J594" s="6">
        <v>45754</v>
      </c>
      <c r="K594" s="4">
        <v>61</v>
      </c>
      <c r="L594" s="4">
        <v>61</v>
      </c>
      <c r="M594" s="4">
        <v>16</v>
      </c>
      <c r="N594">
        <f t="shared" si="30"/>
        <v>0.26229508196721313</v>
      </c>
    </row>
    <row r="595" spans="6:14">
      <c r="F595" s="4" t="s">
        <v>55</v>
      </c>
      <c r="G595" s="4">
        <v>11073</v>
      </c>
      <c r="H595" s="4"/>
      <c r="I595" s="4" t="s">
        <v>51</v>
      </c>
      <c r="J595" s="6">
        <v>45755</v>
      </c>
      <c r="K595" s="4">
        <v>67</v>
      </c>
      <c r="L595" s="4">
        <v>67</v>
      </c>
      <c r="M595" s="4">
        <v>22</v>
      </c>
      <c r="N595">
        <f t="shared" si="30"/>
        <v>0.32835820895522388</v>
      </c>
    </row>
    <row r="596" spans="6:14">
      <c r="F596" s="4" t="s">
        <v>55</v>
      </c>
      <c r="G596" s="4">
        <v>11073</v>
      </c>
      <c r="H596" s="4"/>
      <c r="I596" s="4" t="s">
        <v>51</v>
      </c>
      <c r="J596" s="6">
        <v>45756</v>
      </c>
      <c r="K596" s="4">
        <v>82</v>
      </c>
      <c r="L596" s="4">
        <v>82</v>
      </c>
      <c r="M596" s="4">
        <v>32</v>
      </c>
      <c r="N596">
        <f t="shared" si="30"/>
        <v>0.3902439024390244</v>
      </c>
    </row>
    <row r="597" spans="6:14">
      <c r="F597" s="4" t="s">
        <v>55</v>
      </c>
      <c r="G597" s="4">
        <v>11073</v>
      </c>
      <c r="H597" s="4"/>
      <c r="I597" s="4" t="s">
        <v>51</v>
      </c>
      <c r="J597" s="6">
        <v>45757</v>
      </c>
      <c r="K597" s="4">
        <v>85</v>
      </c>
      <c r="L597" s="4">
        <v>85</v>
      </c>
      <c r="M597" s="4">
        <v>26</v>
      </c>
      <c r="N597">
        <f t="shared" si="30"/>
        <v>0.30588235294117649</v>
      </c>
    </row>
    <row r="598" spans="6:14">
      <c r="F598" s="4" t="s">
        <v>55</v>
      </c>
      <c r="G598" s="4">
        <v>11073</v>
      </c>
      <c r="H598" s="4"/>
      <c r="I598" s="4" t="s">
        <v>51</v>
      </c>
      <c r="J598" s="6">
        <v>45758</v>
      </c>
      <c r="K598" s="4">
        <v>103</v>
      </c>
      <c r="L598" s="4">
        <v>103</v>
      </c>
      <c r="M598" s="4">
        <v>17</v>
      </c>
      <c r="N598">
        <f t="shared" si="30"/>
        <v>0.1650485436893204</v>
      </c>
    </row>
    <row r="599" spans="6:14">
      <c r="F599" s="4" t="s">
        <v>55</v>
      </c>
      <c r="G599" s="4">
        <v>11073</v>
      </c>
      <c r="H599" s="4"/>
      <c r="I599" s="4" t="s">
        <v>51</v>
      </c>
      <c r="J599" s="6">
        <v>45759</v>
      </c>
      <c r="K599" s="4">
        <v>88</v>
      </c>
      <c r="L599" s="4">
        <v>88</v>
      </c>
      <c r="M599" s="4">
        <v>28</v>
      </c>
      <c r="N599">
        <f t="shared" si="30"/>
        <v>0.31818181818181818</v>
      </c>
    </row>
    <row r="600" spans="6:14">
      <c r="F600" s="4" t="s">
        <v>55</v>
      </c>
      <c r="G600" s="4">
        <v>11073</v>
      </c>
      <c r="H600" s="4"/>
      <c r="I600" s="4" t="s">
        <v>51</v>
      </c>
      <c r="J600" s="6">
        <v>45760</v>
      </c>
      <c r="K600" s="4">
        <v>134</v>
      </c>
      <c r="L600" s="4">
        <v>134</v>
      </c>
      <c r="M600" s="4">
        <v>35</v>
      </c>
      <c r="N600">
        <f t="shared" si="30"/>
        <v>0.26119402985074625</v>
      </c>
    </row>
    <row r="601" spans="6:14">
      <c r="F601" s="4" t="s">
        <v>55</v>
      </c>
      <c r="G601" s="4">
        <v>11073</v>
      </c>
      <c r="H601" s="4"/>
      <c r="I601" s="4" t="s">
        <v>51</v>
      </c>
      <c r="J601" s="6">
        <v>45761</v>
      </c>
      <c r="K601" s="4">
        <v>133</v>
      </c>
      <c r="L601" s="4">
        <v>133</v>
      </c>
      <c r="M601" s="4">
        <v>31</v>
      </c>
      <c r="N601">
        <f t="shared" si="30"/>
        <v>0.23308270676691728</v>
      </c>
    </row>
    <row r="602" spans="6:14">
      <c r="F602" s="4" t="s">
        <v>55</v>
      </c>
      <c r="G602" s="4">
        <v>11073</v>
      </c>
      <c r="H602" s="4"/>
      <c r="I602" s="4" t="s">
        <v>51</v>
      </c>
      <c r="J602" s="6">
        <v>45762</v>
      </c>
      <c r="K602" s="4">
        <v>119</v>
      </c>
      <c r="L602" s="4">
        <v>119</v>
      </c>
      <c r="M602" s="4">
        <v>26</v>
      </c>
      <c r="N602">
        <f t="shared" si="30"/>
        <v>0.21848739495798319</v>
      </c>
    </row>
    <row r="603" spans="6:14">
      <c r="F603" s="4" t="s">
        <v>55</v>
      </c>
      <c r="G603" s="4">
        <v>11073</v>
      </c>
      <c r="H603" s="4"/>
      <c r="I603" s="4" t="s">
        <v>51</v>
      </c>
      <c r="J603" s="6">
        <v>45763</v>
      </c>
      <c r="K603" s="4">
        <v>136</v>
      </c>
      <c r="L603" s="4">
        <v>136</v>
      </c>
      <c r="M603" s="4">
        <v>31</v>
      </c>
      <c r="N603">
        <f t="shared" si="30"/>
        <v>0.22794117647058823</v>
      </c>
    </row>
    <row r="604" spans="6:14">
      <c r="F604" s="4" t="s">
        <v>55</v>
      </c>
      <c r="G604" s="4">
        <v>11073</v>
      </c>
      <c r="H604" s="4"/>
      <c r="I604" s="4" t="s">
        <v>51</v>
      </c>
      <c r="J604" s="6">
        <v>45764</v>
      </c>
      <c r="K604" s="4">
        <v>125</v>
      </c>
      <c r="L604" s="4">
        <v>125</v>
      </c>
      <c r="M604" s="4">
        <v>34</v>
      </c>
      <c r="N604">
        <f t="shared" si="30"/>
        <v>0.27200000000000002</v>
      </c>
    </row>
    <row r="605" spans="6:14">
      <c r="F605" s="4" t="s">
        <v>55</v>
      </c>
      <c r="G605" s="4">
        <v>11073</v>
      </c>
      <c r="H605" s="4"/>
      <c r="I605" s="4" t="s">
        <v>51</v>
      </c>
      <c r="J605" s="6">
        <v>45765</v>
      </c>
      <c r="K605" s="4">
        <v>164</v>
      </c>
      <c r="L605" s="4">
        <v>164</v>
      </c>
      <c r="M605" s="4">
        <v>41</v>
      </c>
      <c r="N605">
        <f t="shared" si="30"/>
        <v>0.25</v>
      </c>
    </row>
    <row r="606" spans="6:14">
      <c r="F606" s="4" t="s">
        <v>55</v>
      </c>
      <c r="G606" s="4">
        <v>11073</v>
      </c>
      <c r="H606" s="4"/>
      <c r="I606" s="4" t="s">
        <v>51</v>
      </c>
      <c r="J606" s="6">
        <v>45766</v>
      </c>
      <c r="K606" s="4">
        <v>159</v>
      </c>
      <c r="L606" s="4">
        <v>159</v>
      </c>
      <c r="M606" s="4">
        <v>40</v>
      </c>
      <c r="N606">
        <f t="shared" si="30"/>
        <v>0.25157232704402516</v>
      </c>
    </row>
    <row r="607" spans="6:14">
      <c r="F607" s="4" t="s">
        <v>55</v>
      </c>
      <c r="G607" s="4">
        <v>11073</v>
      </c>
      <c r="H607" s="4"/>
      <c r="I607" s="4" t="s">
        <v>51</v>
      </c>
      <c r="J607" s="6">
        <v>45767</v>
      </c>
      <c r="K607" s="4">
        <v>167</v>
      </c>
      <c r="L607" s="4">
        <v>167</v>
      </c>
      <c r="M607" s="4">
        <v>43</v>
      </c>
      <c r="N607">
        <f t="shared" si="30"/>
        <v>0.25748502994011974</v>
      </c>
    </row>
    <row r="608" spans="6:14">
      <c r="F608" s="4" t="s">
        <v>55</v>
      </c>
      <c r="G608" s="4">
        <v>11073</v>
      </c>
      <c r="H608" s="4" t="s">
        <v>52</v>
      </c>
      <c r="I608" s="4" t="s">
        <v>50</v>
      </c>
      <c r="J608" s="6">
        <v>45750</v>
      </c>
      <c r="K608" s="4">
        <v>963</v>
      </c>
      <c r="L608" s="4">
        <v>963</v>
      </c>
      <c r="M608" s="4">
        <v>146</v>
      </c>
      <c r="N608">
        <f t="shared" si="30"/>
        <v>0.15160955347871236</v>
      </c>
    </row>
    <row r="609" spans="6:14">
      <c r="F609" s="4" t="s">
        <v>55</v>
      </c>
      <c r="G609" s="4">
        <v>11073</v>
      </c>
      <c r="H609" s="4" t="s">
        <v>52</v>
      </c>
      <c r="I609" s="4" t="s">
        <v>50</v>
      </c>
      <c r="J609" s="6">
        <v>45751</v>
      </c>
      <c r="K609" s="4">
        <v>1087</v>
      </c>
      <c r="L609" s="4">
        <v>1087</v>
      </c>
      <c r="M609" s="4">
        <v>181</v>
      </c>
      <c r="N609">
        <f t="shared" si="30"/>
        <v>0.16651333946642136</v>
      </c>
    </row>
    <row r="610" spans="6:14">
      <c r="F610" s="4" t="s">
        <v>55</v>
      </c>
      <c r="G610" s="4">
        <v>11073</v>
      </c>
      <c r="H610" s="4" t="s">
        <v>52</v>
      </c>
      <c r="I610" s="4" t="s">
        <v>50</v>
      </c>
      <c r="J610" s="6">
        <v>45752</v>
      </c>
      <c r="K610" s="4">
        <v>1156</v>
      </c>
      <c r="L610" s="4">
        <v>1156</v>
      </c>
      <c r="M610" s="4">
        <v>233</v>
      </c>
      <c r="N610">
        <f t="shared" si="30"/>
        <v>0.20155709342560554</v>
      </c>
    </row>
    <row r="611" spans="6:14">
      <c r="F611" s="4" t="s">
        <v>55</v>
      </c>
      <c r="G611" s="4">
        <v>11073</v>
      </c>
      <c r="H611" s="4" t="s">
        <v>52</v>
      </c>
      <c r="I611" s="4" t="s">
        <v>50</v>
      </c>
      <c r="J611" s="6">
        <v>45753</v>
      </c>
      <c r="K611" s="4">
        <v>1572</v>
      </c>
      <c r="L611" s="4">
        <v>1572</v>
      </c>
      <c r="M611" s="4">
        <v>267</v>
      </c>
      <c r="N611">
        <f t="shared" si="30"/>
        <v>0.16984732824427481</v>
      </c>
    </row>
    <row r="612" spans="6:14">
      <c r="F612" s="4" t="s">
        <v>55</v>
      </c>
      <c r="G612" s="4">
        <v>11073</v>
      </c>
      <c r="H612" s="4" t="s">
        <v>52</v>
      </c>
      <c r="I612" s="4" t="s">
        <v>50</v>
      </c>
      <c r="J612" s="6">
        <v>45754</v>
      </c>
      <c r="K612" s="4">
        <v>1533</v>
      </c>
      <c r="L612" s="4">
        <v>1533</v>
      </c>
      <c r="M612" s="4">
        <v>232</v>
      </c>
      <c r="N612">
        <f t="shared" si="30"/>
        <v>0.15133724722765818</v>
      </c>
    </row>
    <row r="613" spans="6:14">
      <c r="F613" s="4" t="s">
        <v>55</v>
      </c>
      <c r="G613" s="4">
        <v>11073</v>
      </c>
      <c r="H613" s="4" t="s">
        <v>52</v>
      </c>
      <c r="I613" s="4" t="s">
        <v>50</v>
      </c>
      <c r="J613" s="6">
        <v>45755</v>
      </c>
      <c r="K613" s="4">
        <v>1214</v>
      </c>
      <c r="L613" s="4">
        <v>1214</v>
      </c>
      <c r="M613" s="4">
        <v>184</v>
      </c>
      <c r="N613">
        <f t="shared" si="30"/>
        <v>0.1515650741350906</v>
      </c>
    </row>
    <row r="614" spans="6:14">
      <c r="F614" s="4" t="s">
        <v>55</v>
      </c>
      <c r="G614" s="4">
        <v>11073</v>
      </c>
      <c r="H614" s="4" t="s">
        <v>52</v>
      </c>
      <c r="I614" s="4" t="s">
        <v>50</v>
      </c>
      <c r="J614" s="6">
        <v>45756</v>
      </c>
      <c r="K614" s="4">
        <v>1145</v>
      </c>
      <c r="L614" s="4">
        <v>1145</v>
      </c>
      <c r="M614" s="4">
        <v>179</v>
      </c>
      <c r="N614">
        <f t="shared" si="30"/>
        <v>0.15633187772925763</v>
      </c>
    </row>
    <row r="615" spans="6:14">
      <c r="F615" s="4" t="s">
        <v>55</v>
      </c>
      <c r="G615" s="4">
        <v>11073</v>
      </c>
      <c r="H615" s="4" t="s">
        <v>52</v>
      </c>
      <c r="I615" s="4" t="s">
        <v>50</v>
      </c>
      <c r="J615" s="6">
        <v>45757</v>
      </c>
      <c r="K615" s="4">
        <v>1113</v>
      </c>
      <c r="L615" s="4">
        <v>1113</v>
      </c>
      <c r="M615" s="4">
        <v>188</v>
      </c>
      <c r="N615">
        <f t="shared" si="30"/>
        <v>0.16891284815813118</v>
      </c>
    </row>
    <row r="616" spans="6:14">
      <c r="F616" s="4" t="s">
        <v>55</v>
      </c>
      <c r="G616" s="4">
        <v>11073</v>
      </c>
      <c r="H616" s="4" t="s">
        <v>52</v>
      </c>
      <c r="I616" s="4" t="s">
        <v>50</v>
      </c>
      <c r="J616" s="6">
        <v>45758</v>
      </c>
      <c r="K616" s="4">
        <v>1100</v>
      </c>
      <c r="L616" s="4">
        <v>1100</v>
      </c>
      <c r="M616" s="4">
        <v>186</v>
      </c>
      <c r="N616">
        <f t="shared" si="30"/>
        <v>0.1690909090909091</v>
      </c>
    </row>
    <row r="617" spans="6:14">
      <c r="F617" s="4" t="s">
        <v>55</v>
      </c>
      <c r="G617" s="4">
        <v>11073</v>
      </c>
      <c r="H617" s="4" t="s">
        <v>52</v>
      </c>
      <c r="I617" s="4" t="s">
        <v>50</v>
      </c>
      <c r="J617" s="6">
        <v>45759</v>
      </c>
      <c r="K617" s="4">
        <v>1159</v>
      </c>
      <c r="L617" s="4">
        <v>1159</v>
      </c>
      <c r="M617" s="4">
        <v>215</v>
      </c>
      <c r="N617">
        <f t="shared" si="30"/>
        <v>0.18550474547023296</v>
      </c>
    </row>
    <row r="618" spans="6:14">
      <c r="F618" s="4" t="s">
        <v>55</v>
      </c>
      <c r="G618" s="4">
        <v>11073</v>
      </c>
      <c r="H618" s="4" t="s">
        <v>52</v>
      </c>
      <c r="I618" s="4" t="s">
        <v>50</v>
      </c>
      <c r="J618" s="6">
        <v>45760</v>
      </c>
      <c r="K618" s="4">
        <v>1563</v>
      </c>
      <c r="L618" s="4">
        <v>1563</v>
      </c>
      <c r="M618" s="4">
        <v>280</v>
      </c>
      <c r="N618">
        <f t="shared" si="30"/>
        <v>0.17914267434420986</v>
      </c>
    </row>
    <row r="619" spans="6:14">
      <c r="F619" s="4" t="s">
        <v>55</v>
      </c>
      <c r="G619" s="4">
        <v>11073</v>
      </c>
      <c r="H619" s="4" t="s">
        <v>52</v>
      </c>
      <c r="I619" s="4" t="s">
        <v>50</v>
      </c>
      <c r="J619" s="6">
        <v>45761</v>
      </c>
      <c r="K619" s="4">
        <v>1546</v>
      </c>
      <c r="L619" s="4">
        <v>1546</v>
      </c>
      <c r="M619" s="4">
        <v>241</v>
      </c>
      <c r="N619">
        <f t="shared" si="30"/>
        <v>0.15588615782664941</v>
      </c>
    </row>
    <row r="620" spans="6:14">
      <c r="F620" s="4" t="s">
        <v>55</v>
      </c>
      <c r="G620" s="4">
        <v>11073</v>
      </c>
      <c r="H620" s="4" t="s">
        <v>52</v>
      </c>
      <c r="I620" s="4" t="s">
        <v>50</v>
      </c>
      <c r="J620" s="6">
        <v>45762</v>
      </c>
      <c r="K620" s="4">
        <v>1221</v>
      </c>
      <c r="L620" s="4">
        <v>1221</v>
      </c>
      <c r="M620" s="4">
        <v>209</v>
      </c>
      <c r="N620">
        <f t="shared" si="30"/>
        <v>0.17117117117117117</v>
      </c>
    </row>
    <row r="621" spans="6:14">
      <c r="F621" s="4" t="s">
        <v>55</v>
      </c>
      <c r="G621" s="4">
        <v>11073</v>
      </c>
      <c r="H621" s="4" t="s">
        <v>52</v>
      </c>
      <c r="I621" s="4" t="s">
        <v>50</v>
      </c>
      <c r="J621" s="6">
        <v>45763</v>
      </c>
      <c r="K621" s="4">
        <v>1143</v>
      </c>
      <c r="L621" s="4">
        <v>1143</v>
      </c>
      <c r="M621" s="4">
        <v>178</v>
      </c>
      <c r="N621">
        <f t="shared" si="30"/>
        <v>0.1557305336832896</v>
      </c>
    </row>
    <row r="622" spans="6:14">
      <c r="F622" s="4" t="s">
        <v>55</v>
      </c>
      <c r="G622" s="4">
        <v>11073</v>
      </c>
      <c r="H622" s="4" t="s">
        <v>52</v>
      </c>
      <c r="I622" s="4" t="s">
        <v>50</v>
      </c>
      <c r="J622" s="6">
        <v>45764</v>
      </c>
      <c r="K622" s="4">
        <v>1119</v>
      </c>
      <c r="L622" s="4">
        <v>1119</v>
      </c>
      <c r="M622" s="4">
        <v>185</v>
      </c>
      <c r="N622">
        <f t="shared" si="30"/>
        <v>0.16532618409294011</v>
      </c>
    </row>
    <row r="623" spans="6:14">
      <c r="F623" s="4" t="s">
        <v>55</v>
      </c>
      <c r="G623" s="4">
        <v>11073</v>
      </c>
      <c r="H623" s="4" t="s">
        <v>52</v>
      </c>
      <c r="I623" s="4" t="s">
        <v>50</v>
      </c>
      <c r="J623" s="6">
        <v>45765</v>
      </c>
      <c r="K623" s="4">
        <v>1229</v>
      </c>
      <c r="L623" s="4">
        <v>1229</v>
      </c>
      <c r="M623" s="4">
        <v>221</v>
      </c>
      <c r="N623">
        <f t="shared" si="30"/>
        <v>0.17982099267697316</v>
      </c>
    </row>
    <row r="624" spans="6:14">
      <c r="F624" s="4" t="s">
        <v>55</v>
      </c>
      <c r="G624" s="4">
        <v>11073</v>
      </c>
      <c r="H624" s="4" t="s">
        <v>52</v>
      </c>
      <c r="I624" s="4" t="s">
        <v>50</v>
      </c>
      <c r="J624" s="6">
        <v>45766</v>
      </c>
      <c r="K624" s="4">
        <v>1396</v>
      </c>
      <c r="L624" s="4">
        <v>1396</v>
      </c>
      <c r="M624" s="4">
        <v>247</v>
      </c>
      <c r="N624">
        <f t="shared" si="30"/>
        <v>0.17693409742120345</v>
      </c>
    </row>
    <row r="625" spans="6:14">
      <c r="F625" s="4" t="s">
        <v>55</v>
      </c>
      <c r="G625" s="4">
        <v>11073</v>
      </c>
      <c r="H625" s="4" t="s">
        <v>52</v>
      </c>
      <c r="I625" s="4" t="s">
        <v>50</v>
      </c>
      <c r="J625" s="6">
        <v>45767</v>
      </c>
      <c r="K625" s="4">
        <v>1602</v>
      </c>
      <c r="L625" s="4">
        <v>1602</v>
      </c>
      <c r="M625" s="4">
        <v>311</v>
      </c>
      <c r="N625">
        <f t="shared" si="30"/>
        <v>0.19413233458177279</v>
      </c>
    </row>
    <row r="626" spans="6:14">
      <c r="F626" s="4" t="s">
        <v>55</v>
      </c>
      <c r="G626" s="4">
        <v>11073</v>
      </c>
      <c r="H626" s="4" t="s">
        <v>52</v>
      </c>
      <c r="I626" s="4" t="s">
        <v>51</v>
      </c>
      <c r="J626" s="6">
        <v>45750</v>
      </c>
      <c r="K626" s="4">
        <v>756</v>
      </c>
      <c r="L626" s="4">
        <v>756</v>
      </c>
      <c r="M626" s="4">
        <v>99</v>
      </c>
      <c r="N626">
        <f t="shared" si="30"/>
        <v>0.13095238095238096</v>
      </c>
    </row>
    <row r="627" spans="6:14">
      <c r="F627" s="4" t="s">
        <v>55</v>
      </c>
      <c r="G627" s="4">
        <v>11073</v>
      </c>
      <c r="H627" s="4" t="s">
        <v>52</v>
      </c>
      <c r="I627" s="4" t="s">
        <v>51</v>
      </c>
      <c r="J627" s="6">
        <v>45751</v>
      </c>
      <c r="K627" s="4">
        <v>1258</v>
      </c>
      <c r="L627" s="4">
        <v>1258</v>
      </c>
      <c r="M627" s="4">
        <v>313</v>
      </c>
      <c r="N627">
        <f t="shared" si="30"/>
        <v>0.24880763116057233</v>
      </c>
    </row>
    <row r="628" spans="6:14">
      <c r="F628" s="4" t="s">
        <v>55</v>
      </c>
      <c r="G628" s="4">
        <v>11073</v>
      </c>
      <c r="H628" s="4" t="s">
        <v>52</v>
      </c>
      <c r="I628" s="4" t="s">
        <v>51</v>
      </c>
      <c r="J628" s="6">
        <v>45752</v>
      </c>
      <c r="K628" s="4">
        <v>1679</v>
      </c>
      <c r="L628" s="4">
        <v>1679</v>
      </c>
      <c r="M628" s="4">
        <v>345</v>
      </c>
      <c r="N628">
        <f t="shared" si="30"/>
        <v>0.20547945205479451</v>
      </c>
    </row>
    <row r="629" spans="6:14">
      <c r="F629" s="4" t="s">
        <v>55</v>
      </c>
      <c r="G629" s="4">
        <v>11073</v>
      </c>
      <c r="H629" s="4" t="s">
        <v>52</v>
      </c>
      <c r="I629" s="4" t="s">
        <v>51</v>
      </c>
      <c r="J629" s="6">
        <v>45753</v>
      </c>
      <c r="K629" s="4">
        <v>2276</v>
      </c>
      <c r="L629" s="4">
        <v>2276</v>
      </c>
      <c r="M629" s="4">
        <v>491</v>
      </c>
      <c r="N629">
        <f t="shared" si="30"/>
        <v>0.21572934973637961</v>
      </c>
    </row>
    <row r="630" spans="6:14">
      <c r="F630" s="4" t="s">
        <v>55</v>
      </c>
      <c r="G630" s="4">
        <v>11073</v>
      </c>
      <c r="H630" s="4" t="s">
        <v>52</v>
      </c>
      <c r="I630" s="4" t="s">
        <v>51</v>
      </c>
      <c r="J630" s="6">
        <v>45754</v>
      </c>
      <c r="K630" s="4">
        <v>2630</v>
      </c>
      <c r="L630" s="4">
        <v>2630</v>
      </c>
      <c r="M630" s="4">
        <v>597</v>
      </c>
      <c r="N630">
        <f t="shared" si="30"/>
        <v>0.22699619771863117</v>
      </c>
    </row>
    <row r="631" spans="6:14">
      <c r="F631" s="4" t="s">
        <v>55</v>
      </c>
      <c r="G631" s="4">
        <v>11073</v>
      </c>
      <c r="H631" s="4" t="s">
        <v>52</v>
      </c>
      <c r="I631" s="4" t="s">
        <v>51</v>
      </c>
      <c r="J631" s="6">
        <v>45755</v>
      </c>
      <c r="K631" s="4">
        <v>2389</v>
      </c>
      <c r="L631" s="4">
        <v>2389</v>
      </c>
      <c r="M631" s="4">
        <v>441</v>
      </c>
      <c r="N631">
        <f t="shared" si="30"/>
        <v>0.1845960652992884</v>
      </c>
    </row>
    <row r="632" spans="6:14">
      <c r="F632" s="4" t="s">
        <v>55</v>
      </c>
      <c r="G632" s="4">
        <v>11073</v>
      </c>
      <c r="H632" s="4" t="s">
        <v>52</v>
      </c>
      <c r="I632" s="4" t="s">
        <v>51</v>
      </c>
      <c r="J632" s="6">
        <v>45756</v>
      </c>
      <c r="K632" s="4">
        <v>2263</v>
      </c>
      <c r="L632" s="4">
        <v>2263</v>
      </c>
      <c r="M632" s="4">
        <v>461</v>
      </c>
      <c r="N632">
        <f t="shared" si="30"/>
        <v>0.20371188687582856</v>
      </c>
    </row>
    <row r="633" spans="6:14">
      <c r="F633" s="4" t="s">
        <v>55</v>
      </c>
      <c r="G633" s="4">
        <v>11073</v>
      </c>
      <c r="H633" s="4" t="s">
        <v>52</v>
      </c>
      <c r="I633" s="4" t="s">
        <v>51</v>
      </c>
      <c r="J633" s="6">
        <v>45757</v>
      </c>
      <c r="K633" s="4">
        <v>2637</v>
      </c>
      <c r="L633" s="4">
        <v>2637</v>
      </c>
      <c r="M633" s="4">
        <v>645</v>
      </c>
      <c r="N633">
        <f t="shared" si="30"/>
        <v>0.24459613196814561</v>
      </c>
    </row>
    <row r="634" spans="6:14">
      <c r="F634" s="4" t="s">
        <v>55</v>
      </c>
      <c r="G634" s="4">
        <v>11073</v>
      </c>
      <c r="H634" s="4" t="s">
        <v>52</v>
      </c>
      <c r="I634" s="4" t="s">
        <v>51</v>
      </c>
      <c r="J634" s="6">
        <v>45758</v>
      </c>
      <c r="K634" s="4">
        <v>3214</v>
      </c>
      <c r="L634" s="4">
        <v>3214</v>
      </c>
      <c r="M634" s="4">
        <v>806</v>
      </c>
      <c r="N634">
        <f t="shared" si="30"/>
        <v>0.25077784691972621</v>
      </c>
    </row>
    <row r="635" spans="6:14">
      <c r="F635" s="4" t="s">
        <v>55</v>
      </c>
      <c r="G635" s="4">
        <v>11073</v>
      </c>
      <c r="H635" s="4" t="s">
        <v>52</v>
      </c>
      <c r="I635" s="4" t="s">
        <v>51</v>
      </c>
      <c r="J635" s="6">
        <v>45759</v>
      </c>
      <c r="K635" s="4">
        <v>3774</v>
      </c>
      <c r="L635" s="4">
        <v>3774</v>
      </c>
      <c r="M635" s="4">
        <v>958</v>
      </c>
      <c r="N635">
        <f t="shared" si="30"/>
        <v>0.25384207737148912</v>
      </c>
    </row>
    <row r="636" spans="6:14">
      <c r="F636" s="4" t="s">
        <v>55</v>
      </c>
      <c r="G636" s="4">
        <v>11073</v>
      </c>
      <c r="H636" s="4" t="s">
        <v>52</v>
      </c>
      <c r="I636" s="4" t="s">
        <v>51</v>
      </c>
      <c r="J636" s="6">
        <v>45760</v>
      </c>
      <c r="K636" s="4">
        <v>4925</v>
      </c>
      <c r="L636" s="4">
        <v>4925</v>
      </c>
      <c r="M636" s="4">
        <v>1034</v>
      </c>
      <c r="N636">
        <f t="shared" si="30"/>
        <v>0.2099492385786802</v>
      </c>
    </row>
    <row r="637" spans="6:14">
      <c r="F637" s="4" t="s">
        <v>55</v>
      </c>
      <c r="G637" s="4">
        <v>11073</v>
      </c>
      <c r="H637" s="4" t="s">
        <v>52</v>
      </c>
      <c r="I637" s="4" t="s">
        <v>51</v>
      </c>
      <c r="J637" s="6">
        <v>45761</v>
      </c>
      <c r="K637" s="4">
        <v>4835</v>
      </c>
      <c r="L637" s="4">
        <v>4835</v>
      </c>
      <c r="M637" s="4">
        <v>984</v>
      </c>
      <c r="N637">
        <f t="shared" si="30"/>
        <v>0.20351602895553259</v>
      </c>
    </row>
    <row r="638" spans="6:14">
      <c r="F638" s="4" t="s">
        <v>55</v>
      </c>
      <c r="G638" s="4">
        <v>11073</v>
      </c>
      <c r="H638" s="4" t="s">
        <v>52</v>
      </c>
      <c r="I638" s="4" t="s">
        <v>51</v>
      </c>
      <c r="J638" s="6">
        <v>45762</v>
      </c>
      <c r="K638" s="4">
        <v>4074</v>
      </c>
      <c r="L638" s="4">
        <v>4074</v>
      </c>
      <c r="M638" s="4">
        <v>840</v>
      </c>
      <c r="N638">
        <f t="shared" si="30"/>
        <v>0.20618556701030927</v>
      </c>
    </row>
    <row r="639" spans="6:14">
      <c r="F639" s="4" t="s">
        <v>55</v>
      </c>
      <c r="G639" s="4">
        <v>11073</v>
      </c>
      <c r="H639" s="4" t="s">
        <v>52</v>
      </c>
      <c r="I639" s="4" t="s">
        <v>51</v>
      </c>
      <c r="J639" s="6">
        <v>45763</v>
      </c>
      <c r="K639" s="4">
        <v>3841</v>
      </c>
      <c r="L639" s="4">
        <v>3841</v>
      </c>
      <c r="M639" s="4">
        <v>771</v>
      </c>
      <c r="N639">
        <f t="shared" si="30"/>
        <v>0.2007289768289508</v>
      </c>
    </row>
    <row r="640" spans="6:14">
      <c r="F640" s="4" t="s">
        <v>55</v>
      </c>
      <c r="G640" s="4">
        <v>11073</v>
      </c>
      <c r="H640" s="4" t="s">
        <v>52</v>
      </c>
      <c r="I640" s="4" t="s">
        <v>51</v>
      </c>
      <c r="J640" s="6">
        <v>45764</v>
      </c>
      <c r="K640" s="4">
        <v>3749</v>
      </c>
      <c r="L640" s="4">
        <v>3749</v>
      </c>
      <c r="M640" s="4">
        <v>810</v>
      </c>
      <c r="N640">
        <f t="shared" si="30"/>
        <v>0.21605761536409709</v>
      </c>
    </row>
    <row r="641" spans="6:14">
      <c r="F641" s="4" t="s">
        <v>55</v>
      </c>
      <c r="G641" s="4">
        <v>11073</v>
      </c>
      <c r="H641" s="4" t="s">
        <v>52</v>
      </c>
      <c r="I641" s="4" t="s">
        <v>51</v>
      </c>
      <c r="J641" s="6">
        <v>45765</v>
      </c>
      <c r="K641" s="4">
        <v>4241</v>
      </c>
      <c r="L641" s="4">
        <v>4241</v>
      </c>
      <c r="M641" s="4">
        <v>960</v>
      </c>
      <c r="N641">
        <f t="shared" si="30"/>
        <v>0.22636170714454137</v>
      </c>
    </row>
    <row r="642" spans="6:14">
      <c r="F642" s="4" t="s">
        <v>55</v>
      </c>
      <c r="G642" s="4">
        <v>11073</v>
      </c>
      <c r="H642" s="4" t="s">
        <v>52</v>
      </c>
      <c r="I642" s="4" t="s">
        <v>51</v>
      </c>
      <c r="J642" s="6">
        <v>45766</v>
      </c>
      <c r="K642" s="4">
        <v>4766</v>
      </c>
      <c r="L642" s="4">
        <v>4766</v>
      </c>
      <c r="M642" s="4">
        <v>1181</v>
      </c>
      <c r="N642">
        <f t="shared" si="30"/>
        <v>0.2477968946705833</v>
      </c>
    </row>
    <row r="643" spans="6:14">
      <c r="F643" s="4" t="s">
        <v>55</v>
      </c>
      <c r="G643" s="4">
        <v>11073</v>
      </c>
      <c r="H643" s="4" t="s">
        <v>52</v>
      </c>
      <c r="I643" s="4" t="s">
        <v>51</v>
      </c>
      <c r="J643" s="6">
        <v>45767</v>
      </c>
      <c r="K643" s="4">
        <v>6107</v>
      </c>
      <c r="L643" s="4">
        <v>6107</v>
      </c>
      <c r="M643" s="4">
        <v>1562</v>
      </c>
      <c r="N643">
        <f t="shared" ref="N643:N706" si="31">M643/L643</f>
        <v>0.25577206484362208</v>
      </c>
    </row>
    <row r="644" spans="6:14">
      <c r="F644" s="4" t="s">
        <v>55</v>
      </c>
      <c r="G644" s="4">
        <v>11073</v>
      </c>
      <c r="H644" s="4" t="s">
        <v>53</v>
      </c>
      <c r="I644" s="4" t="s">
        <v>50</v>
      </c>
      <c r="J644" s="6">
        <v>45750</v>
      </c>
      <c r="K644" s="4">
        <v>321</v>
      </c>
      <c r="L644" s="4">
        <v>321</v>
      </c>
      <c r="M644" s="4">
        <v>58</v>
      </c>
      <c r="N644">
        <f t="shared" si="31"/>
        <v>0.18068535825545171</v>
      </c>
    </row>
    <row r="645" spans="6:14">
      <c r="F645" s="4" t="s">
        <v>55</v>
      </c>
      <c r="G645" s="4">
        <v>11073</v>
      </c>
      <c r="H645" s="4" t="s">
        <v>53</v>
      </c>
      <c r="I645" s="4" t="s">
        <v>50</v>
      </c>
      <c r="J645" s="6">
        <v>45751</v>
      </c>
      <c r="K645" s="4">
        <v>312</v>
      </c>
      <c r="L645" s="4">
        <v>312</v>
      </c>
      <c r="M645" s="4">
        <v>56</v>
      </c>
      <c r="N645">
        <f t="shared" si="31"/>
        <v>0.17948717948717949</v>
      </c>
    </row>
    <row r="646" spans="6:14">
      <c r="F646" s="4" t="s">
        <v>55</v>
      </c>
      <c r="G646" s="4">
        <v>11073</v>
      </c>
      <c r="H646" s="4" t="s">
        <v>53</v>
      </c>
      <c r="I646" s="4" t="s">
        <v>50</v>
      </c>
      <c r="J646" s="6">
        <v>45752</v>
      </c>
      <c r="K646" s="4">
        <v>368</v>
      </c>
      <c r="L646" s="4">
        <v>368</v>
      </c>
      <c r="M646" s="4">
        <v>65</v>
      </c>
      <c r="N646">
        <f t="shared" si="31"/>
        <v>0.1766304347826087</v>
      </c>
    </row>
    <row r="647" spans="6:14">
      <c r="F647" s="4" t="s">
        <v>55</v>
      </c>
      <c r="G647" s="4">
        <v>11073</v>
      </c>
      <c r="H647" s="4" t="s">
        <v>53</v>
      </c>
      <c r="I647" s="4" t="s">
        <v>50</v>
      </c>
      <c r="J647" s="6">
        <v>45753</v>
      </c>
      <c r="K647" s="4">
        <v>484</v>
      </c>
      <c r="L647" s="4">
        <v>484</v>
      </c>
      <c r="M647" s="4">
        <v>88</v>
      </c>
      <c r="N647">
        <f t="shared" si="31"/>
        <v>0.18181818181818182</v>
      </c>
    </row>
    <row r="648" spans="6:14">
      <c r="F648" s="4" t="s">
        <v>55</v>
      </c>
      <c r="G648" s="4">
        <v>11073</v>
      </c>
      <c r="H648" s="4" t="s">
        <v>53</v>
      </c>
      <c r="I648" s="4" t="s">
        <v>50</v>
      </c>
      <c r="J648" s="6">
        <v>45754</v>
      </c>
      <c r="K648" s="4">
        <v>433</v>
      </c>
      <c r="L648" s="4">
        <v>433</v>
      </c>
      <c r="M648" s="4">
        <v>60</v>
      </c>
      <c r="N648">
        <f t="shared" si="31"/>
        <v>0.13856812933025403</v>
      </c>
    </row>
    <row r="649" spans="6:14">
      <c r="F649" s="4" t="s">
        <v>55</v>
      </c>
      <c r="G649" s="4">
        <v>11073</v>
      </c>
      <c r="H649" s="4" t="s">
        <v>53</v>
      </c>
      <c r="I649" s="4" t="s">
        <v>50</v>
      </c>
      <c r="J649" s="6">
        <v>45755</v>
      </c>
      <c r="K649" s="4">
        <v>378</v>
      </c>
      <c r="L649" s="4">
        <v>378</v>
      </c>
      <c r="M649" s="4">
        <v>68</v>
      </c>
      <c r="N649">
        <f t="shared" si="31"/>
        <v>0.17989417989417988</v>
      </c>
    </row>
    <row r="650" spans="6:14">
      <c r="F650" s="4" t="s">
        <v>55</v>
      </c>
      <c r="G650" s="4">
        <v>11073</v>
      </c>
      <c r="H650" s="4" t="s">
        <v>53</v>
      </c>
      <c r="I650" s="4" t="s">
        <v>50</v>
      </c>
      <c r="J650" s="6">
        <v>45756</v>
      </c>
      <c r="K650" s="4">
        <v>328</v>
      </c>
      <c r="L650" s="4">
        <v>328</v>
      </c>
      <c r="M650" s="4">
        <v>69</v>
      </c>
      <c r="N650">
        <f t="shared" si="31"/>
        <v>0.21036585365853658</v>
      </c>
    </row>
    <row r="651" spans="6:14">
      <c r="F651" s="4" t="s">
        <v>55</v>
      </c>
      <c r="G651" s="4">
        <v>11073</v>
      </c>
      <c r="H651" s="4" t="s">
        <v>53</v>
      </c>
      <c r="I651" s="4" t="s">
        <v>50</v>
      </c>
      <c r="J651" s="6">
        <v>45757</v>
      </c>
      <c r="K651" s="4">
        <v>295</v>
      </c>
      <c r="L651" s="4">
        <v>295</v>
      </c>
      <c r="M651" s="4">
        <v>69</v>
      </c>
      <c r="N651">
        <f t="shared" si="31"/>
        <v>0.23389830508474577</v>
      </c>
    </row>
    <row r="652" spans="6:14">
      <c r="F652" s="4" t="s">
        <v>55</v>
      </c>
      <c r="G652" s="4">
        <v>11073</v>
      </c>
      <c r="H652" s="4" t="s">
        <v>53</v>
      </c>
      <c r="I652" s="4" t="s">
        <v>50</v>
      </c>
      <c r="J652" s="6">
        <v>45758</v>
      </c>
      <c r="K652" s="4">
        <v>348</v>
      </c>
      <c r="L652" s="4">
        <v>348</v>
      </c>
      <c r="M652" s="4">
        <v>61</v>
      </c>
      <c r="N652">
        <f t="shared" si="31"/>
        <v>0.17528735632183909</v>
      </c>
    </row>
    <row r="653" spans="6:14">
      <c r="F653" s="4" t="s">
        <v>55</v>
      </c>
      <c r="G653" s="4">
        <v>11073</v>
      </c>
      <c r="H653" s="4" t="s">
        <v>53</v>
      </c>
      <c r="I653" s="4" t="s">
        <v>50</v>
      </c>
      <c r="J653" s="6">
        <v>45759</v>
      </c>
      <c r="K653" s="4">
        <v>363</v>
      </c>
      <c r="L653" s="4">
        <v>363</v>
      </c>
      <c r="M653" s="4">
        <v>67</v>
      </c>
      <c r="N653">
        <f t="shared" si="31"/>
        <v>0.18457300275482094</v>
      </c>
    </row>
    <row r="654" spans="6:14">
      <c r="F654" s="4" t="s">
        <v>55</v>
      </c>
      <c r="G654" s="4">
        <v>11073</v>
      </c>
      <c r="H654" s="4" t="s">
        <v>53</v>
      </c>
      <c r="I654" s="4" t="s">
        <v>50</v>
      </c>
      <c r="J654" s="6">
        <v>45760</v>
      </c>
      <c r="K654" s="4">
        <v>455</v>
      </c>
      <c r="L654" s="4">
        <v>455</v>
      </c>
      <c r="M654" s="4">
        <v>90</v>
      </c>
      <c r="N654">
        <f t="shared" si="31"/>
        <v>0.19780219780219779</v>
      </c>
    </row>
    <row r="655" spans="6:14">
      <c r="F655" s="4" t="s">
        <v>55</v>
      </c>
      <c r="G655" s="4">
        <v>11073</v>
      </c>
      <c r="H655" s="4" t="s">
        <v>53</v>
      </c>
      <c r="I655" s="4" t="s">
        <v>50</v>
      </c>
      <c r="J655" s="6">
        <v>45761</v>
      </c>
      <c r="K655" s="4">
        <v>450</v>
      </c>
      <c r="L655" s="4">
        <v>450</v>
      </c>
      <c r="M655" s="4">
        <v>78</v>
      </c>
      <c r="N655">
        <f t="shared" si="31"/>
        <v>0.17333333333333334</v>
      </c>
    </row>
    <row r="656" spans="6:14">
      <c r="F656" s="4" t="s">
        <v>55</v>
      </c>
      <c r="G656" s="4">
        <v>11073</v>
      </c>
      <c r="H656" s="4" t="s">
        <v>53</v>
      </c>
      <c r="I656" s="4" t="s">
        <v>50</v>
      </c>
      <c r="J656" s="6">
        <v>45762</v>
      </c>
      <c r="K656" s="4">
        <v>401</v>
      </c>
      <c r="L656" s="4">
        <v>401</v>
      </c>
      <c r="M656" s="4">
        <v>78</v>
      </c>
      <c r="N656">
        <f t="shared" si="31"/>
        <v>0.19451371571072318</v>
      </c>
    </row>
    <row r="657" spans="6:14">
      <c r="F657" s="4" t="s">
        <v>55</v>
      </c>
      <c r="G657" s="4">
        <v>11073</v>
      </c>
      <c r="H657" s="4" t="s">
        <v>53</v>
      </c>
      <c r="I657" s="4" t="s">
        <v>50</v>
      </c>
      <c r="J657" s="6">
        <v>45763</v>
      </c>
      <c r="K657" s="4">
        <v>397</v>
      </c>
      <c r="L657" s="4">
        <v>397</v>
      </c>
      <c r="M657" s="4">
        <v>67</v>
      </c>
      <c r="N657">
        <f t="shared" si="31"/>
        <v>0.16876574307304787</v>
      </c>
    </row>
    <row r="658" spans="6:14">
      <c r="F658" s="4" t="s">
        <v>55</v>
      </c>
      <c r="G658" s="4">
        <v>11073</v>
      </c>
      <c r="H658" s="4" t="s">
        <v>53</v>
      </c>
      <c r="I658" s="4" t="s">
        <v>50</v>
      </c>
      <c r="J658" s="6">
        <v>45764</v>
      </c>
      <c r="K658" s="4">
        <v>383</v>
      </c>
      <c r="L658" s="4">
        <v>383</v>
      </c>
      <c r="M658" s="4">
        <v>82</v>
      </c>
      <c r="N658">
        <f t="shared" si="31"/>
        <v>0.21409921671018275</v>
      </c>
    </row>
    <row r="659" spans="6:14">
      <c r="F659" s="4" t="s">
        <v>55</v>
      </c>
      <c r="G659" s="4">
        <v>11073</v>
      </c>
      <c r="H659" s="4" t="s">
        <v>53</v>
      </c>
      <c r="I659" s="4" t="s">
        <v>50</v>
      </c>
      <c r="J659" s="6">
        <v>45765</v>
      </c>
      <c r="K659" s="4">
        <v>420</v>
      </c>
      <c r="L659" s="4">
        <v>420</v>
      </c>
      <c r="M659" s="4">
        <v>86</v>
      </c>
      <c r="N659">
        <f t="shared" si="31"/>
        <v>0.20476190476190476</v>
      </c>
    </row>
    <row r="660" spans="6:14">
      <c r="F660" s="4" t="s">
        <v>55</v>
      </c>
      <c r="G660" s="4">
        <v>11073</v>
      </c>
      <c r="H660" s="4" t="s">
        <v>53</v>
      </c>
      <c r="I660" s="4" t="s">
        <v>50</v>
      </c>
      <c r="J660" s="6">
        <v>45766</v>
      </c>
      <c r="K660" s="4">
        <v>454</v>
      </c>
      <c r="L660" s="4">
        <v>454</v>
      </c>
      <c r="M660" s="4">
        <v>102</v>
      </c>
      <c r="N660">
        <f t="shared" si="31"/>
        <v>0.22466960352422907</v>
      </c>
    </row>
    <row r="661" spans="6:14">
      <c r="F661" s="4" t="s">
        <v>55</v>
      </c>
      <c r="G661" s="4">
        <v>11073</v>
      </c>
      <c r="H661" s="4" t="s">
        <v>53</v>
      </c>
      <c r="I661" s="4" t="s">
        <v>50</v>
      </c>
      <c r="J661" s="6">
        <v>45767</v>
      </c>
      <c r="K661" s="4">
        <v>554</v>
      </c>
      <c r="L661" s="4">
        <v>554</v>
      </c>
      <c r="M661" s="4">
        <v>101</v>
      </c>
      <c r="N661">
        <f t="shared" si="31"/>
        <v>0.18231046931407943</v>
      </c>
    </row>
    <row r="662" spans="6:14">
      <c r="F662" s="4" t="s">
        <v>55</v>
      </c>
      <c r="G662" s="4">
        <v>11073</v>
      </c>
      <c r="H662" s="4" t="s">
        <v>53</v>
      </c>
      <c r="I662" s="4" t="s">
        <v>51</v>
      </c>
      <c r="J662" s="6">
        <v>45750</v>
      </c>
      <c r="K662" s="4">
        <v>192</v>
      </c>
      <c r="L662" s="4">
        <v>192</v>
      </c>
      <c r="M662" s="4">
        <v>32</v>
      </c>
      <c r="N662">
        <f t="shared" si="31"/>
        <v>0.16666666666666666</v>
      </c>
    </row>
    <row r="663" spans="6:14">
      <c r="F663" s="4" t="s">
        <v>55</v>
      </c>
      <c r="G663" s="4">
        <v>11073</v>
      </c>
      <c r="H663" s="4" t="s">
        <v>53</v>
      </c>
      <c r="I663" s="4" t="s">
        <v>51</v>
      </c>
      <c r="J663" s="6">
        <v>45751</v>
      </c>
      <c r="K663" s="4">
        <v>317</v>
      </c>
      <c r="L663" s="4">
        <v>317</v>
      </c>
      <c r="M663" s="4">
        <v>57</v>
      </c>
      <c r="N663">
        <f t="shared" si="31"/>
        <v>0.17981072555205047</v>
      </c>
    </row>
    <row r="664" spans="6:14">
      <c r="F664" s="4" t="s">
        <v>55</v>
      </c>
      <c r="G664" s="4">
        <v>11073</v>
      </c>
      <c r="H664" s="4" t="s">
        <v>53</v>
      </c>
      <c r="I664" s="4" t="s">
        <v>51</v>
      </c>
      <c r="J664" s="6">
        <v>45752</v>
      </c>
      <c r="K664" s="4">
        <v>404</v>
      </c>
      <c r="L664" s="4">
        <v>404</v>
      </c>
      <c r="M664" s="4">
        <v>84</v>
      </c>
      <c r="N664">
        <f t="shared" si="31"/>
        <v>0.20792079207920791</v>
      </c>
    </row>
    <row r="665" spans="6:14">
      <c r="F665" s="4" t="s">
        <v>55</v>
      </c>
      <c r="G665" s="4">
        <v>11073</v>
      </c>
      <c r="H665" s="4" t="s">
        <v>53</v>
      </c>
      <c r="I665" s="4" t="s">
        <v>51</v>
      </c>
      <c r="J665" s="6">
        <v>45753</v>
      </c>
      <c r="K665" s="4">
        <v>525</v>
      </c>
      <c r="L665" s="4">
        <v>525</v>
      </c>
      <c r="M665" s="4">
        <v>115</v>
      </c>
      <c r="N665">
        <f t="shared" si="31"/>
        <v>0.21904761904761905</v>
      </c>
    </row>
    <row r="666" spans="6:14">
      <c r="F666" s="4" t="s">
        <v>55</v>
      </c>
      <c r="G666" s="4">
        <v>11073</v>
      </c>
      <c r="H666" s="4" t="s">
        <v>53</v>
      </c>
      <c r="I666" s="4" t="s">
        <v>51</v>
      </c>
      <c r="J666" s="6">
        <v>45754</v>
      </c>
      <c r="K666" s="4">
        <v>570</v>
      </c>
      <c r="L666" s="4">
        <v>570</v>
      </c>
      <c r="M666" s="4">
        <v>117</v>
      </c>
      <c r="N666">
        <f t="shared" si="31"/>
        <v>0.20526315789473684</v>
      </c>
    </row>
    <row r="667" spans="6:14">
      <c r="F667" s="4" t="s">
        <v>55</v>
      </c>
      <c r="G667" s="4">
        <v>11073</v>
      </c>
      <c r="H667" s="4" t="s">
        <v>53</v>
      </c>
      <c r="I667" s="4" t="s">
        <v>51</v>
      </c>
      <c r="J667" s="6">
        <v>45755</v>
      </c>
      <c r="K667" s="4">
        <v>613</v>
      </c>
      <c r="L667" s="4">
        <v>613</v>
      </c>
      <c r="M667" s="4">
        <v>151</v>
      </c>
      <c r="N667">
        <f t="shared" si="31"/>
        <v>0.2463295269168026</v>
      </c>
    </row>
    <row r="668" spans="6:14">
      <c r="F668" s="4" t="s">
        <v>55</v>
      </c>
      <c r="G668" s="4">
        <v>11073</v>
      </c>
      <c r="H668" s="4" t="s">
        <v>53</v>
      </c>
      <c r="I668" s="4" t="s">
        <v>51</v>
      </c>
      <c r="J668" s="6">
        <v>45756</v>
      </c>
      <c r="K668" s="4">
        <v>642</v>
      </c>
      <c r="L668" s="4">
        <v>642</v>
      </c>
      <c r="M668" s="4">
        <v>144</v>
      </c>
      <c r="N668">
        <f t="shared" si="31"/>
        <v>0.22429906542056074</v>
      </c>
    </row>
    <row r="669" spans="6:14">
      <c r="F669" s="4" t="s">
        <v>55</v>
      </c>
      <c r="G669" s="4">
        <v>11073</v>
      </c>
      <c r="H669" s="4" t="s">
        <v>53</v>
      </c>
      <c r="I669" s="4" t="s">
        <v>51</v>
      </c>
      <c r="J669" s="6">
        <v>45757</v>
      </c>
      <c r="K669" s="4">
        <v>751</v>
      </c>
      <c r="L669" s="4">
        <v>751</v>
      </c>
      <c r="M669" s="4">
        <v>174</v>
      </c>
      <c r="N669">
        <f t="shared" si="31"/>
        <v>0.23169107856191745</v>
      </c>
    </row>
    <row r="670" spans="6:14">
      <c r="F670" s="4" t="s">
        <v>55</v>
      </c>
      <c r="G670" s="4">
        <v>11073</v>
      </c>
      <c r="H670" s="4" t="s">
        <v>53</v>
      </c>
      <c r="I670" s="4" t="s">
        <v>51</v>
      </c>
      <c r="J670" s="6">
        <v>45758</v>
      </c>
      <c r="K670" s="4">
        <v>854</v>
      </c>
      <c r="L670" s="4">
        <v>854</v>
      </c>
      <c r="M670" s="4">
        <v>204</v>
      </c>
      <c r="N670">
        <f t="shared" si="31"/>
        <v>0.2388758782201405</v>
      </c>
    </row>
    <row r="671" spans="6:14">
      <c r="F671" s="4" t="s">
        <v>55</v>
      </c>
      <c r="G671" s="4">
        <v>11073</v>
      </c>
      <c r="H671" s="4" t="s">
        <v>53</v>
      </c>
      <c r="I671" s="4" t="s">
        <v>51</v>
      </c>
      <c r="J671" s="6">
        <v>45759</v>
      </c>
      <c r="K671" s="4">
        <v>903</v>
      </c>
      <c r="L671" s="4">
        <v>903</v>
      </c>
      <c r="M671" s="4">
        <v>214</v>
      </c>
      <c r="N671">
        <f t="shared" si="31"/>
        <v>0.23698781838316721</v>
      </c>
    </row>
    <row r="672" spans="6:14">
      <c r="F672" s="4" t="s">
        <v>55</v>
      </c>
      <c r="G672" s="4">
        <v>11073</v>
      </c>
      <c r="H672" s="4" t="s">
        <v>53</v>
      </c>
      <c r="I672" s="4" t="s">
        <v>51</v>
      </c>
      <c r="J672" s="6">
        <v>45760</v>
      </c>
      <c r="K672" s="4">
        <v>1096</v>
      </c>
      <c r="L672" s="4">
        <v>1096</v>
      </c>
      <c r="M672" s="4">
        <v>283</v>
      </c>
      <c r="N672">
        <f t="shared" si="31"/>
        <v>0.25821167883211676</v>
      </c>
    </row>
    <row r="673" spans="6:14">
      <c r="F673" s="4" t="s">
        <v>55</v>
      </c>
      <c r="G673" s="4">
        <v>11073</v>
      </c>
      <c r="H673" s="4" t="s">
        <v>53</v>
      </c>
      <c r="I673" s="4" t="s">
        <v>51</v>
      </c>
      <c r="J673" s="6">
        <v>45761</v>
      </c>
      <c r="K673" s="4">
        <v>1189</v>
      </c>
      <c r="L673" s="4">
        <v>1189</v>
      </c>
      <c r="M673" s="4">
        <v>277</v>
      </c>
      <c r="N673">
        <f t="shared" si="31"/>
        <v>0.23296888141295205</v>
      </c>
    </row>
    <row r="674" spans="6:14">
      <c r="F674" s="4" t="s">
        <v>55</v>
      </c>
      <c r="G674" s="4">
        <v>11073</v>
      </c>
      <c r="H674" s="4" t="s">
        <v>53</v>
      </c>
      <c r="I674" s="4" t="s">
        <v>51</v>
      </c>
      <c r="J674" s="6">
        <v>45762</v>
      </c>
      <c r="K674" s="4">
        <v>1103</v>
      </c>
      <c r="L674" s="4">
        <v>1103</v>
      </c>
      <c r="M674" s="4">
        <v>268</v>
      </c>
      <c r="N674">
        <f t="shared" si="31"/>
        <v>0.242973708068903</v>
      </c>
    </row>
    <row r="675" spans="6:14">
      <c r="F675" s="4" t="s">
        <v>55</v>
      </c>
      <c r="G675" s="4">
        <v>11073</v>
      </c>
      <c r="H675" s="4" t="s">
        <v>53</v>
      </c>
      <c r="I675" s="4" t="s">
        <v>51</v>
      </c>
      <c r="J675" s="6">
        <v>45763</v>
      </c>
      <c r="K675" s="4">
        <v>1165</v>
      </c>
      <c r="L675" s="4">
        <v>1165</v>
      </c>
      <c r="M675" s="4">
        <v>315</v>
      </c>
      <c r="N675">
        <f t="shared" si="31"/>
        <v>0.27038626609442062</v>
      </c>
    </row>
    <row r="676" spans="6:14">
      <c r="F676" s="4" t="s">
        <v>55</v>
      </c>
      <c r="G676" s="4">
        <v>11073</v>
      </c>
      <c r="H676" s="4" t="s">
        <v>53</v>
      </c>
      <c r="I676" s="4" t="s">
        <v>51</v>
      </c>
      <c r="J676" s="6">
        <v>45764</v>
      </c>
      <c r="K676" s="4">
        <v>1182</v>
      </c>
      <c r="L676" s="4">
        <v>1182</v>
      </c>
      <c r="M676" s="4">
        <v>315</v>
      </c>
      <c r="N676">
        <f t="shared" si="31"/>
        <v>0.26649746192893403</v>
      </c>
    </row>
    <row r="677" spans="6:14">
      <c r="F677" s="4" t="s">
        <v>55</v>
      </c>
      <c r="G677" s="4">
        <v>11073</v>
      </c>
      <c r="H677" s="4" t="s">
        <v>53</v>
      </c>
      <c r="I677" s="4" t="s">
        <v>51</v>
      </c>
      <c r="J677" s="6">
        <v>45765</v>
      </c>
      <c r="K677" s="4">
        <v>1321</v>
      </c>
      <c r="L677" s="4">
        <v>1321</v>
      </c>
      <c r="M677" s="4">
        <v>393</v>
      </c>
      <c r="N677">
        <f t="shared" si="31"/>
        <v>0.29750189250567749</v>
      </c>
    </row>
    <row r="678" spans="6:14">
      <c r="F678" s="4" t="s">
        <v>55</v>
      </c>
      <c r="G678" s="4">
        <v>11073</v>
      </c>
      <c r="H678" s="4" t="s">
        <v>53</v>
      </c>
      <c r="I678" s="4" t="s">
        <v>51</v>
      </c>
      <c r="J678" s="6">
        <v>45766</v>
      </c>
      <c r="K678" s="4">
        <v>1462</v>
      </c>
      <c r="L678" s="4">
        <v>1462</v>
      </c>
      <c r="M678" s="4">
        <v>416</v>
      </c>
      <c r="N678">
        <f t="shared" si="31"/>
        <v>0.28454172366621067</v>
      </c>
    </row>
    <row r="679" spans="6:14">
      <c r="F679" s="4" t="s">
        <v>55</v>
      </c>
      <c r="G679" s="4">
        <v>11073</v>
      </c>
      <c r="H679" s="4" t="s">
        <v>53</v>
      </c>
      <c r="I679" s="4" t="s">
        <v>51</v>
      </c>
      <c r="J679" s="6">
        <v>45767</v>
      </c>
      <c r="K679" s="4">
        <v>1740</v>
      </c>
      <c r="L679" s="4">
        <v>1740</v>
      </c>
      <c r="M679" s="4">
        <v>460</v>
      </c>
      <c r="N679">
        <f t="shared" si="31"/>
        <v>0.26436781609195403</v>
      </c>
    </row>
    <row r="680" spans="6:14">
      <c r="F680" s="4" t="s">
        <v>55</v>
      </c>
      <c r="G680" s="4">
        <v>11073</v>
      </c>
      <c r="H680" s="4" t="s">
        <v>54</v>
      </c>
      <c r="I680" s="4" t="s">
        <v>50</v>
      </c>
      <c r="J680" s="6">
        <v>45750</v>
      </c>
      <c r="K680" s="4">
        <v>677</v>
      </c>
      <c r="L680" s="4">
        <v>677</v>
      </c>
      <c r="M680" s="4">
        <v>146</v>
      </c>
      <c r="N680">
        <f t="shared" si="31"/>
        <v>0.21565731166912852</v>
      </c>
    </row>
    <row r="681" spans="6:14">
      <c r="F681" s="4" t="s">
        <v>55</v>
      </c>
      <c r="G681" s="4">
        <v>11073</v>
      </c>
      <c r="H681" s="4" t="s">
        <v>54</v>
      </c>
      <c r="I681" s="4" t="s">
        <v>50</v>
      </c>
      <c r="J681" s="6">
        <v>45751</v>
      </c>
      <c r="K681" s="4">
        <v>750</v>
      </c>
      <c r="L681" s="4">
        <v>750</v>
      </c>
      <c r="M681" s="4">
        <v>169</v>
      </c>
      <c r="N681">
        <f t="shared" si="31"/>
        <v>0.22533333333333333</v>
      </c>
    </row>
    <row r="682" spans="6:14">
      <c r="F682" s="4" t="s">
        <v>55</v>
      </c>
      <c r="G682" s="4">
        <v>11073</v>
      </c>
      <c r="H682" s="4" t="s">
        <v>54</v>
      </c>
      <c r="I682" s="4" t="s">
        <v>50</v>
      </c>
      <c r="J682" s="6">
        <v>45752</v>
      </c>
      <c r="K682" s="4">
        <v>835</v>
      </c>
      <c r="L682" s="4">
        <v>835</v>
      </c>
      <c r="M682" s="4">
        <v>192</v>
      </c>
      <c r="N682">
        <f t="shared" si="31"/>
        <v>0.22994011976047904</v>
      </c>
    </row>
    <row r="683" spans="6:14">
      <c r="F683" s="4" t="s">
        <v>55</v>
      </c>
      <c r="G683" s="4">
        <v>11073</v>
      </c>
      <c r="H683" s="4" t="s">
        <v>54</v>
      </c>
      <c r="I683" s="4" t="s">
        <v>50</v>
      </c>
      <c r="J683" s="6">
        <v>45753</v>
      </c>
      <c r="K683" s="4">
        <v>1006</v>
      </c>
      <c r="L683" s="4">
        <v>1006</v>
      </c>
      <c r="M683" s="4">
        <v>219</v>
      </c>
      <c r="N683">
        <f t="shared" si="31"/>
        <v>0.21769383697813122</v>
      </c>
    </row>
    <row r="684" spans="6:14">
      <c r="F684" s="4" t="s">
        <v>55</v>
      </c>
      <c r="G684" s="4">
        <v>11073</v>
      </c>
      <c r="H684" s="4" t="s">
        <v>54</v>
      </c>
      <c r="I684" s="4" t="s">
        <v>50</v>
      </c>
      <c r="J684" s="6">
        <v>45754</v>
      </c>
      <c r="K684" s="4">
        <v>982</v>
      </c>
      <c r="L684" s="4">
        <v>982</v>
      </c>
      <c r="M684" s="4">
        <v>171</v>
      </c>
      <c r="N684">
        <f t="shared" si="31"/>
        <v>0.17413441955193482</v>
      </c>
    </row>
    <row r="685" spans="6:14">
      <c r="F685" s="4" t="s">
        <v>55</v>
      </c>
      <c r="G685" s="4">
        <v>11073</v>
      </c>
      <c r="H685" s="4" t="s">
        <v>54</v>
      </c>
      <c r="I685" s="4" t="s">
        <v>50</v>
      </c>
      <c r="J685" s="6">
        <v>45755</v>
      </c>
      <c r="K685" s="4">
        <v>803</v>
      </c>
      <c r="L685" s="4">
        <v>803</v>
      </c>
      <c r="M685" s="4">
        <v>160</v>
      </c>
      <c r="N685">
        <f t="shared" si="31"/>
        <v>0.19925280199252801</v>
      </c>
    </row>
    <row r="686" spans="6:14">
      <c r="F686" s="4" t="s">
        <v>55</v>
      </c>
      <c r="G686" s="4">
        <v>11073</v>
      </c>
      <c r="H686" s="4" t="s">
        <v>54</v>
      </c>
      <c r="I686" s="4" t="s">
        <v>50</v>
      </c>
      <c r="J686" s="6">
        <v>45756</v>
      </c>
      <c r="K686" s="4">
        <v>700</v>
      </c>
      <c r="L686" s="4">
        <v>700</v>
      </c>
      <c r="M686" s="4">
        <v>158</v>
      </c>
      <c r="N686">
        <f t="shared" si="31"/>
        <v>0.2257142857142857</v>
      </c>
    </row>
    <row r="687" spans="6:14">
      <c r="F687" s="4" t="s">
        <v>55</v>
      </c>
      <c r="G687" s="4">
        <v>11073</v>
      </c>
      <c r="H687" s="4" t="s">
        <v>54</v>
      </c>
      <c r="I687" s="4" t="s">
        <v>50</v>
      </c>
      <c r="J687" s="6">
        <v>45757</v>
      </c>
      <c r="K687" s="4">
        <v>718</v>
      </c>
      <c r="L687" s="4">
        <v>718</v>
      </c>
      <c r="M687" s="4">
        <v>166</v>
      </c>
      <c r="N687">
        <f t="shared" si="31"/>
        <v>0.23119777158774374</v>
      </c>
    </row>
    <row r="688" spans="6:14">
      <c r="F688" s="4" t="s">
        <v>55</v>
      </c>
      <c r="G688" s="4">
        <v>11073</v>
      </c>
      <c r="H688" s="4" t="s">
        <v>54</v>
      </c>
      <c r="I688" s="4" t="s">
        <v>50</v>
      </c>
      <c r="J688" s="6">
        <v>45758</v>
      </c>
      <c r="K688" s="4">
        <v>702</v>
      </c>
      <c r="L688" s="4">
        <v>702</v>
      </c>
      <c r="M688" s="4">
        <v>175</v>
      </c>
      <c r="N688">
        <f t="shared" si="31"/>
        <v>0.2492877492877493</v>
      </c>
    </row>
    <row r="689" spans="6:14">
      <c r="F689" s="4" t="s">
        <v>55</v>
      </c>
      <c r="G689" s="4">
        <v>11073</v>
      </c>
      <c r="H689" s="4" t="s">
        <v>54</v>
      </c>
      <c r="I689" s="4" t="s">
        <v>50</v>
      </c>
      <c r="J689" s="6">
        <v>45759</v>
      </c>
      <c r="K689" s="4">
        <v>851</v>
      </c>
      <c r="L689" s="4">
        <v>851</v>
      </c>
      <c r="M689" s="4">
        <v>190</v>
      </c>
      <c r="N689">
        <f t="shared" si="31"/>
        <v>0.22326674500587543</v>
      </c>
    </row>
    <row r="690" spans="6:14">
      <c r="F690" s="4" t="s">
        <v>55</v>
      </c>
      <c r="G690" s="4">
        <v>11073</v>
      </c>
      <c r="H690" s="4" t="s">
        <v>54</v>
      </c>
      <c r="I690" s="4" t="s">
        <v>50</v>
      </c>
      <c r="J690" s="6">
        <v>45760</v>
      </c>
      <c r="K690" s="4">
        <v>1056</v>
      </c>
      <c r="L690" s="4">
        <v>1056</v>
      </c>
      <c r="M690" s="4">
        <v>227</v>
      </c>
      <c r="N690">
        <f t="shared" si="31"/>
        <v>0.21496212121212122</v>
      </c>
    </row>
    <row r="691" spans="6:14">
      <c r="F691" s="4" t="s">
        <v>55</v>
      </c>
      <c r="G691" s="4">
        <v>11073</v>
      </c>
      <c r="H691" s="4" t="s">
        <v>54</v>
      </c>
      <c r="I691" s="4" t="s">
        <v>50</v>
      </c>
      <c r="J691" s="6">
        <v>45761</v>
      </c>
      <c r="K691" s="4">
        <v>1041</v>
      </c>
      <c r="L691" s="4">
        <v>1041</v>
      </c>
      <c r="M691" s="4">
        <v>180</v>
      </c>
      <c r="N691">
        <f t="shared" si="31"/>
        <v>0.1729106628242075</v>
      </c>
    </row>
    <row r="692" spans="6:14">
      <c r="F692" s="4" t="s">
        <v>55</v>
      </c>
      <c r="G692" s="4">
        <v>11073</v>
      </c>
      <c r="H692" s="4" t="s">
        <v>54</v>
      </c>
      <c r="I692" s="4" t="s">
        <v>50</v>
      </c>
      <c r="J692" s="6">
        <v>45762</v>
      </c>
      <c r="K692" s="4">
        <v>769</v>
      </c>
      <c r="L692" s="4">
        <v>769</v>
      </c>
      <c r="M692" s="4">
        <v>155</v>
      </c>
      <c r="N692">
        <f t="shared" si="31"/>
        <v>0.20156046814044212</v>
      </c>
    </row>
    <row r="693" spans="6:14">
      <c r="F693" s="4" t="s">
        <v>55</v>
      </c>
      <c r="G693" s="4">
        <v>11073</v>
      </c>
      <c r="H693" s="4" t="s">
        <v>54</v>
      </c>
      <c r="I693" s="4" t="s">
        <v>50</v>
      </c>
      <c r="J693" s="6">
        <v>45763</v>
      </c>
      <c r="K693" s="4">
        <v>763</v>
      </c>
      <c r="L693" s="4">
        <v>763</v>
      </c>
      <c r="M693" s="4">
        <v>145</v>
      </c>
      <c r="N693">
        <f t="shared" si="31"/>
        <v>0.19003931847968544</v>
      </c>
    </row>
    <row r="694" spans="6:14">
      <c r="F694" s="4" t="s">
        <v>55</v>
      </c>
      <c r="G694" s="4">
        <v>11073</v>
      </c>
      <c r="H694" s="4" t="s">
        <v>54</v>
      </c>
      <c r="I694" s="4" t="s">
        <v>50</v>
      </c>
      <c r="J694" s="6">
        <v>45764</v>
      </c>
      <c r="K694" s="4">
        <v>766</v>
      </c>
      <c r="L694" s="4">
        <v>766</v>
      </c>
      <c r="M694" s="4">
        <v>140</v>
      </c>
      <c r="N694">
        <f t="shared" si="31"/>
        <v>0.18276762402088773</v>
      </c>
    </row>
    <row r="695" spans="6:14">
      <c r="F695" s="4" t="s">
        <v>55</v>
      </c>
      <c r="G695" s="4">
        <v>11073</v>
      </c>
      <c r="H695" s="4" t="s">
        <v>54</v>
      </c>
      <c r="I695" s="4" t="s">
        <v>50</v>
      </c>
      <c r="J695" s="6">
        <v>45765</v>
      </c>
      <c r="K695" s="4">
        <v>853</v>
      </c>
      <c r="L695" s="4">
        <v>853</v>
      </c>
      <c r="M695" s="4">
        <v>182</v>
      </c>
      <c r="N695">
        <f t="shared" si="31"/>
        <v>0.21336459554513482</v>
      </c>
    </row>
    <row r="696" spans="6:14">
      <c r="F696" s="4" t="s">
        <v>55</v>
      </c>
      <c r="G696" s="4">
        <v>11073</v>
      </c>
      <c r="H696" s="4" t="s">
        <v>54</v>
      </c>
      <c r="I696" s="4" t="s">
        <v>50</v>
      </c>
      <c r="J696" s="6">
        <v>45766</v>
      </c>
      <c r="K696" s="4">
        <v>1000</v>
      </c>
      <c r="L696" s="4">
        <v>1000</v>
      </c>
      <c r="M696" s="4">
        <v>258</v>
      </c>
      <c r="N696">
        <f t="shared" si="31"/>
        <v>0.25800000000000001</v>
      </c>
    </row>
    <row r="697" spans="6:14">
      <c r="F697" s="4" t="s">
        <v>55</v>
      </c>
      <c r="G697" s="4">
        <v>11073</v>
      </c>
      <c r="H697" s="4" t="s">
        <v>54</v>
      </c>
      <c r="I697" s="4" t="s">
        <v>50</v>
      </c>
      <c r="J697" s="6">
        <v>45767</v>
      </c>
      <c r="K697" s="4">
        <v>1163</v>
      </c>
      <c r="L697" s="4">
        <v>1163</v>
      </c>
      <c r="M697" s="4">
        <v>283</v>
      </c>
      <c r="N697">
        <f t="shared" si="31"/>
        <v>0.24333619948409285</v>
      </c>
    </row>
    <row r="698" spans="6:14">
      <c r="F698" s="4" t="s">
        <v>55</v>
      </c>
      <c r="G698" s="4">
        <v>11073</v>
      </c>
      <c r="H698" s="4" t="s">
        <v>54</v>
      </c>
      <c r="I698" s="4" t="s">
        <v>51</v>
      </c>
      <c r="J698" s="6">
        <v>45750</v>
      </c>
      <c r="K698" s="4">
        <v>628</v>
      </c>
      <c r="L698" s="4">
        <v>628</v>
      </c>
      <c r="M698" s="4">
        <v>89</v>
      </c>
      <c r="N698">
        <f t="shared" si="31"/>
        <v>0.14171974522292993</v>
      </c>
    </row>
    <row r="699" spans="6:14">
      <c r="F699" s="4" t="s">
        <v>55</v>
      </c>
      <c r="G699" s="4">
        <v>11073</v>
      </c>
      <c r="H699" s="4" t="s">
        <v>54</v>
      </c>
      <c r="I699" s="4" t="s">
        <v>51</v>
      </c>
      <c r="J699" s="6">
        <v>45751</v>
      </c>
      <c r="K699" s="4">
        <v>959</v>
      </c>
      <c r="L699" s="4">
        <v>959</v>
      </c>
      <c r="M699" s="4">
        <v>207</v>
      </c>
      <c r="N699">
        <f t="shared" si="31"/>
        <v>0.21584984358706985</v>
      </c>
    </row>
    <row r="700" spans="6:14">
      <c r="F700" s="4" t="s">
        <v>55</v>
      </c>
      <c r="G700" s="4">
        <v>11073</v>
      </c>
      <c r="H700" s="4" t="s">
        <v>54</v>
      </c>
      <c r="I700" s="4" t="s">
        <v>51</v>
      </c>
      <c r="J700" s="6">
        <v>45752</v>
      </c>
      <c r="K700" s="4">
        <v>1307</v>
      </c>
      <c r="L700" s="4">
        <v>1307</v>
      </c>
      <c r="M700" s="4">
        <v>345</v>
      </c>
      <c r="N700">
        <f t="shared" si="31"/>
        <v>0.26396327467482783</v>
      </c>
    </row>
    <row r="701" spans="6:14">
      <c r="F701" s="4" t="s">
        <v>55</v>
      </c>
      <c r="G701" s="4">
        <v>11073</v>
      </c>
      <c r="H701" s="4" t="s">
        <v>54</v>
      </c>
      <c r="I701" s="4" t="s">
        <v>51</v>
      </c>
      <c r="J701" s="6">
        <v>45753</v>
      </c>
      <c r="K701" s="4">
        <v>1857</v>
      </c>
      <c r="L701" s="4">
        <v>1857</v>
      </c>
      <c r="M701" s="4">
        <v>487</v>
      </c>
      <c r="N701">
        <f t="shared" si="31"/>
        <v>0.26225094238018309</v>
      </c>
    </row>
    <row r="702" spans="6:14">
      <c r="F702" s="4" t="s">
        <v>55</v>
      </c>
      <c r="G702" s="4">
        <v>11073</v>
      </c>
      <c r="H702" s="4" t="s">
        <v>54</v>
      </c>
      <c r="I702" s="4" t="s">
        <v>51</v>
      </c>
      <c r="J702" s="6">
        <v>45754</v>
      </c>
      <c r="K702" s="4">
        <v>2181</v>
      </c>
      <c r="L702" s="4">
        <v>2181</v>
      </c>
      <c r="M702" s="4">
        <v>485</v>
      </c>
      <c r="N702">
        <f t="shared" si="31"/>
        <v>0.2223750573131591</v>
      </c>
    </row>
    <row r="703" spans="6:14">
      <c r="F703" s="4" t="s">
        <v>55</v>
      </c>
      <c r="G703" s="4">
        <v>11073</v>
      </c>
      <c r="H703" s="4" t="s">
        <v>54</v>
      </c>
      <c r="I703" s="4" t="s">
        <v>51</v>
      </c>
      <c r="J703" s="6">
        <v>45755</v>
      </c>
      <c r="K703" s="4">
        <v>2001</v>
      </c>
      <c r="L703" s="4">
        <v>2001</v>
      </c>
      <c r="M703" s="4">
        <v>528</v>
      </c>
      <c r="N703">
        <f t="shared" si="31"/>
        <v>0.26386806596701651</v>
      </c>
    </row>
    <row r="704" spans="6:14">
      <c r="F704" s="4" t="s">
        <v>55</v>
      </c>
      <c r="G704" s="4">
        <v>11073</v>
      </c>
      <c r="H704" s="4" t="s">
        <v>54</v>
      </c>
      <c r="I704" s="4" t="s">
        <v>51</v>
      </c>
      <c r="J704" s="6">
        <v>45756</v>
      </c>
      <c r="K704" s="4">
        <v>2173</v>
      </c>
      <c r="L704" s="4">
        <v>2173</v>
      </c>
      <c r="M704" s="4">
        <v>595</v>
      </c>
      <c r="N704">
        <f t="shared" si="31"/>
        <v>0.27381500230096639</v>
      </c>
    </row>
    <row r="705" spans="6:14">
      <c r="F705" s="4" t="s">
        <v>55</v>
      </c>
      <c r="G705" s="4">
        <v>11073</v>
      </c>
      <c r="H705" s="4" t="s">
        <v>54</v>
      </c>
      <c r="I705" s="4" t="s">
        <v>51</v>
      </c>
      <c r="J705" s="6">
        <v>45757</v>
      </c>
      <c r="K705" s="4">
        <v>2410</v>
      </c>
      <c r="L705" s="4">
        <v>2410</v>
      </c>
      <c r="M705" s="4">
        <v>643</v>
      </c>
      <c r="N705">
        <f t="shared" si="31"/>
        <v>0.26680497925311203</v>
      </c>
    </row>
    <row r="706" spans="6:14">
      <c r="F706" s="4" t="s">
        <v>55</v>
      </c>
      <c r="G706" s="4">
        <v>11073</v>
      </c>
      <c r="H706" s="4" t="s">
        <v>54</v>
      </c>
      <c r="I706" s="4" t="s">
        <v>51</v>
      </c>
      <c r="J706" s="6">
        <v>45758</v>
      </c>
      <c r="K706" s="4">
        <v>2650</v>
      </c>
      <c r="L706" s="4">
        <v>2650</v>
      </c>
      <c r="M706" s="4">
        <v>738</v>
      </c>
      <c r="N706">
        <f t="shared" si="31"/>
        <v>0.27849056603773586</v>
      </c>
    </row>
    <row r="707" spans="6:14">
      <c r="F707" s="4" t="s">
        <v>55</v>
      </c>
      <c r="G707" s="4">
        <v>11073</v>
      </c>
      <c r="H707" s="4" t="s">
        <v>54</v>
      </c>
      <c r="I707" s="4" t="s">
        <v>51</v>
      </c>
      <c r="J707" s="6">
        <v>45759</v>
      </c>
      <c r="K707" s="4">
        <v>3073</v>
      </c>
      <c r="L707" s="4">
        <v>3073</v>
      </c>
      <c r="M707" s="4">
        <v>882</v>
      </c>
      <c r="N707">
        <f t="shared" ref="N707:N770" si="32">M707/L707</f>
        <v>0.28701594533029612</v>
      </c>
    </row>
    <row r="708" spans="6:14">
      <c r="F708" s="4" t="s">
        <v>55</v>
      </c>
      <c r="G708" s="4">
        <v>11073</v>
      </c>
      <c r="H708" s="4" t="s">
        <v>54</v>
      </c>
      <c r="I708" s="4" t="s">
        <v>51</v>
      </c>
      <c r="J708" s="6">
        <v>45760</v>
      </c>
      <c r="K708" s="4">
        <v>3799</v>
      </c>
      <c r="L708" s="4">
        <v>3799</v>
      </c>
      <c r="M708" s="4">
        <v>1039</v>
      </c>
      <c r="N708">
        <f t="shared" si="32"/>
        <v>0.27349302448012636</v>
      </c>
    </row>
    <row r="709" spans="6:14">
      <c r="F709" s="4" t="s">
        <v>55</v>
      </c>
      <c r="G709" s="4">
        <v>11073</v>
      </c>
      <c r="H709" s="4" t="s">
        <v>54</v>
      </c>
      <c r="I709" s="4" t="s">
        <v>51</v>
      </c>
      <c r="J709" s="6">
        <v>45761</v>
      </c>
      <c r="K709" s="4">
        <v>3925</v>
      </c>
      <c r="L709" s="4">
        <v>3925</v>
      </c>
      <c r="M709" s="4">
        <v>963</v>
      </c>
      <c r="N709">
        <f t="shared" si="32"/>
        <v>0.24535031847133759</v>
      </c>
    </row>
    <row r="710" spans="6:14">
      <c r="F710" s="4" t="s">
        <v>55</v>
      </c>
      <c r="G710" s="4">
        <v>11073</v>
      </c>
      <c r="H710" s="4" t="s">
        <v>54</v>
      </c>
      <c r="I710" s="4" t="s">
        <v>51</v>
      </c>
      <c r="J710" s="6">
        <v>45762</v>
      </c>
      <c r="K710" s="4">
        <v>3567</v>
      </c>
      <c r="L710" s="4">
        <v>3567</v>
      </c>
      <c r="M710" s="4">
        <v>934</v>
      </c>
      <c r="N710">
        <f t="shared" si="32"/>
        <v>0.26184468741239136</v>
      </c>
    </row>
    <row r="711" spans="6:14">
      <c r="F711" s="4" t="s">
        <v>55</v>
      </c>
      <c r="G711" s="4">
        <v>11073</v>
      </c>
      <c r="H711" s="4" t="s">
        <v>54</v>
      </c>
      <c r="I711" s="4" t="s">
        <v>51</v>
      </c>
      <c r="J711" s="6">
        <v>45763</v>
      </c>
      <c r="K711" s="4">
        <v>3388</v>
      </c>
      <c r="L711" s="4">
        <v>3388</v>
      </c>
      <c r="M711" s="4">
        <v>956</v>
      </c>
      <c r="N711">
        <f t="shared" si="32"/>
        <v>0.28217237308146398</v>
      </c>
    </row>
    <row r="712" spans="6:14">
      <c r="F712" s="4" t="s">
        <v>55</v>
      </c>
      <c r="G712" s="4">
        <v>11073</v>
      </c>
      <c r="H712" s="4" t="s">
        <v>54</v>
      </c>
      <c r="I712" s="4" t="s">
        <v>51</v>
      </c>
      <c r="J712" s="6">
        <v>45764</v>
      </c>
      <c r="K712" s="4">
        <v>3562</v>
      </c>
      <c r="L712" s="4">
        <v>3562</v>
      </c>
      <c r="M712" s="4">
        <v>988</v>
      </c>
      <c r="N712">
        <f t="shared" si="32"/>
        <v>0.27737226277372262</v>
      </c>
    </row>
    <row r="713" spans="6:14">
      <c r="F713" s="4" t="s">
        <v>55</v>
      </c>
      <c r="G713" s="4">
        <v>11073</v>
      </c>
      <c r="H713" s="4" t="s">
        <v>54</v>
      </c>
      <c r="I713" s="4" t="s">
        <v>51</v>
      </c>
      <c r="J713" s="6">
        <v>45765</v>
      </c>
      <c r="K713" s="4">
        <v>3748</v>
      </c>
      <c r="L713" s="4">
        <v>3748</v>
      </c>
      <c r="M713" s="4">
        <v>1140</v>
      </c>
      <c r="N713">
        <f t="shared" si="32"/>
        <v>0.304162219850587</v>
      </c>
    </row>
    <row r="714" spans="6:14">
      <c r="F714" s="4" t="s">
        <v>55</v>
      </c>
      <c r="G714" s="4">
        <v>11073</v>
      </c>
      <c r="H714" s="4" t="s">
        <v>54</v>
      </c>
      <c r="I714" s="4" t="s">
        <v>51</v>
      </c>
      <c r="J714" s="6">
        <v>45766</v>
      </c>
      <c r="K714" s="4">
        <v>4426</v>
      </c>
      <c r="L714" s="4">
        <v>4426</v>
      </c>
      <c r="M714" s="4">
        <v>1461</v>
      </c>
      <c r="N714">
        <f t="shared" si="32"/>
        <v>0.33009489380930862</v>
      </c>
    </row>
    <row r="715" spans="6:14">
      <c r="F715" s="4" t="s">
        <v>55</v>
      </c>
      <c r="G715" s="4">
        <v>11073</v>
      </c>
      <c r="H715" s="4" t="s">
        <v>54</v>
      </c>
      <c r="I715" s="4" t="s">
        <v>51</v>
      </c>
      <c r="J715" s="6">
        <v>45767</v>
      </c>
      <c r="K715" s="4">
        <v>5348</v>
      </c>
      <c r="L715" s="4">
        <v>5348</v>
      </c>
      <c r="M715" s="4">
        <v>1615</v>
      </c>
      <c r="N715">
        <f t="shared" si="32"/>
        <v>0.30198204936424833</v>
      </c>
    </row>
    <row r="716" spans="6:14">
      <c r="F716" s="4" t="s">
        <v>55</v>
      </c>
      <c r="G716" s="4">
        <v>11074</v>
      </c>
      <c r="H716" s="4"/>
      <c r="I716" s="4" t="s">
        <v>50</v>
      </c>
      <c r="J716" s="6">
        <v>45750</v>
      </c>
      <c r="K716" s="4">
        <v>40</v>
      </c>
      <c r="L716" s="4">
        <v>40</v>
      </c>
      <c r="M716" s="4">
        <v>5</v>
      </c>
      <c r="N716">
        <f t="shared" si="32"/>
        <v>0.125</v>
      </c>
    </row>
    <row r="717" spans="6:14">
      <c r="F717" s="4" t="s">
        <v>55</v>
      </c>
      <c r="G717" s="4">
        <v>11074</v>
      </c>
      <c r="H717" s="4"/>
      <c r="I717" s="4" t="s">
        <v>50</v>
      </c>
      <c r="J717" s="6">
        <v>45751</v>
      </c>
      <c r="K717" s="4">
        <v>36</v>
      </c>
      <c r="L717" s="4">
        <v>36</v>
      </c>
      <c r="M717" s="4">
        <v>5</v>
      </c>
      <c r="N717">
        <f t="shared" si="32"/>
        <v>0.1388888888888889</v>
      </c>
    </row>
    <row r="718" spans="6:14">
      <c r="F718" s="4" t="s">
        <v>55</v>
      </c>
      <c r="G718" s="4">
        <v>11074</v>
      </c>
      <c r="H718" s="4"/>
      <c r="I718" s="4" t="s">
        <v>50</v>
      </c>
      <c r="J718" s="6">
        <v>45752</v>
      </c>
      <c r="K718" s="4">
        <v>22</v>
      </c>
      <c r="L718" s="4">
        <v>22</v>
      </c>
      <c r="M718" s="4">
        <v>7</v>
      </c>
      <c r="N718">
        <f t="shared" si="32"/>
        <v>0.31818181818181818</v>
      </c>
    </row>
    <row r="719" spans="6:14">
      <c r="F719" s="4" t="s">
        <v>55</v>
      </c>
      <c r="G719" s="4">
        <v>11074</v>
      </c>
      <c r="H719" s="4"/>
      <c r="I719" s="4" t="s">
        <v>50</v>
      </c>
      <c r="J719" s="6">
        <v>45753</v>
      </c>
      <c r="K719" s="4">
        <v>29</v>
      </c>
      <c r="L719" s="4">
        <v>29</v>
      </c>
      <c r="M719" s="4">
        <v>3</v>
      </c>
      <c r="N719">
        <f t="shared" si="32"/>
        <v>0.10344827586206896</v>
      </c>
    </row>
    <row r="720" spans="6:14">
      <c r="F720" s="4" t="s">
        <v>55</v>
      </c>
      <c r="G720" s="4">
        <v>11074</v>
      </c>
      <c r="H720" s="4"/>
      <c r="I720" s="4" t="s">
        <v>50</v>
      </c>
      <c r="J720" s="6">
        <v>45754</v>
      </c>
      <c r="K720" s="4">
        <v>33</v>
      </c>
      <c r="L720" s="4">
        <v>33</v>
      </c>
      <c r="M720" s="4">
        <v>9</v>
      </c>
      <c r="N720">
        <f t="shared" si="32"/>
        <v>0.27272727272727271</v>
      </c>
    </row>
    <row r="721" spans="6:14">
      <c r="F721" s="4" t="s">
        <v>55</v>
      </c>
      <c r="G721" s="4">
        <v>11074</v>
      </c>
      <c r="H721" s="4"/>
      <c r="I721" s="4" t="s">
        <v>50</v>
      </c>
      <c r="J721" s="6">
        <v>45755</v>
      </c>
      <c r="K721" s="4">
        <v>21</v>
      </c>
      <c r="L721" s="4">
        <v>21</v>
      </c>
      <c r="M721" s="4">
        <v>5</v>
      </c>
      <c r="N721">
        <f t="shared" si="32"/>
        <v>0.23809523809523808</v>
      </c>
    </row>
    <row r="722" spans="6:14">
      <c r="F722" s="4" t="s">
        <v>55</v>
      </c>
      <c r="G722" s="4">
        <v>11074</v>
      </c>
      <c r="H722" s="4"/>
      <c r="I722" s="4" t="s">
        <v>50</v>
      </c>
      <c r="J722" s="6">
        <v>45756</v>
      </c>
      <c r="K722" s="4">
        <v>24</v>
      </c>
      <c r="L722" s="4">
        <v>24</v>
      </c>
      <c r="M722" s="4">
        <v>4</v>
      </c>
      <c r="N722">
        <f t="shared" si="32"/>
        <v>0.16666666666666666</v>
      </c>
    </row>
    <row r="723" spans="6:14">
      <c r="F723" s="4" t="s">
        <v>55</v>
      </c>
      <c r="G723" s="4">
        <v>11074</v>
      </c>
      <c r="H723" s="4"/>
      <c r="I723" s="4" t="s">
        <v>50</v>
      </c>
      <c r="J723" s="6">
        <v>45757</v>
      </c>
      <c r="K723" s="4">
        <v>31</v>
      </c>
      <c r="L723" s="4">
        <v>31</v>
      </c>
      <c r="M723" s="4">
        <v>6</v>
      </c>
      <c r="N723">
        <f t="shared" si="32"/>
        <v>0.19354838709677419</v>
      </c>
    </row>
    <row r="724" spans="6:14">
      <c r="F724" s="4" t="s">
        <v>55</v>
      </c>
      <c r="G724" s="4">
        <v>11074</v>
      </c>
      <c r="H724" s="4"/>
      <c r="I724" s="4" t="s">
        <v>50</v>
      </c>
      <c r="J724" s="6">
        <v>45758</v>
      </c>
      <c r="K724" s="4">
        <v>39</v>
      </c>
      <c r="L724" s="4">
        <v>39</v>
      </c>
      <c r="M724" s="4">
        <v>10</v>
      </c>
      <c r="N724">
        <f t="shared" si="32"/>
        <v>0.25641025641025639</v>
      </c>
    </row>
    <row r="725" spans="6:14">
      <c r="F725" s="4" t="s">
        <v>55</v>
      </c>
      <c r="G725" s="4">
        <v>11074</v>
      </c>
      <c r="H725" s="4"/>
      <c r="I725" s="4" t="s">
        <v>50</v>
      </c>
      <c r="J725" s="6">
        <v>45759</v>
      </c>
      <c r="K725" s="4">
        <v>36</v>
      </c>
      <c r="L725" s="4">
        <v>36</v>
      </c>
      <c r="M725" s="4">
        <v>8</v>
      </c>
      <c r="N725">
        <f t="shared" si="32"/>
        <v>0.22222222222222221</v>
      </c>
    </row>
    <row r="726" spans="6:14">
      <c r="F726" s="4" t="s">
        <v>55</v>
      </c>
      <c r="G726" s="4">
        <v>11074</v>
      </c>
      <c r="H726" s="4"/>
      <c r="I726" s="4" t="s">
        <v>50</v>
      </c>
      <c r="J726" s="6">
        <v>45760</v>
      </c>
      <c r="K726" s="4">
        <v>31</v>
      </c>
      <c r="L726" s="4">
        <v>31</v>
      </c>
      <c r="M726" s="4">
        <v>5</v>
      </c>
      <c r="N726">
        <f t="shared" si="32"/>
        <v>0.16129032258064516</v>
      </c>
    </row>
    <row r="727" spans="6:14">
      <c r="F727" s="4" t="s">
        <v>55</v>
      </c>
      <c r="G727" s="4">
        <v>11074</v>
      </c>
      <c r="H727" s="4"/>
      <c r="I727" s="4" t="s">
        <v>50</v>
      </c>
      <c r="J727" s="6">
        <v>45761</v>
      </c>
      <c r="K727" s="4">
        <v>28</v>
      </c>
      <c r="L727" s="4">
        <v>28</v>
      </c>
      <c r="M727" s="4">
        <v>7</v>
      </c>
      <c r="N727">
        <f t="shared" si="32"/>
        <v>0.25</v>
      </c>
    </row>
    <row r="728" spans="6:14">
      <c r="F728" s="4" t="s">
        <v>55</v>
      </c>
      <c r="G728" s="4">
        <v>11074</v>
      </c>
      <c r="H728" s="4"/>
      <c r="I728" s="4" t="s">
        <v>50</v>
      </c>
      <c r="J728" s="6">
        <v>45762</v>
      </c>
      <c r="K728" s="4">
        <v>32</v>
      </c>
      <c r="L728" s="4">
        <v>32</v>
      </c>
      <c r="M728" s="4">
        <v>4</v>
      </c>
      <c r="N728">
        <f t="shared" si="32"/>
        <v>0.125</v>
      </c>
    </row>
    <row r="729" spans="6:14">
      <c r="F729" s="4" t="s">
        <v>55</v>
      </c>
      <c r="G729" s="4">
        <v>11074</v>
      </c>
      <c r="H729" s="4"/>
      <c r="I729" s="4" t="s">
        <v>50</v>
      </c>
      <c r="J729" s="6">
        <v>45763</v>
      </c>
      <c r="K729" s="4">
        <v>30</v>
      </c>
      <c r="L729" s="4">
        <v>30</v>
      </c>
      <c r="M729" s="4">
        <v>11</v>
      </c>
      <c r="N729">
        <f t="shared" si="32"/>
        <v>0.36666666666666664</v>
      </c>
    </row>
    <row r="730" spans="6:14">
      <c r="F730" s="4" t="s">
        <v>55</v>
      </c>
      <c r="G730" s="4">
        <v>11074</v>
      </c>
      <c r="H730" s="4"/>
      <c r="I730" s="4" t="s">
        <v>50</v>
      </c>
      <c r="J730" s="6">
        <v>45764</v>
      </c>
      <c r="K730" s="4">
        <v>30</v>
      </c>
      <c r="L730" s="4">
        <v>30</v>
      </c>
      <c r="M730" s="4">
        <v>6</v>
      </c>
      <c r="N730">
        <f t="shared" si="32"/>
        <v>0.2</v>
      </c>
    </row>
    <row r="731" spans="6:14">
      <c r="F731" s="4" t="s">
        <v>55</v>
      </c>
      <c r="G731" s="4">
        <v>11074</v>
      </c>
      <c r="H731" s="4"/>
      <c r="I731" s="4" t="s">
        <v>50</v>
      </c>
      <c r="J731" s="6">
        <v>45765</v>
      </c>
      <c r="K731" s="4">
        <v>41</v>
      </c>
      <c r="L731" s="4">
        <v>41</v>
      </c>
      <c r="M731" s="4">
        <v>7</v>
      </c>
      <c r="N731">
        <f t="shared" si="32"/>
        <v>0.17073170731707318</v>
      </c>
    </row>
    <row r="732" spans="6:14">
      <c r="F732" s="4" t="s">
        <v>55</v>
      </c>
      <c r="G732" s="4">
        <v>11074</v>
      </c>
      <c r="H732" s="4"/>
      <c r="I732" s="4" t="s">
        <v>50</v>
      </c>
      <c r="J732" s="6">
        <v>45766</v>
      </c>
      <c r="K732" s="4">
        <v>37</v>
      </c>
      <c r="L732" s="4">
        <v>37</v>
      </c>
      <c r="M732" s="4">
        <v>10</v>
      </c>
      <c r="N732">
        <f t="shared" si="32"/>
        <v>0.27027027027027029</v>
      </c>
    </row>
    <row r="733" spans="6:14">
      <c r="F733" s="4" t="s">
        <v>55</v>
      </c>
      <c r="G733" s="4">
        <v>11074</v>
      </c>
      <c r="H733" s="4"/>
      <c r="I733" s="4" t="s">
        <v>50</v>
      </c>
      <c r="J733" s="6">
        <v>45767</v>
      </c>
      <c r="K733" s="4">
        <v>48</v>
      </c>
      <c r="L733" s="4">
        <v>48</v>
      </c>
      <c r="M733" s="4">
        <v>11</v>
      </c>
      <c r="N733">
        <f t="shared" si="32"/>
        <v>0.22916666666666666</v>
      </c>
    </row>
    <row r="734" spans="6:14">
      <c r="F734" s="4" t="s">
        <v>55</v>
      </c>
      <c r="G734" s="4">
        <v>11074</v>
      </c>
      <c r="H734" s="4"/>
      <c r="I734" s="4" t="s">
        <v>51</v>
      </c>
      <c r="J734" s="6">
        <v>45750</v>
      </c>
      <c r="K734" s="4">
        <v>17</v>
      </c>
      <c r="L734" s="4">
        <v>17</v>
      </c>
      <c r="M734" s="4">
        <v>0</v>
      </c>
      <c r="N734">
        <f t="shared" si="32"/>
        <v>0</v>
      </c>
    </row>
    <row r="735" spans="6:14">
      <c r="F735" s="4" t="s">
        <v>55</v>
      </c>
      <c r="G735" s="4">
        <v>11074</v>
      </c>
      <c r="H735" s="4"/>
      <c r="I735" s="4" t="s">
        <v>51</v>
      </c>
      <c r="J735" s="6">
        <v>45751</v>
      </c>
      <c r="K735" s="4">
        <v>26</v>
      </c>
      <c r="L735" s="4">
        <v>26</v>
      </c>
      <c r="M735" s="4">
        <v>8</v>
      </c>
      <c r="N735">
        <f t="shared" si="32"/>
        <v>0.30769230769230771</v>
      </c>
    </row>
    <row r="736" spans="6:14">
      <c r="F736" s="4" t="s">
        <v>55</v>
      </c>
      <c r="G736" s="4">
        <v>11074</v>
      </c>
      <c r="H736" s="4"/>
      <c r="I736" s="4" t="s">
        <v>51</v>
      </c>
      <c r="J736" s="6">
        <v>45752</v>
      </c>
      <c r="K736" s="4">
        <v>31</v>
      </c>
      <c r="L736" s="4">
        <v>31</v>
      </c>
      <c r="M736" s="4">
        <v>7</v>
      </c>
      <c r="N736">
        <f t="shared" si="32"/>
        <v>0.22580645161290322</v>
      </c>
    </row>
    <row r="737" spans="6:14">
      <c r="F737" s="4" t="s">
        <v>55</v>
      </c>
      <c r="G737" s="4">
        <v>11074</v>
      </c>
      <c r="H737" s="4"/>
      <c r="I737" s="4" t="s">
        <v>51</v>
      </c>
      <c r="J737" s="6">
        <v>45753</v>
      </c>
      <c r="K737" s="4">
        <v>62</v>
      </c>
      <c r="L737" s="4">
        <v>62</v>
      </c>
      <c r="M737" s="4">
        <v>14</v>
      </c>
      <c r="N737">
        <f t="shared" si="32"/>
        <v>0.22580645161290322</v>
      </c>
    </row>
    <row r="738" spans="6:14">
      <c r="F738" s="4" t="s">
        <v>55</v>
      </c>
      <c r="G738" s="4">
        <v>11074</v>
      </c>
      <c r="H738" s="4"/>
      <c r="I738" s="4" t="s">
        <v>51</v>
      </c>
      <c r="J738" s="6">
        <v>45754</v>
      </c>
      <c r="K738" s="4">
        <v>47</v>
      </c>
      <c r="L738" s="4">
        <v>47</v>
      </c>
      <c r="M738" s="4">
        <v>8</v>
      </c>
      <c r="N738">
        <f t="shared" si="32"/>
        <v>0.1702127659574468</v>
      </c>
    </row>
    <row r="739" spans="6:14">
      <c r="F739" s="4" t="s">
        <v>55</v>
      </c>
      <c r="G739" s="4">
        <v>11074</v>
      </c>
      <c r="H739" s="4"/>
      <c r="I739" s="4" t="s">
        <v>51</v>
      </c>
      <c r="J739" s="6">
        <v>45755</v>
      </c>
      <c r="K739" s="4">
        <v>60</v>
      </c>
      <c r="L739" s="4">
        <v>60</v>
      </c>
      <c r="M739" s="4">
        <v>15</v>
      </c>
      <c r="N739">
        <f t="shared" si="32"/>
        <v>0.25</v>
      </c>
    </row>
    <row r="740" spans="6:14">
      <c r="F740" s="4" t="s">
        <v>55</v>
      </c>
      <c r="G740" s="4">
        <v>11074</v>
      </c>
      <c r="H740" s="4"/>
      <c r="I740" s="4" t="s">
        <v>51</v>
      </c>
      <c r="J740" s="6">
        <v>45756</v>
      </c>
      <c r="K740" s="4">
        <v>70</v>
      </c>
      <c r="L740" s="4">
        <v>70</v>
      </c>
      <c r="M740" s="4">
        <v>19</v>
      </c>
      <c r="N740">
        <f t="shared" si="32"/>
        <v>0.27142857142857141</v>
      </c>
    </row>
    <row r="741" spans="6:14">
      <c r="F741" s="4" t="s">
        <v>55</v>
      </c>
      <c r="G741" s="4">
        <v>11074</v>
      </c>
      <c r="H741" s="4"/>
      <c r="I741" s="4" t="s">
        <v>51</v>
      </c>
      <c r="J741" s="6">
        <v>45757</v>
      </c>
      <c r="K741" s="4">
        <v>67</v>
      </c>
      <c r="L741" s="4">
        <v>67</v>
      </c>
      <c r="M741" s="4">
        <v>19</v>
      </c>
      <c r="N741">
        <f t="shared" si="32"/>
        <v>0.28358208955223879</v>
      </c>
    </row>
    <row r="742" spans="6:14">
      <c r="F742" s="4" t="s">
        <v>55</v>
      </c>
      <c r="G742" s="4">
        <v>11074</v>
      </c>
      <c r="H742" s="4"/>
      <c r="I742" s="4" t="s">
        <v>51</v>
      </c>
      <c r="J742" s="6">
        <v>45758</v>
      </c>
      <c r="K742" s="4">
        <v>99</v>
      </c>
      <c r="L742" s="4">
        <v>99</v>
      </c>
      <c r="M742" s="4">
        <v>18</v>
      </c>
      <c r="N742">
        <f t="shared" si="32"/>
        <v>0.18181818181818182</v>
      </c>
    </row>
    <row r="743" spans="6:14">
      <c r="F743" s="4" t="s">
        <v>55</v>
      </c>
      <c r="G743" s="4">
        <v>11074</v>
      </c>
      <c r="H743" s="4"/>
      <c r="I743" s="4" t="s">
        <v>51</v>
      </c>
      <c r="J743" s="6">
        <v>45759</v>
      </c>
      <c r="K743" s="4">
        <v>109</v>
      </c>
      <c r="L743" s="4">
        <v>109</v>
      </c>
      <c r="M743" s="4">
        <v>25</v>
      </c>
      <c r="N743">
        <f t="shared" si="32"/>
        <v>0.22935779816513763</v>
      </c>
    </row>
    <row r="744" spans="6:14">
      <c r="F744" s="4" t="s">
        <v>55</v>
      </c>
      <c r="G744" s="4">
        <v>11074</v>
      </c>
      <c r="H744" s="4"/>
      <c r="I744" s="4" t="s">
        <v>51</v>
      </c>
      <c r="J744" s="6">
        <v>45760</v>
      </c>
      <c r="K744" s="4">
        <v>141</v>
      </c>
      <c r="L744" s="4">
        <v>141</v>
      </c>
      <c r="M744" s="4">
        <v>40</v>
      </c>
      <c r="N744">
        <f t="shared" si="32"/>
        <v>0.28368794326241137</v>
      </c>
    </row>
    <row r="745" spans="6:14">
      <c r="F745" s="4" t="s">
        <v>55</v>
      </c>
      <c r="G745" s="4">
        <v>11074</v>
      </c>
      <c r="H745" s="4"/>
      <c r="I745" s="4" t="s">
        <v>51</v>
      </c>
      <c r="J745" s="6">
        <v>45761</v>
      </c>
      <c r="K745" s="4">
        <v>114</v>
      </c>
      <c r="L745" s="4">
        <v>114</v>
      </c>
      <c r="M745" s="4">
        <v>30</v>
      </c>
      <c r="N745">
        <f t="shared" si="32"/>
        <v>0.26315789473684209</v>
      </c>
    </row>
    <row r="746" spans="6:14">
      <c r="F746" s="4" t="s">
        <v>55</v>
      </c>
      <c r="G746" s="4">
        <v>11074</v>
      </c>
      <c r="H746" s="4"/>
      <c r="I746" s="4" t="s">
        <v>51</v>
      </c>
      <c r="J746" s="6">
        <v>45762</v>
      </c>
      <c r="K746" s="4">
        <v>106</v>
      </c>
      <c r="L746" s="4">
        <v>106</v>
      </c>
      <c r="M746" s="4">
        <v>19</v>
      </c>
      <c r="N746">
        <f t="shared" si="32"/>
        <v>0.17924528301886791</v>
      </c>
    </row>
    <row r="747" spans="6:14">
      <c r="F747" s="4" t="s">
        <v>55</v>
      </c>
      <c r="G747" s="4">
        <v>11074</v>
      </c>
      <c r="H747" s="4"/>
      <c r="I747" s="4" t="s">
        <v>51</v>
      </c>
      <c r="J747" s="6">
        <v>45763</v>
      </c>
      <c r="K747" s="4">
        <v>127</v>
      </c>
      <c r="L747" s="4">
        <v>127</v>
      </c>
      <c r="M747" s="4">
        <v>22</v>
      </c>
      <c r="N747">
        <f t="shared" si="32"/>
        <v>0.17322834645669291</v>
      </c>
    </row>
    <row r="748" spans="6:14">
      <c r="F748" s="4" t="s">
        <v>55</v>
      </c>
      <c r="G748" s="4">
        <v>11074</v>
      </c>
      <c r="H748" s="4"/>
      <c r="I748" s="4" t="s">
        <v>51</v>
      </c>
      <c r="J748" s="6">
        <v>45764</v>
      </c>
      <c r="K748" s="4">
        <v>123</v>
      </c>
      <c r="L748" s="4">
        <v>123</v>
      </c>
      <c r="M748" s="4">
        <v>28</v>
      </c>
      <c r="N748">
        <f t="shared" si="32"/>
        <v>0.22764227642276422</v>
      </c>
    </row>
    <row r="749" spans="6:14">
      <c r="F749" s="4" t="s">
        <v>55</v>
      </c>
      <c r="G749" s="4">
        <v>11074</v>
      </c>
      <c r="H749" s="4"/>
      <c r="I749" s="4" t="s">
        <v>51</v>
      </c>
      <c r="J749" s="6">
        <v>45765</v>
      </c>
      <c r="K749" s="4">
        <v>125</v>
      </c>
      <c r="L749" s="4">
        <v>125</v>
      </c>
      <c r="M749" s="4">
        <v>32</v>
      </c>
      <c r="N749">
        <f t="shared" si="32"/>
        <v>0.25600000000000001</v>
      </c>
    </row>
    <row r="750" spans="6:14">
      <c r="F750" s="4" t="s">
        <v>55</v>
      </c>
      <c r="G750" s="4">
        <v>11074</v>
      </c>
      <c r="H750" s="4"/>
      <c r="I750" s="4" t="s">
        <v>51</v>
      </c>
      <c r="J750" s="6">
        <v>45766</v>
      </c>
      <c r="K750" s="4">
        <v>148</v>
      </c>
      <c r="L750" s="4">
        <v>148</v>
      </c>
      <c r="M750" s="4">
        <v>36</v>
      </c>
      <c r="N750">
        <f t="shared" si="32"/>
        <v>0.24324324324324326</v>
      </c>
    </row>
    <row r="751" spans="6:14">
      <c r="F751" s="4" t="s">
        <v>55</v>
      </c>
      <c r="G751" s="4">
        <v>11074</v>
      </c>
      <c r="H751" s="4"/>
      <c r="I751" s="4" t="s">
        <v>51</v>
      </c>
      <c r="J751" s="6">
        <v>45767</v>
      </c>
      <c r="K751" s="4">
        <v>180</v>
      </c>
      <c r="L751" s="4">
        <v>180</v>
      </c>
      <c r="M751" s="4">
        <v>53</v>
      </c>
      <c r="N751">
        <f t="shared" si="32"/>
        <v>0.29444444444444445</v>
      </c>
    </row>
    <row r="752" spans="6:14">
      <c r="F752" s="4" t="s">
        <v>55</v>
      </c>
      <c r="G752" s="4">
        <v>11074</v>
      </c>
      <c r="H752" s="4" t="s">
        <v>52</v>
      </c>
      <c r="I752" s="4" t="s">
        <v>50</v>
      </c>
      <c r="J752" s="6">
        <v>45750</v>
      </c>
      <c r="K752" s="4">
        <v>964</v>
      </c>
      <c r="L752" s="4">
        <v>964</v>
      </c>
      <c r="M752" s="4">
        <v>140</v>
      </c>
      <c r="N752">
        <f t="shared" si="32"/>
        <v>0.14522821576763487</v>
      </c>
    </row>
    <row r="753" spans="6:14">
      <c r="F753" s="4" t="s">
        <v>55</v>
      </c>
      <c r="G753" s="4">
        <v>11074</v>
      </c>
      <c r="H753" s="4" t="s">
        <v>52</v>
      </c>
      <c r="I753" s="4" t="s">
        <v>50</v>
      </c>
      <c r="J753" s="6">
        <v>45751</v>
      </c>
      <c r="K753" s="4">
        <v>1023</v>
      </c>
      <c r="L753" s="4">
        <v>1023</v>
      </c>
      <c r="M753" s="4">
        <v>155</v>
      </c>
      <c r="N753">
        <f t="shared" si="32"/>
        <v>0.15151515151515152</v>
      </c>
    </row>
    <row r="754" spans="6:14">
      <c r="F754" s="4" t="s">
        <v>55</v>
      </c>
      <c r="G754" s="4">
        <v>11074</v>
      </c>
      <c r="H754" s="4" t="s">
        <v>52</v>
      </c>
      <c r="I754" s="4" t="s">
        <v>50</v>
      </c>
      <c r="J754" s="6">
        <v>45752</v>
      </c>
      <c r="K754" s="4">
        <v>1162</v>
      </c>
      <c r="L754" s="4">
        <v>1162</v>
      </c>
      <c r="M754" s="4">
        <v>197</v>
      </c>
      <c r="N754">
        <f t="shared" si="32"/>
        <v>0.16953528399311532</v>
      </c>
    </row>
    <row r="755" spans="6:14">
      <c r="F755" s="4" t="s">
        <v>55</v>
      </c>
      <c r="G755" s="4">
        <v>11074</v>
      </c>
      <c r="H755" s="4" t="s">
        <v>52</v>
      </c>
      <c r="I755" s="4" t="s">
        <v>50</v>
      </c>
      <c r="J755" s="6">
        <v>45753</v>
      </c>
      <c r="K755" s="4">
        <v>1575</v>
      </c>
      <c r="L755" s="4">
        <v>1575</v>
      </c>
      <c r="M755" s="4">
        <v>245</v>
      </c>
      <c r="N755">
        <f t="shared" si="32"/>
        <v>0.15555555555555556</v>
      </c>
    </row>
    <row r="756" spans="6:14">
      <c r="F756" s="4" t="s">
        <v>55</v>
      </c>
      <c r="G756" s="4">
        <v>11074</v>
      </c>
      <c r="H756" s="4" t="s">
        <v>52</v>
      </c>
      <c r="I756" s="4" t="s">
        <v>50</v>
      </c>
      <c r="J756" s="6">
        <v>45754</v>
      </c>
      <c r="K756" s="4">
        <v>1518</v>
      </c>
      <c r="L756" s="4">
        <v>1518</v>
      </c>
      <c r="M756" s="4">
        <v>224</v>
      </c>
      <c r="N756">
        <f t="shared" si="32"/>
        <v>0.14756258234519104</v>
      </c>
    </row>
    <row r="757" spans="6:14">
      <c r="F757" s="4" t="s">
        <v>55</v>
      </c>
      <c r="G757" s="4">
        <v>11074</v>
      </c>
      <c r="H757" s="4" t="s">
        <v>52</v>
      </c>
      <c r="I757" s="4" t="s">
        <v>50</v>
      </c>
      <c r="J757" s="6">
        <v>45755</v>
      </c>
      <c r="K757" s="4">
        <v>1194</v>
      </c>
      <c r="L757" s="4">
        <v>1194</v>
      </c>
      <c r="M757" s="4">
        <v>176</v>
      </c>
      <c r="N757">
        <f t="shared" si="32"/>
        <v>0.14740368509212731</v>
      </c>
    </row>
    <row r="758" spans="6:14">
      <c r="F758" s="4" t="s">
        <v>55</v>
      </c>
      <c r="G758" s="4">
        <v>11074</v>
      </c>
      <c r="H758" s="4" t="s">
        <v>52</v>
      </c>
      <c r="I758" s="4" t="s">
        <v>50</v>
      </c>
      <c r="J758" s="6">
        <v>45756</v>
      </c>
      <c r="K758" s="4">
        <v>1112</v>
      </c>
      <c r="L758" s="4">
        <v>1112</v>
      </c>
      <c r="M758" s="4">
        <v>194</v>
      </c>
      <c r="N758">
        <f t="shared" si="32"/>
        <v>0.17446043165467626</v>
      </c>
    </row>
    <row r="759" spans="6:14">
      <c r="F759" s="4" t="s">
        <v>55</v>
      </c>
      <c r="G759" s="4">
        <v>11074</v>
      </c>
      <c r="H759" s="4" t="s">
        <v>52</v>
      </c>
      <c r="I759" s="4" t="s">
        <v>50</v>
      </c>
      <c r="J759" s="6">
        <v>45757</v>
      </c>
      <c r="K759" s="4">
        <v>1096</v>
      </c>
      <c r="L759" s="4">
        <v>1096</v>
      </c>
      <c r="M759" s="4">
        <v>168</v>
      </c>
      <c r="N759">
        <f t="shared" si="32"/>
        <v>0.15328467153284672</v>
      </c>
    </row>
    <row r="760" spans="6:14">
      <c r="F760" s="4" t="s">
        <v>55</v>
      </c>
      <c r="G760" s="4">
        <v>11074</v>
      </c>
      <c r="H760" s="4" t="s">
        <v>52</v>
      </c>
      <c r="I760" s="4" t="s">
        <v>50</v>
      </c>
      <c r="J760" s="6">
        <v>45758</v>
      </c>
      <c r="K760" s="4">
        <v>1137</v>
      </c>
      <c r="L760" s="4">
        <v>1137</v>
      </c>
      <c r="M760" s="4">
        <v>160</v>
      </c>
      <c r="N760">
        <f t="shared" si="32"/>
        <v>0.14072119613016712</v>
      </c>
    </row>
    <row r="761" spans="6:14">
      <c r="F761" s="4" t="s">
        <v>55</v>
      </c>
      <c r="G761" s="4">
        <v>11074</v>
      </c>
      <c r="H761" s="4" t="s">
        <v>52</v>
      </c>
      <c r="I761" s="4" t="s">
        <v>50</v>
      </c>
      <c r="J761" s="6">
        <v>45759</v>
      </c>
      <c r="K761" s="4">
        <v>1183</v>
      </c>
      <c r="L761" s="4">
        <v>1183</v>
      </c>
      <c r="M761" s="4">
        <v>186</v>
      </c>
      <c r="N761">
        <f t="shared" si="32"/>
        <v>0.15722738799661876</v>
      </c>
    </row>
    <row r="762" spans="6:14">
      <c r="F762" s="4" t="s">
        <v>55</v>
      </c>
      <c r="G762" s="4">
        <v>11074</v>
      </c>
      <c r="H762" s="4" t="s">
        <v>52</v>
      </c>
      <c r="I762" s="4" t="s">
        <v>50</v>
      </c>
      <c r="J762" s="6">
        <v>45760</v>
      </c>
      <c r="K762" s="4">
        <v>1611</v>
      </c>
      <c r="L762" s="4">
        <v>1611</v>
      </c>
      <c r="M762" s="4">
        <v>282</v>
      </c>
      <c r="N762">
        <f t="shared" si="32"/>
        <v>0.1750465549348231</v>
      </c>
    </row>
    <row r="763" spans="6:14">
      <c r="F763" s="4" t="s">
        <v>55</v>
      </c>
      <c r="G763" s="4">
        <v>11074</v>
      </c>
      <c r="H763" s="4" t="s">
        <v>52</v>
      </c>
      <c r="I763" s="4" t="s">
        <v>50</v>
      </c>
      <c r="J763" s="6">
        <v>45761</v>
      </c>
      <c r="K763" s="4">
        <v>1479</v>
      </c>
      <c r="L763" s="4">
        <v>1479</v>
      </c>
      <c r="M763" s="4">
        <v>212</v>
      </c>
      <c r="N763">
        <f t="shared" si="32"/>
        <v>0.14334009465855307</v>
      </c>
    </row>
    <row r="764" spans="6:14">
      <c r="F764" s="4" t="s">
        <v>55</v>
      </c>
      <c r="G764" s="4">
        <v>11074</v>
      </c>
      <c r="H764" s="4" t="s">
        <v>52</v>
      </c>
      <c r="I764" s="4" t="s">
        <v>50</v>
      </c>
      <c r="J764" s="6">
        <v>45762</v>
      </c>
      <c r="K764" s="4">
        <v>1195</v>
      </c>
      <c r="L764" s="4">
        <v>1195</v>
      </c>
      <c r="M764" s="4">
        <v>171</v>
      </c>
      <c r="N764">
        <f t="shared" si="32"/>
        <v>0.14309623430962343</v>
      </c>
    </row>
    <row r="765" spans="6:14">
      <c r="F765" s="4" t="s">
        <v>55</v>
      </c>
      <c r="G765" s="4">
        <v>11074</v>
      </c>
      <c r="H765" s="4" t="s">
        <v>52</v>
      </c>
      <c r="I765" s="4" t="s">
        <v>50</v>
      </c>
      <c r="J765" s="6">
        <v>45763</v>
      </c>
      <c r="K765" s="4">
        <v>1143</v>
      </c>
      <c r="L765" s="4">
        <v>1143</v>
      </c>
      <c r="M765" s="4">
        <v>177</v>
      </c>
      <c r="N765">
        <f t="shared" si="32"/>
        <v>0.15485564304461943</v>
      </c>
    </row>
    <row r="766" spans="6:14">
      <c r="F766" s="4" t="s">
        <v>55</v>
      </c>
      <c r="G766" s="4">
        <v>11074</v>
      </c>
      <c r="H766" s="4" t="s">
        <v>52</v>
      </c>
      <c r="I766" s="4" t="s">
        <v>50</v>
      </c>
      <c r="J766" s="6">
        <v>45764</v>
      </c>
      <c r="K766" s="4">
        <v>1125</v>
      </c>
      <c r="L766" s="4">
        <v>1125</v>
      </c>
      <c r="M766" s="4">
        <v>182</v>
      </c>
      <c r="N766">
        <f t="shared" si="32"/>
        <v>0.16177777777777777</v>
      </c>
    </row>
    <row r="767" spans="6:14">
      <c r="F767" s="4" t="s">
        <v>55</v>
      </c>
      <c r="G767" s="4">
        <v>11074</v>
      </c>
      <c r="H767" s="4" t="s">
        <v>52</v>
      </c>
      <c r="I767" s="4" t="s">
        <v>50</v>
      </c>
      <c r="J767" s="6">
        <v>45765</v>
      </c>
      <c r="K767" s="4">
        <v>1178</v>
      </c>
      <c r="L767" s="4">
        <v>1178</v>
      </c>
      <c r="M767" s="4">
        <v>186</v>
      </c>
      <c r="N767">
        <f t="shared" si="32"/>
        <v>0.15789473684210525</v>
      </c>
    </row>
    <row r="768" spans="6:14">
      <c r="F768" s="4" t="s">
        <v>55</v>
      </c>
      <c r="G768" s="4">
        <v>11074</v>
      </c>
      <c r="H768" s="4" t="s">
        <v>52</v>
      </c>
      <c r="I768" s="4" t="s">
        <v>50</v>
      </c>
      <c r="J768" s="6">
        <v>45766</v>
      </c>
      <c r="K768" s="4">
        <v>1333</v>
      </c>
      <c r="L768" s="4">
        <v>1333</v>
      </c>
      <c r="M768" s="4">
        <v>212</v>
      </c>
      <c r="N768">
        <f t="shared" si="32"/>
        <v>0.15903975993998501</v>
      </c>
    </row>
    <row r="769" spans="6:14">
      <c r="F769" s="4" t="s">
        <v>55</v>
      </c>
      <c r="G769" s="4">
        <v>11074</v>
      </c>
      <c r="H769" s="4" t="s">
        <v>52</v>
      </c>
      <c r="I769" s="4" t="s">
        <v>50</v>
      </c>
      <c r="J769" s="6">
        <v>45767</v>
      </c>
      <c r="K769" s="4">
        <v>1525</v>
      </c>
      <c r="L769" s="4">
        <v>1525</v>
      </c>
      <c r="M769" s="4">
        <v>255</v>
      </c>
      <c r="N769">
        <f t="shared" si="32"/>
        <v>0.16721311475409836</v>
      </c>
    </row>
    <row r="770" spans="6:14">
      <c r="F770" s="4" t="s">
        <v>55</v>
      </c>
      <c r="G770" s="4">
        <v>11074</v>
      </c>
      <c r="H770" s="4" t="s">
        <v>52</v>
      </c>
      <c r="I770" s="4" t="s">
        <v>51</v>
      </c>
      <c r="J770" s="6">
        <v>45750</v>
      </c>
      <c r="K770" s="4">
        <v>699</v>
      </c>
      <c r="L770" s="4">
        <v>699</v>
      </c>
      <c r="M770" s="4">
        <v>84</v>
      </c>
      <c r="N770">
        <f t="shared" si="32"/>
        <v>0.12017167381974249</v>
      </c>
    </row>
    <row r="771" spans="6:14">
      <c r="F771" s="4" t="s">
        <v>55</v>
      </c>
      <c r="G771" s="4">
        <v>11074</v>
      </c>
      <c r="H771" s="4" t="s">
        <v>52</v>
      </c>
      <c r="I771" s="4" t="s">
        <v>51</v>
      </c>
      <c r="J771" s="6">
        <v>45751</v>
      </c>
      <c r="K771" s="4">
        <v>1222</v>
      </c>
      <c r="L771" s="4">
        <v>1222</v>
      </c>
      <c r="M771" s="4">
        <v>250</v>
      </c>
      <c r="N771">
        <f t="shared" ref="N771:N834" si="33">M771/L771</f>
        <v>0.20458265139116202</v>
      </c>
    </row>
    <row r="772" spans="6:14">
      <c r="F772" s="4" t="s">
        <v>55</v>
      </c>
      <c r="G772" s="4">
        <v>11074</v>
      </c>
      <c r="H772" s="4" t="s">
        <v>52</v>
      </c>
      <c r="I772" s="4" t="s">
        <v>51</v>
      </c>
      <c r="J772" s="6">
        <v>45752</v>
      </c>
      <c r="K772" s="4">
        <v>1512</v>
      </c>
      <c r="L772" s="4">
        <v>1512</v>
      </c>
      <c r="M772" s="4">
        <v>311</v>
      </c>
      <c r="N772">
        <f t="shared" si="33"/>
        <v>0.2056878306878307</v>
      </c>
    </row>
    <row r="773" spans="6:14">
      <c r="F773" s="4" t="s">
        <v>55</v>
      </c>
      <c r="G773" s="4">
        <v>11074</v>
      </c>
      <c r="H773" s="4" t="s">
        <v>52</v>
      </c>
      <c r="I773" s="4" t="s">
        <v>51</v>
      </c>
      <c r="J773" s="6">
        <v>45753</v>
      </c>
      <c r="K773" s="4">
        <v>2238</v>
      </c>
      <c r="L773" s="4">
        <v>2238</v>
      </c>
      <c r="M773" s="4">
        <v>456</v>
      </c>
      <c r="N773">
        <f t="shared" si="33"/>
        <v>0.20375335120643431</v>
      </c>
    </row>
    <row r="774" spans="6:14">
      <c r="F774" s="4" t="s">
        <v>55</v>
      </c>
      <c r="G774" s="4">
        <v>11074</v>
      </c>
      <c r="H774" s="4" t="s">
        <v>52</v>
      </c>
      <c r="I774" s="4" t="s">
        <v>51</v>
      </c>
      <c r="J774" s="6">
        <v>45754</v>
      </c>
      <c r="K774" s="4">
        <v>2501</v>
      </c>
      <c r="L774" s="4">
        <v>2501</v>
      </c>
      <c r="M774" s="4">
        <v>518</v>
      </c>
      <c r="N774">
        <f t="shared" si="33"/>
        <v>0.20711715313874451</v>
      </c>
    </row>
    <row r="775" spans="6:14">
      <c r="F775" s="4" t="s">
        <v>55</v>
      </c>
      <c r="G775" s="4">
        <v>11074</v>
      </c>
      <c r="H775" s="4" t="s">
        <v>52</v>
      </c>
      <c r="I775" s="4" t="s">
        <v>51</v>
      </c>
      <c r="J775" s="6">
        <v>45755</v>
      </c>
      <c r="K775" s="4">
        <v>2329</v>
      </c>
      <c r="L775" s="4">
        <v>2329</v>
      </c>
      <c r="M775" s="4">
        <v>430</v>
      </c>
      <c r="N775">
        <f t="shared" si="33"/>
        <v>0.18462859596393302</v>
      </c>
    </row>
    <row r="776" spans="6:14">
      <c r="F776" s="4" t="s">
        <v>55</v>
      </c>
      <c r="G776" s="4">
        <v>11074</v>
      </c>
      <c r="H776" s="4" t="s">
        <v>52</v>
      </c>
      <c r="I776" s="4" t="s">
        <v>51</v>
      </c>
      <c r="J776" s="6">
        <v>45756</v>
      </c>
      <c r="K776" s="4">
        <v>2213</v>
      </c>
      <c r="L776" s="4">
        <v>2213</v>
      </c>
      <c r="M776" s="4">
        <v>406</v>
      </c>
      <c r="N776">
        <f t="shared" si="33"/>
        <v>0.18346136466335292</v>
      </c>
    </row>
    <row r="777" spans="6:14">
      <c r="F777" s="4" t="s">
        <v>55</v>
      </c>
      <c r="G777" s="4">
        <v>11074</v>
      </c>
      <c r="H777" s="4" t="s">
        <v>52</v>
      </c>
      <c r="I777" s="4" t="s">
        <v>51</v>
      </c>
      <c r="J777" s="6">
        <v>45757</v>
      </c>
      <c r="K777" s="4">
        <v>2586</v>
      </c>
      <c r="L777" s="4">
        <v>2586</v>
      </c>
      <c r="M777" s="4">
        <v>614</v>
      </c>
      <c r="N777">
        <f t="shared" si="33"/>
        <v>0.23743232791956689</v>
      </c>
    </row>
    <row r="778" spans="6:14">
      <c r="F778" s="4" t="s">
        <v>55</v>
      </c>
      <c r="G778" s="4">
        <v>11074</v>
      </c>
      <c r="H778" s="4" t="s">
        <v>52</v>
      </c>
      <c r="I778" s="4" t="s">
        <v>51</v>
      </c>
      <c r="J778" s="6">
        <v>45758</v>
      </c>
      <c r="K778" s="4">
        <v>3065</v>
      </c>
      <c r="L778" s="4">
        <v>3065</v>
      </c>
      <c r="M778" s="4">
        <v>748</v>
      </c>
      <c r="N778">
        <f t="shared" si="33"/>
        <v>0.24404567699836868</v>
      </c>
    </row>
    <row r="779" spans="6:14">
      <c r="F779" s="4" t="s">
        <v>55</v>
      </c>
      <c r="G779" s="4">
        <v>11074</v>
      </c>
      <c r="H779" s="4" t="s">
        <v>52</v>
      </c>
      <c r="I779" s="4" t="s">
        <v>51</v>
      </c>
      <c r="J779" s="6">
        <v>45759</v>
      </c>
      <c r="K779" s="4">
        <v>3668</v>
      </c>
      <c r="L779" s="4">
        <v>3668</v>
      </c>
      <c r="M779" s="4">
        <v>1009</v>
      </c>
      <c r="N779">
        <f t="shared" si="33"/>
        <v>0.27508178844056708</v>
      </c>
    </row>
    <row r="780" spans="6:14">
      <c r="F780" s="4" t="s">
        <v>55</v>
      </c>
      <c r="G780" s="4">
        <v>11074</v>
      </c>
      <c r="H780" s="4" t="s">
        <v>52</v>
      </c>
      <c r="I780" s="4" t="s">
        <v>51</v>
      </c>
      <c r="J780" s="6">
        <v>45760</v>
      </c>
      <c r="K780" s="4">
        <v>4979</v>
      </c>
      <c r="L780" s="4">
        <v>4979</v>
      </c>
      <c r="M780" s="4">
        <v>1042</v>
      </c>
      <c r="N780">
        <f t="shared" si="33"/>
        <v>0.20927897168106047</v>
      </c>
    </row>
    <row r="781" spans="6:14">
      <c r="F781" s="4" t="s">
        <v>55</v>
      </c>
      <c r="G781" s="4">
        <v>11074</v>
      </c>
      <c r="H781" s="4" t="s">
        <v>52</v>
      </c>
      <c r="I781" s="4" t="s">
        <v>51</v>
      </c>
      <c r="J781" s="6">
        <v>45761</v>
      </c>
      <c r="K781" s="4">
        <v>4861</v>
      </c>
      <c r="L781" s="4">
        <v>4861</v>
      </c>
      <c r="M781" s="4">
        <v>983</v>
      </c>
      <c r="N781">
        <f t="shared" si="33"/>
        <v>0.20222176506891587</v>
      </c>
    </row>
    <row r="782" spans="6:14">
      <c r="F782" s="4" t="s">
        <v>55</v>
      </c>
      <c r="G782" s="4">
        <v>11074</v>
      </c>
      <c r="H782" s="4" t="s">
        <v>52</v>
      </c>
      <c r="I782" s="4" t="s">
        <v>51</v>
      </c>
      <c r="J782" s="6">
        <v>45762</v>
      </c>
      <c r="K782" s="4">
        <v>3902</v>
      </c>
      <c r="L782" s="4">
        <v>3902</v>
      </c>
      <c r="M782" s="4">
        <v>808</v>
      </c>
      <c r="N782">
        <f t="shared" si="33"/>
        <v>0.20707329574577141</v>
      </c>
    </row>
    <row r="783" spans="6:14">
      <c r="F783" s="4" t="s">
        <v>55</v>
      </c>
      <c r="G783" s="4">
        <v>11074</v>
      </c>
      <c r="H783" s="4" t="s">
        <v>52</v>
      </c>
      <c r="I783" s="4" t="s">
        <v>51</v>
      </c>
      <c r="J783" s="6">
        <v>45763</v>
      </c>
      <c r="K783" s="4">
        <v>3726</v>
      </c>
      <c r="L783" s="4">
        <v>3726</v>
      </c>
      <c r="M783" s="4">
        <v>763</v>
      </c>
      <c r="N783">
        <f t="shared" si="33"/>
        <v>0.20477724100912506</v>
      </c>
    </row>
    <row r="784" spans="6:14">
      <c r="F784" s="4" t="s">
        <v>55</v>
      </c>
      <c r="G784" s="4">
        <v>11074</v>
      </c>
      <c r="H784" s="4" t="s">
        <v>52</v>
      </c>
      <c r="I784" s="4" t="s">
        <v>51</v>
      </c>
      <c r="J784" s="6">
        <v>45764</v>
      </c>
      <c r="K784" s="4">
        <v>3726</v>
      </c>
      <c r="L784" s="4">
        <v>3726</v>
      </c>
      <c r="M784" s="4">
        <v>806</v>
      </c>
      <c r="N784">
        <f t="shared" si="33"/>
        <v>0.21631776704240471</v>
      </c>
    </row>
    <row r="785" spans="6:14">
      <c r="F785" s="4" t="s">
        <v>55</v>
      </c>
      <c r="G785" s="4">
        <v>11074</v>
      </c>
      <c r="H785" s="4" t="s">
        <v>52</v>
      </c>
      <c r="I785" s="4" t="s">
        <v>51</v>
      </c>
      <c r="J785" s="6">
        <v>45765</v>
      </c>
      <c r="K785" s="4">
        <v>4228</v>
      </c>
      <c r="L785" s="4">
        <v>4228</v>
      </c>
      <c r="M785" s="4">
        <v>962</v>
      </c>
      <c r="N785">
        <f t="shared" si="33"/>
        <v>0.22753074739829707</v>
      </c>
    </row>
    <row r="786" spans="6:14">
      <c r="F786" s="4" t="s">
        <v>55</v>
      </c>
      <c r="G786" s="4">
        <v>11074</v>
      </c>
      <c r="H786" s="4" t="s">
        <v>52</v>
      </c>
      <c r="I786" s="4" t="s">
        <v>51</v>
      </c>
      <c r="J786" s="6">
        <v>45766</v>
      </c>
      <c r="K786" s="4">
        <v>4473</v>
      </c>
      <c r="L786" s="4">
        <v>4473</v>
      </c>
      <c r="M786" s="4">
        <v>1097</v>
      </c>
      <c r="N786">
        <f t="shared" si="33"/>
        <v>0.24524927341828751</v>
      </c>
    </row>
    <row r="787" spans="6:14">
      <c r="F787" s="4" t="s">
        <v>55</v>
      </c>
      <c r="G787" s="4">
        <v>11074</v>
      </c>
      <c r="H787" s="4" t="s">
        <v>52</v>
      </c>
      <c r="I787" s="4" t="s">
        <v>51</v>
      </c>
      <c r="J787" s="6">
        <v>45767</v>
      </c>
      <c r="K787" s="4">
        <v>5737</v>
      </c>
      <c r="L787" s="4">
        <v>5737</v>
      </c>
      <c r="M787" s="4">
        <v>1512</v>
      </c>
      <c r="N787">
        <f t="shared" si="33"/>
        <v>0.26355237929231307</v>
      </c>
    </row>
    <row r="788" spans="6:14">
      <c r="F788" s="4" t="s">
        <v>55</v>
      </c>
      <c r="G788" s="4">
        <v>11074</v>
      </c>
      <c r="H788" s="4" t="s">
        <v>53</v>
      </c>
      <c r="I788" s="4" t="s">
        <v>50</v>
      </c>
      <c r="J788" s="6">
        <v>45750</v>
      </c>
      <c r="K788" s="4">
        <v>372</v>
      </c>
      <c r="L788" s="4">
        <v>372</v>
      </c>
      <c r="M788" s="4">
        <v>75</v>
      </c>
      <c r="N788">
        <f t="shared" si="33"/>
        <v>0.20161290322580644</v>
      </c>
    </row>
    <row r="789" spans="6:14">
      <c r="F789" s="4" t="s">
        <v>55</v>
      </c>
      <c r="G789" s="4">
        <v>11074</v>
      </c>
      <c r="H789" s="4" t="s">
        <v>53</v>
      </c>
      <c r="I789" s="4" t="s">
        <v>50</v>
      </c>
      <c r="J789" s="6">
        <v>45751</v>
      </c>
      <c r="K789" s="4">
        <v>331</v>
      </c>
      <c r="L789" s="4">
        <v>331</v>
      </c>
      <c r="M789" s="4">
        <v>64</v>
      </c>
      <c r="N789">
        <f t="shared" si="33"/>
        <v>0.19335347432024169</v>
      </c>
    </row>
    <row r="790" spans="6:14">
      <c r="F790" s="4" t="s">
        <v>55</v>
      </c>
      <c r="G790" s="4">
        <v>11074</v>
      </c>
      <c r="H790" s="4" t="s">
        <v>53</v>
      </c>
      <c r="I790" s="4" t="s">
        <v>50</v>
      </c>
      <c r="J790" s="6">
        <v>45752</v>
      </c>
      <c r="K790" s="4">
        <v>375</v>
      </c>
      <c r="L790" s="4">
        <v>375</v>
      </c>
      <c r="M790" s="4">
        <v>89</v>
      </c>
      <c r="N790">
        <f t="shared" si="33"/>
        <v>0.23733333333333334</v>
      </c>
    </row>
    <row r="791" spans="6:14">
      <c r="F791" s="4" t="s">
        <v>55</v>
      </c>
      <c r="G791" s="4">
        <v>11074</v>
      </c>
      <c r="H791" s="4" t="s">
        <v>53</v>
      </c>
      <c r="I791" s="4" t="s">
        <v>50</v>
      </c>
      <c r="J791" s="6">
        <v>45753</v>
      </c>
      <c r="K791" s="4">
        <v>444</v>
      </c>
      <c r="L791" s="4">
        <v>444</v>
      </c>
      <c r="M791" s="4">
        <v>76</v>
      </c>
      <c r="N791">
        <f t="shared" si="33"/>
        <v>0.17117117117117117</v>
      </c>
    </row>
    <row r="792" spans="6:14">
      <c r="F792" s="4" t="s">
        <v>55</v>
      </c>
      <c r="G792" s="4">
        <v>11074</v>
      </c>
      <c r="H792" s="4" t="s">
        <v>53</v>
      </c>
      <c r="I792" s="4" t="s">
        <v>50</v>
      </c>
      <c r="J792" s="6">
        <v>45754</v>
      </c>
      <c r="K792" s="4">
        <v>410</v>
      </c>
      <c r="L792" s="4">
        <v>410</v>
      </c>
      <c r="M792" s="4">
        <v>86</v>
      </c>
      <c r="N792">
        <f t="shared" si="33"/>
        <v>0.2097560975609756</v>
      </c>
    </row>
    <row r="793" spans="6:14">
      <c r="F793" s="4" t="s">
        <v>55</v>
      </c>
      <c r="G793" s="4">
        <v>11074</v>
      </c>
      <c r="H793" s="4" t="s">
        <v>53</v>
      </c>
      <c r="I793" s="4" t="s">
        <v>50</v>
      </c>
      <c r="J793" s="6">
        <v>45755</v>
      </c>
      <c r="K793" s="4">
        <v>408</v>
      </c>
      <c r="L793" s="4">
        <v>408</v>
      </c>
      <c r="M793" s="4">
        <v>71</v>
      </c>
      <c r="N793">
        <f t="shared" si="33"/>
        <v>0.17401960784313725</v>
      </c>
    </row>
    <row r="794" spans="6:14">
      <c r="F794" s="4" t="s">
        <v>55</v>
      </c>
      <c r="G794" s="4">
        <v>11074</v>
      </c>
      <c r="H794" s="4" t="s">
        <v>53</v>
      </c>
      <c r="I794" s="4" t="s">
        <v>50</v>
      </c>
      <c r="J794" s="6">
        <v>45756</v>
      </c>
      <c r="K794" s="4">
        <v>347</v>
      </c>
      <c r="L794" s="4">
        <v>347</v>
      </c>
      <c r="M794" s="4">
        <v>70</v>
      </c>
      <c r="N794">
        <f t="shared" si="33"/>
        <v>0.20172910662824209</v>
      </c>
    </row>
    <row r="795" spans="6:14">
      <c r="F795" s="4" t="s">
        <v>55</v>
      </c>
      <c r="G795" s="4">
        <v>11074</v>
      </c>
      <c r="H795" s="4" t="s">
        <v>53</v>
      </c>
      <c r="I795" s="4" t="s">
        <v>50</v>
      </c>
      <c r="J795" s="6">
        <v>45757</v>
      </c>
      <c r="K795" s="4">
        <v>383</v>
      </c>
      <c r="L795" s="4">
        <v>383</v>
      </c>
      <c r="M795" s="4">
        <v>70</v>
      </c>
      <c r="N795">
        <f t="shared" si="33"/>
        <v>0.18276762402088773</v>
      </c>
    </row>
    <row r="796" spans="6:14">
      <c r="F796" s="4" t="s">
        <v>55</v>
      </c>
      <c r="G796" s="4">
        <v>11074</v>
      </c>
      <c r="H796" s="4" t="s">
        <v>53</v>
      </c>
      <c r="I796" s="4" t="s">
        <v>50</v>
      </c>
      <c r="J796" s="6">
        <v>45758</v>
      </c>
      <c r="K796" s="4">
        <v>332</v>
      </c>
      <c r="L796" s="4">
        <v>332</v>
      </c>
      <c r="M796" s="4">
        <v>59</v>
      </c>
      <c r="N796">
        <f t="shared" si="33"/>
        <v>0.17771084337349397</v>
      </c>
    </row>
    <row r="797" spans="6:14">
      <c r="F797" s="4" t="s">
        <v>55</v>
      </c>
      <c r="G797" s="4">
        <v>11074</v>
      </c>
      <c r="H797" s="4" t="s">
        <v>53</v>
      </c>
      <c r="I797" s="4" t="s">
        <v>50</v>
      </c>
      <c r="J797" s="6">
        <v>45759</v>
      </c>
      <c r="K797" s="4">
        <v>329</v>
      </c>
      <c r="L797" s="4">
        <v>329</v>
      </c>
      <c r="M797" s="4">
        <v>69</v>
      </c>
      <c r="N797">
        <f t="shared" si="33"/>
        <v>0.20972644376899696</v>
      </c>
    </row>
    <row r="798" spans="6:14">
      <c r="F798" s="4" t="s">
        <v>55</v>
      </c>
      <c r="G798" s="4">
        <v>11074</v>
      </c>
      <c r="H798" s="4" t="s">
        <v>53</v>
      </c>
      <c r="I798" s="4" t="s">
        <v>50</v>
      </c>
      <c r="J798" s="6">
        <v>45760</v>
      </c>
      <c r="K798" s="4">
        <v>436</v>
      </c>
      <c r="L798" s="4">
        <v>436</v>
      </c>
      <c r="M798" s="4">
        <v>80</v>
      </c>
      <c r="N798">
        <f t="shared" si="33"/>
        <v>0.1834862385321101</v>
      </c>
    </row>
    <row r="799" spans="6:14">
      <c r="F799" s="4" t="s">
        <v>55</v>
      </c>
      <c r="G799" s="4">
        <v>11074</v>
      </c>
      <c r="H799" s="4" t="s">
        <v>53</v>
      </c>
      <c r="I799" s="4" t="s">
        <v>50</v>
      </c>
      <c r="J799" s="6">
        <v>45761</v>
      </c>
      <c r="K799" s="4">
        <v>471</v>
      </c>
      <c r="L799" s="4">
        <v>471</v>
      </c>
      <c r="M799" s="4">
        <v>78</v>
      </c>
      <c r="N799">
        <f t="shared" si="33"/>
        <v>0.16560509554140126</v>
      </c>
    </row>
    <row r="800" spans="6:14">
      <c r="F800" s="4" t="s">
        <v>55</v>
      </c>
      <c r="G800" s="4">
        <v>11074</v>
      </c>
      <c r="H800" s="4" t="s">
        <v>53</v>
      </c>
      <c r="I800" s="4" t="s">
        <v>50</v>
      </c>
      <c r="J800" s="6">
        <v>45762</v>
      </c>
      <c r="K800" s="4">
        <v>360</v>
      </c>
      <c r="L800" s="4">
        <v>360</v>
      </c>
      <c r="M800" s="4">
        <v>60</v>
      </c>
      <c r="N800">
        <f t="shared" si="33"/>
        <v>0.16666666666666666</v>
      </c>
    </row>
    <row r="801" spans="6:14">
      <c r="F801" s="4" t="s">
        <v>55</v>
      </c>
      <c r="G801" s="4">
        <v>11074</v>
      </c>
      <c r="H801" s="4" t="s">
        <v>53</v>
      </c>
      <c r="I801" s="4" t="s">
        <v>50</v>
      </c>
      <c r="J801" s="6">
        <v>45763</v>
      </c>
      <c r="K801" s="4">
        <v>367</v>
      </c>
      <c r="L801" s="4">
        <v>367</v>
      </c>
      <c r="M801" s="4">
        <v>71</v>
      </c>
      <c r="N801">
        <f t="shared" si="33"/>
        <v>0.19346049046321526</v>
      </c>
    </row>
    <row r="802" spans="6:14">
      <c r="F802" s="4" t="s">
        <v>55</v>
      </c>
      <c r="G802" s="4">
        <v>11074</v>
      </c>
      <c r="H802" s="4" t="s">
        <v>53</v>
      </c>
      <c r="I802" s="4" t="s">
        <v>50</v>
      </c>
      <c r="J802" s="6">
        <v>45764</v>
      </c>
      <c r="K802" s="4">
        <v>402</v>
      </c>
      <c r="L802" s="4">
        <v>402</v>
      </c>
      <c r="M802" s="4">
        <v>72</v>
      </c>
      <c r="N802">
        <f t="shared" si="33"/>
        <v>0.17910447761194029</v>
      </c>
    </row>
    <row r="803" spans="6:14">
      <c r="F803" s="4" t="s">
        <v>55</v>
      </c>
      <c r="G803" s="4">
        <v>11074</v>
      </c>
      <c r="H803" s="4" t="s">
        <v>53</v>
      </c>
      <c r="I803" s="4" t="s">
        <v>50</v>
      </c>
      <c r="J803" s="6">
        <v>45765</v>
      </c>
      <c r="K803" s="4">
        <v>379</v>
      </c>
      <c r="L803" s="4">
        <v>379</v>
      </c>
      <c r="M803" s="4">
        <v>75</v>
      </c>
      <c r="N803">
        <f t="shared" si="33"/>
        <v>0.19788918205804748</v>
      </c>
    </row>
    <row r="804" spans="6:14">
      <c r="F804" s="4" t="s">
        <v>55</v>
      </c>
      <c r="G804" s="4">
        <v>11074</v>
      </c>
      <c r="H804" s="4" t="s">
        <v>53</v>
      </c>
      <c r="I804" s="4" t="s">
        <v>50</v>
      </c>
      <c r="J804" s="6">
        <v>45766</v>
      </c>
      <c r="K804" s="4">
        <v>411</v>
      </c>
      <c r="L804" s="4">
        <v>411</v>
      </c>
      <c r="M804" s="4">
        <v>81</v>
      </c>
      <c r="N804">
        <f t="shared" si="33"/>
        <v>0.19708029197080293</v>
      </c>
    </row>
    <row r="805" spans="6:14">
      <c r="F805" s="4" t="s">
        <v>55</v>
      </c>
      <c r="G805" s="4">
        <v>11074</v>
      </c>
      <c r="H805" s="4" t="s">
        <v>53</v>
      </c>
      <c r="I805" s="4" t="s">
        <v>50</v>
      </c>
      <c r="J805" s="6">
        <v>45767</v>
      </c>
      <c r="K805" s="4">
        <v>542</v>
      </c>
      <c r="L805" s="4">
        <v>542</v>
      </c>
      <c r="M805" s="4">
        <v>81</v>
      </c>
      <c r="N805">
        <f t="shared" si="33"/>
        <v>0.14944649446494465</v>
      </c>
    </row>
    <row r="806" spans="6:14">
      <c r="F806" s="4" t="s">
        <v>55</v>
      </c>
      <c r="G806" s="4">
        <v>11074</v>
      </c>
      <c r="H806" s="4" t="s">
        <v>53</v>
      </c>
      <c r="I806" s="4" t="s">
        <v>51</v>
      </c>
      <c r="J806" s="6">
        <v>45750</v>
      </c>
      <c r="K806" s="4">
        <v>184</v>
      </c>
      <c r="L806" s="4">
        <v>184</v>
      </c>
      <c r="M806" s="4">
        <v>24</v>
      </c>
      <c r="N806">
        <f t="shared" si="33"/>
        <v>0.13043478260869565</v>
      </c>
    </row>
    <row r="807" spans="6:14">
      <c r="F807" s="4" t="s">
        <v>55</v>
      </c>
      <c r="G807" s="4">
        <v>11074</v>
      </c>
      <c r="H807" s="4" t="s">
        <v>53</v>
      </c>
      <c r="I807" s="4" t="s">
        <v>51</v>
      </c>
      <c r="J807" s="6">
        <v>45751</v>
      </c>
      <c r="K807" s="4">
        <v>328</v>
      </c>
      <c r="L807" s="4">
        <v>328</v>
      </c>
      <c r="M807" s="4">
        <v>71</v>
      </c>
      <c r="N807">
        <f t="shared" si="33"/>
        <v>0.21646341463414634</v>
      </c>
    </row>
    <row r="808" spans="6:14">
      <c r="F808" s="4" t="s">
        <v>55</v>
      </c>
      <c r="G808" s="4">
        <v>11074</v>
      </c>
      <c r="H808" s="4" t="s">
        <v>53</v>
      </c>
      <c r="I808" s="4" t="s">
        <v>51</v>
      </c>
      <c r="J808" s="6">
        <v>45752</v>
      </c>
      <c r="K808" s="4">
        <v>401</v>
      </c>
      <c r="L808" s="4">
        <v>401</v>
      </c>
      <c r="M808" s="4">
        <v>105</v>
      </c>
      <c r="N808">
        <f t="shared" si="33"/>
        <v>0.26184538653366585</v>
      </c>
    </row>
    <row r="809" spans="6:14">
      <c r="F809" s="4" t="s">
        <v>55</v>
      </c>
      <c r="G809" s="4">
        <v>11074</v>
      </c>
      <c r="H809" s="4" t="s">
        <v>53</v>
      </c>
      <c r="I809" s="4" t="s">
        <v>51</v>
      </c>
      <c r="J809" s="6">
        <v>45753</v>
      </c>
      <c r="K809" s="4">
        <v>572</v>
      </c>
      <c r="L809" s="4">
        <v>572</v>
      </c>
      <c r="M809" s="4">
        <v>130</v>
      </c>
      <c r="N809">
        <f t="shared" si="33"/>
        <v>0.22727272727272727</v>
      </c>
    </row>
    <row r="810" spans="6:14">
      <c r="F810" s="4" t="s">
        <v>55</v>
      </c>
      <c r="G810" s="4">
        <v>11074</v>
      </c>
      <c r="H810" s="4" t="s">
        <v>53</v>
      </c>
      <c r="I810" s="4" t="s">
        <v>51</v>
      </c>
      <c r="J810" s="6">
        <v>45754</v>
      </c>
      <c r="K810" s="4">
        <v>634</v>
      </c>
      <c r="L810" s="4">
        <v>634</v>
      </c>
      <c r="M810" s="4">
        <v>145</v>
      </c>
      <c r="N810">
        <f t="shared" si="33"/>
        <v>0.22870662460567823</v>
      </c>
    </row>
    <row r="811" spans="6:14">
      <c r="F811" s="4" t="s">
        <v>55</v>
      </c>
      <c r="G811" s="4">
        <v>11074</v>
      </c>
      <c r="H811" s="4" t="s">
        <v>53</v>
      </c>
      <c r="I811" s="4" t="s">
        <v>51</v>
      </c>
      <c r="J811" s="6">
        <v>45755</v>
      </c>
      <c r="K811" s="4">
        <v>650</v>
      </c>
      <c r="L811" s="4">
        <v>650</v>
      </c>
      <c r="M811" s="4">
        <v>145</v>
      </c>
      <c r="N811">
        <f t="shared" si="33"/>
        <v>0.22307692307692309</v>
      </c>
    </row>
    <row r="812" spans="6:14">
      <c r="F812" s="4" t="s">
        <v>55</v>
      </c>
      <c r="G812" s="4">
        <v>11074</v>
      </c>
      <c r="H812" s="4" t="s">
        <v>53</v>
      </c>
      <c r="I812" s="4" t="s">
        <v>51</v>
      </c>
      <c r="J812" s="6">
        <v>45756</v>
      </c>
      <c r="K812" s="4">
        <v>672</v>
      </c>
      <c r="L812" s="4">
        <v>672</v>
      </c>
      <c r="M812" s="4">
        <v>164</v>
      </c>
      <c r="N812">
        <f t="shared" si="33"/>
        <v>0.24404761904761904</v>
      </c>
    </row>
    <row r="813" spans="6:14">
      <c r="F813" s="4" t="s">
        <v>55</v>
      </c>
      <c r="G813" s="4">
        <v>11074</v>
      </c>
      <c r="H813" s="4" t="s">
        <v>53</v>
      </c>
      <c r="I813" s="4" t="s">
        <v>51</v>
      </c>
      <c r="J813" s="6">
        <v>45757</v>
      </c>
      <c r="K813" s="4">
        <v>768</v>
      </c>
      <c r="L813" s="4">
        <v>768</v>
      </c>
      <c r="M813" s="4">
        <v>180</v>
      </c>
      <c r="N813">
        <f t="shared" si="33"/>
        <v>0.234375</v>
      </c>
    </row>
    <row r="814" spans="6:14">
      <c r="F814" s="4" t="s">
        <v>55</v>
      </c>
      <c r="G814" s="4">
        <v>11074</v>
      </c>
      <c r="H814" s="4" t="s">
        <v>53</v>
      </c>
      <c r="I814" s="4" t="s">
        <v>51</v>
      </c>
      <c r="J814" s="6">
        <v>45758</v>
      </c>
      <c r="K814" s="4">
        <v>859</v>
      </c>
      <c r="L814" s="4">
        <v>859</v>
      </c>
      <c r="M814" s="4">
        <v>212</v>
      </c>
      <c r="N814">
        <f t="shared" si="33"/>
        <v>0.24679860302677531</v>
      </c>
    </row>
    <row r="815" spans="6:14">
      <c r="F815" s="4" t="s">
        <v>55</v>
      </c>
      <c r="G815" s="4">
        <v>11074</v>
      </c>
      <c r="H815" s="4" t="s">
        <v>53</v>
      </c>
      <c r="I815" s="4" t="s">
        <v>51</v>
      </c>
      <c r="J815" s="6">
        <v>45759</v>
      </c>
      <c r="K815" s="4">
        <v>939</v>
      </c>
      <c r="L815" s="4">
        <v>939</v>
      </c>
      <c r="M815" s="4">
        <v>246</v>
      </c>
      <c r="N815">
        <f t="shared" si="33"/>
        <v>0.26198083067092653</v>
      </c>
    </row>
    <row r="816" spans="6:14">
      <c r="F816" s="4" t="s">
        <v>55</v>
      </c>
      <c r="G816" s="4">
        <v>11074</v>
      </c>
      <c r="H816" s="4" t="s">
        <v>53</v>
      </c>
      <c r="I816" s="4" t="s">
        <v>51</v>
      </c>
      <c r="J816" s="6">
        <v>45760</v>
      </c>
      <c r="K816" s="4">
        <v>1173</v>
      </c>
      <c r="L816" s="4">
        <v>1173</v>
      </c>
      <c r="M816" s="4">
        <v>284</v>
      </c>
      <c r="N816">
        <f t="shared" si="33"/>
        <v>0.2421142369991475</v>
      </c>
    </row>
    <row r="817" spans="6:14">
      <c r="F817" s="4" t="s">
        <v>55</v>
      </c>
      <c r="G817" s="4">
        <v>11074</v>
      </c>
      <c r="H817" s="4" t="s">
        <v>53</v>
      </c>
      <c r="I817" s="4" t="s">
        <v>51</v>
      </c>
      <c r="J817" s="6">
        <v>45761</v>
      </c>
      <c r="K817" s="4">
        <v>1225</v>
      </c>
      <c r="L817" s="4">
        <v>1225</v>
      </c>
      <c r="M817" s="4">
        <v>276</v>
      </c>
      <c r="N817">
        <f t="shared" si="33"/>
        <v>0.2253061224489796</v>
      </c>
    </row>
    <row r="818" spans="6:14">
      <c r="F818" s="4" t="s">
        <v>55</v>
      </c>
      <c r="G818" s="4">
        <v>11074</v>
      </c>
      <c r="H818" s="4" t="s">
        <v>53</v>
      </c>
      <c r="I818" s="4" t="s">
        <v>51</v>
      </c>
      <c r="J818" s="6">
        <v>45762</v>
      </c>
      <c r="K818" s="4">
        <v>1088</v>
      </c>
      <c r="L818" s="4">
        <v>1088</v>
      </c>
      <c r="M818" s="4">
        <v>285</v>
      </c>
      <c r="N818">
        <f t="shared" si="33"/>
        <v>0.26194852941176472</v>
      </c>
    </row>
    <row r="819" spans="6:14">
      <c r="F819" s="4" t="s">
        <v>55</v>
      </c>
      <c r="G819" s="4">
        <v>11074</v>
      </c>
      <c r="H819" s="4" t="s">
        <v>53</v>
      </c>
      <c r="I819" s="4" t="s">
        <v>51</v>
      </c>
      <c r="J819" s="6">
        <v>45763</v>
      </c>
      <c r="K819" s="4">
        <v>1213</v>
      </c>
      <c r="L819" s="4">
        <v>1213</v>
      </c>
      <c r="M819" s="4">
        <v>307</v>
      </c>
      <c r="N819">
        <f t="shared" si="33"/>
        <v>0.25309150865622426</v>
      </c>
    </row>
    <row r="820" spans="6:14">
      <c r="F820" s="4" t="s">
        <v>55</v>
      </c>
      <c r="G820" s="4">
        <v>11074</v>
      </c>
      <c r="H820" s="4" t="s">
        <v>53</v>
      </c>
      <c r="I820" s="4" t="s">
        <v>51</v>
      </c>
      <c r="J820" s="6">
        <v>45764</v>
      </c>
      <c r="K820" s="4">
        <v>1196</v>
      </c>
      <c r="L820" s="4">
        <v>1196</v>
      </c>
      <c r="M820" s="4">
        <v>314</v>
      </c>
      <c r="N820">
        <f t="shared" si="33"/>
        <v>0.26254180602006688</v>
      </c>
    </row>
    <row r="821" spans="6:14">
      <c r="F821" s="4" t="s">
        <v>55</v>
      </c>
      <c r="G821" s="4">
        <v>11074</v>
      </c>
      <c r="H821" s="4" t="s">
        <v>53</v>
      </c>
      <c r="I821" s="4" t="s">
        <v>51</v>
      </c>
      <c r="J821" s="6">
        <v>45765</v>
      </c>
      <c r="K821" s="4">
        <v>1237</v>
      </c>
      <c r="L821" s="4">
        <v>1237</v>
      </c>
      <c r="M821" s="4">
        <v>336</v>
      </c>
      <c r="N821">
        <f t="shared" si="33"/>
        <v>0.27162489894907033</v>
      </c>
    </row>
    <row r="822" spans="6:14">
      <c r="F822" s="4" t="s">
        <v>55</v>
      </c>
      <c r="G822" s="4">
        <v>11074</v>
      </c>
      <c r="H822" s="4" t="s">
        <v>53</v>
      </c>
      <c r="I822" s="4" t="s">
        <v>51</v>
      </c>
      <c r="J822" s="6">
        <v>45766</v>
      </c>
      <c r="K822" s="4">
        <v>1394</v>
      </c>
      <c r="L822" s="4">
        <v>1394</v>
      </c>
      <c r="M822" s="4">
        <v>402</v>
      </c>
      <c r="N822">
        <f t="shared" si="33"/>
        <v>0.28837876614060259</v>
      </c>
    </row>
    <row r="823" spans="6:14">
      <c r="F823" s="4" t="s">
        <v>55</v>
      </c>
      <c r="G823" s="4">
        <v>11074</v>
      </c>
      <c r="H823" s="4" t="s">
        <v>53</v>
      </c>
      <c r="I823" s="4" t="s">
        <v>51</v>
      </c>
      <c r="J823" s="6">
        <v>45767</v>
      </c>
      <c r="K823" s="4">
        <v>1698</v>
      </c>
      <c r="L823" s="4">
        <v>1698</v>
      </c>
      <c r="M823" s="4">
        <v>425</v>
      </c>
      <c r="N823">
        <f t="shared" si="33"/>
        <v>0.25029446407538281</v>
      </c>
    </row>
    <row r="824" spans="6:14">
      <c r="F824" s="4" t="s">
        <v>55</v>
      </c>
      <c r="G824" s="4">
        <v>11074</v>
      </c>
      <c r="H824" s="4" t="s">
        <v>54</v>
      </c>
      <c r="I824" s="4" t="s">
        <v>50</v>
      </c>
      <c r="J824" s="6">
        <v>45750</v>
      </c>
      <c r="K824" s="4">
        <v>705</v>
      </c>
      <c r="L824" s="4">
        <v>705</v>
      </c>
      <c r="M824" s="4">
        <v>141</v>
      </c>
      <c r="N824">
        <f t="shared" si="33"/>
        <v>0.2</v>
      </c>
    </row>
    <row r="825" spans="6:14">
      <c r="F825" s="4" t="s">
        <v>55</v>
      </c>
      <c r="G825" s="4">
        <v>11074</v>
      </c>
      <c r="H825" s="4" t="s">
        <v>54</v>
      </c>
      <c r="I825" s="4" t="s">
        <v>50</v>
      </c>
      <c r="J825" s="6">
        <v>45751</v>
      </c>
      <c r="K825" s="4">
        <v>748</v>
      </c>
      <c r="L825" s="4">
        <v>748</v>
      </c>
      <c r="M825" s="4">
        <v>135</v>
      </c>
      <c r="N825">
        <f t="shared" si="33"/>
        <v>0.18048128342245989</v>
      </c>
    </row>
    <row r="826" spans="6:14">
      <c r="F826" s="4" t="s">
        <v>55</v>
      </c>
      <c r="G826" s="4">
        <v>11074</v>
      </c>
      <c r="H826" s="4" t="s">
        <v>54</v>
      </c>
      <c r="I826" s="4" t="s">
        <v>50</v>
      </c>
      <c r="J826" s="6">
        <v>45752</v>
      </c>
      <c r="K826" s="4">
        <v>783</v>
      </c>
      <c r="L826" s="4">
        <v>783</v>
      </c>
      <c r="M826" s="4">
        <v>171</v>
      </c>
      <c r="N826">
        <f t="shared" si="33"/>
        <v>0.21839080459770116</v>
      </c>
    </row>
    <row r="827" spans="6:14">
      <c r="F827" s="4" t="s">
        <v>55</v>
      </c>
      <c r="G827" s="4">
        <v>11074</v>
      </c>
      <c r="H827" s="4" t="s">
        <v>54</v>
      </c>
      <c r="I827" s="4" t="s">
        <v>50</v>
      </c>
      <c r="J827" s="6">
        <v>45753</v>
      </c>
      <c r="K827" s="4">
        <v>966</v>
      </c>
      <c r="L827" s="4">
        <v>966</v>
      </c>
      <c r="M827" s="4">
        <v>194</v>
      </c>
      <c r="N827">
        <f t="shared" si="33"/>
        <v>0.20082815734989648</v>
      </c>
    </row>
    <row r="828" spans="6:14">
      <c r="F828" s="4" t="s">
        <v>55</v>
      </c>
      <c r="G828" s="4">
        <v>11074</v>
      </c>
      <c r="H828" s="4" t="s">
        <v>54</v>
      </c>
      <c r="I828" s="4" t="s">
        <v>50</v>
      </c>
      <c r="J828" s="6">
        <v>45754</v>
      </c>
      <c r="K828" s="4">
        <v>1005</v>
      </c>
      <c r="L828" s="4">
        <v>1005</v>
      </c>
      <c r="M828" s="4">
        <v>185</v>
      </c>
      <c r="N828">
        <f t="shared" si="33"/>
        <v>0.18407960199004975</v>
      </c>
    </row>
    <row r="829" spans="6:14">
      <c r="F829" s="4" t="s">
        <v>55</v>
      </c>
      <c r="G829" s="4">
        <v>11074</v>
      </c>
      <c r="H829" s="4" t="s">
        <v>54</v>
      </c>
      <c r="I829" s="4" t="s">
        <v>50</v>
      </c>
      <c r="J829" s="6">
        <v>45755</v>
      </c>
      <c r="K829" s="4">
        <v>763</v>
      </c>
      <c r="L829" s="4">
        <v>763</v>
      </c>
      <c r="M829" s="4">
        <v>131</v>
      </c>
      <c r="N829">
        <f t="shared" si="33"/>
        <v>0.17169069462647443</v>
      </c>
    </row>
    <row r="830" spans="6:14">
      <c r="F830" s="4" t="s">
        <v>55</v>
      </c>
      <c r="G830" s="4">
        <v>11074</v>
      </c>
      <c r="H830" s="4" t="s">
        <v>54</v>
      </c>
      <c r="I830" s="4" t="s">
        <v>50</v>
      </c>
      <c r="J830" s="6">
        <v>45756</v>
      </c>
      <c r="K830" s="4">
        <v>705</v>
      </c>
      <c r="L830" s="4">
        <v>705</v>
      </c>
      <c r="M830" s="4">
        <v>133</v>
      </c>
      <c r="N830">
        <f t="shared" si="33"/>
        <v>0.18865248226950354</v>
      </c>
    </row>
    <row r="831" spans="6:14">
      <c r="F831" s="4" t="s">
        <v>55</v>
      </c>
      <c r="G831" s="4">
        <v>11074</v>
      </c>
      <c r="H831" s="4" t="s">
        <v>54</v>
      </c>
      <c r="I831" s="4" t="s">
        <v>50</v>
      </c>
      <c r="J831" s="6">
        <v>45757</v>
      </c>
      <c r="K831" s="4">
        <v>684</v>
      </c>
      <c r="L831" s="4">
        <v>684</v>
      </c>
      <c r="M831" s="4">
        <v>139</v>
      </c>
      <c r="N831">
        <f t="shared" si="33"/>
        <v>0.20321637426900585</v>
      </c>
    </row>
    <row r="832" spans="6:14">
      <c r="F832" s="4" t="s">
        <v>55</v>
      </c>
      <c r="G832" s="4">
        <v>11074</v>
      </c>
      <c r="H832" s="4" t="s">
        <v>54</v>
      </c>
      <c r="I832" s="4" t="s">
        <v>50</v>
      </c>
      <c r="J832" s="6">
        <v>45758</v>
      </c>
      <c r="K832" s="4">
        <v>739</v>
      </c>
      <c r="L832" s="4">
        <v>739</v>
      </c>
      <c r="M832" s="4">
        <v>149</v>
      </c>
      <c r="N832">
        <f t="shared" si="33"/>
        <v>0.20162381596752368</v>
      </c>
    </row>
    <row r="833" spans="6:14">
      <c r="F833" s="4" t="s">
        <v>55</v>
      </c>
      <c r="G833" s="4">
        <v>11074</v>
      </c>
      <c r="H833" s="4" t="s">
        <v>54</v>
      </c>
      <c r="I833" s="4" t="s">
        <v>50</v>
      </c>
      <c r="J833" s="6">
        <v>45759</v>
      </c>
      <c r="K833" s="4">
        <v>794</v>
      </c>
      <c r="L833" s="4">
        <v>794</v>
      </c>
      <c r="M833" s="4">
        <v>165</v>
      </c>
      <c r="N833">
        <f t="shared" si="33"/>
        <v>0.20780856423173805</v>
      </c>
    </row>
    <row r="834" spans="6:14">
      <c r="F834" s="4" t="s">
        <v>55</v>
      </c>
      <c r="G834" s="4">
        <v>11074</v>
      </c>
      <c r="H834" s="4" t="s">
        <v>54</v>
      </c>
      <c r="I834" s="4" t="s">
        <v>50</v>
      </c>
      <c r="J834" s="6">
        <v>45760</v>
      </c>
      <c r="K834" s="4">
        <v>1023</v>
      </c>
      <c r="L834" s="4">
        <v>1023</v>
      </c>
      <c r="M834" s="4">
        <v>234</v>
      </c>
      <c r="N834">
        <f t="shared" si="33"/>
        <v>0.22873900293255131</v>
      </c>
    </row>
    <row r="835" spans="6:14">
      <c r="F835" s="4" t="s">
        <v>55</v>
      </c>
      <c r="G835" s="4">
        <v>11074</v>
      </c>
      <c r="H835" s="4" t="s">
        <v>54</v>
      </c>
      <c r="I835" s="4" t="s">
        <v>50</v>
      </c>
      <c r="J835" s="6">
        <v>45761</v>
      </c>
      <c r="K835" s="4">
        <v>1008</v>
      </c>
      <c r="L835" s="4">
        <v>1008</v>
      </c>
      <c r="M835" s="4">
        <v>178</v>
      </c>
      <c r="N835">
        <f t="shared" ref="N835:N859" si="34">M835/L835</f>
        <v>0.1765873015873016</v>
      </c>
    </row>
    <row r="836" spans="6:14">
      <c r="F836" s="4" t="s">
        <v>55</v>
      </c>
      <c r="G836" s="4">
        <v>11074</v>
      </c>
      <c r="H836" s="4" t="s">
        <v>54</v>
      </c>
      <c r="I836" s="4" t="s">
        <v>50</v>
      </c>
      <c r="J836" s="6">
        <v>45762</v>
      </c>
      <c r="K836" s="4">
        <v>790</v>
      </c>
      <c r="L836" s="4">
        <v>790</v>
      </c>
      <c r="M836" s="4">
        <v>161</v>
      </c>
      <c r="N836">
        <f t="shared" si="34"/>
        <v>0.20379746835443038</v>
      </c>
    </row>
    <row r="837" spans="6:14">
      <c r="F837" s="4" t="s">
        <v>55</v>
      </c>
      <c r="G837" s="4">
        <v>11074</v>
      </c>
      <c r="H837" s="4" t="s">
        <v>54</v>
      </c>
      <c r="I837" s="4" t="s">
        <v>50</v>
      </c>
      <c r="J837" s="6">
        <v>45763</v>
      </c>
      <c r="K837" s="4">
        <v>761</v>
      </c>
      <c r="L837" s="4">
        <v>761</v>
      </c>
      <c r="M837" s="4">
        <v>144</v>
      </c>
      <c r="N837">
        <f t="shared" si="34"/>
        <v>0.18922470433639949</v>
      </c>
    </row>
    <row r="838" spans="6:14">
      <c r="F838" s="4" t="s">
        <v>55</v>
      </c>
      <c r="G838" s="4">
        <v>11074</v>
      </c>
      <c r="H838" s="4" t="s">
        <v>54</v>
      </c>
      <c r="I838" s="4" t="s">
        <v>50</v>
      </c>
      <c r="J838" s="6">
        <v>45764</v>
      </c>
      <c r="K838" s="4">
        <v>725</v>
      </c>
      <c r="L838" s="4">
        <v>725</v>
      </c>
      <c r="M838" s="4">
        <v>178</v>
      </c>
      <c r="N838">
        <f t="shared" si="34"/>
        <v>0.24551724137931036</v>
      </c>
    </row>
    <row r="839" spans="6:14">
      <c r="F839" s="4" t="s">
        <v>55</v>
      </c>
      <c r="G839" s="4">
        <v>11074</v>
      </c>
      <c r="H839" s="4" t="s">
        <v>54</v>
      </c>
      <c r="I839" s="4" t="s">
        <v>50</v>
      </c>
      <c r="J839" s="6">
        <v>45765</v>
      </c>
      <c r="K839" s="4">
        <v>833</v>
      </c>
      <c r="L839" s="4">
        <v>833</v>
      </c>
      <c r="M839" s="4">
        <v>184</v>
      </c>
      <c r="N839">
        <f t="shared" si="34"/>
        <v>0.22088835534213686</v>
      </c>
    </row>
    <row r="840" spans="6:14">
      <c r="F840" s="4" t="s">
        <v>55</v>
      </c>
      <c r="G840" s="4">
        <v>11074</v>
      </c>
      <c r="H840" s="4" t="s">
        <v>54</v>
      </c>
      <c r="I840" s="4" t="s">
        <v>50</v>
      </c>
      <c r="J840" s="6">
        <v>45766</v>
      </c>
      <c r="K840" s="4">
        <v>1014</v>
      </c>
      <c r="L840" s="4">
        <v>1014</v>
      </c>
      <c r="M840" s="4">
        <v>219</v>
      </c>
      <c r="N840">
        <f t="shared" si="34"/>
        <v>0.21597633136094674</v>
      </c>
    </row>
    <row r="841" spans="6:14">
      <c r="F841" s="4" t="s">
        <v>55</v>
      </c>
      <c r="G841" s="4">
        <v>11074</v>
      </c>
      <c r="H841" s="4" t="s">
        <v>54</v>
      </c>
      <c r="I841" s="4" t="s">
        <v>50</v>
      </c>
      <c r="J841" s="6">
        <v>45767</v>
      </c>
      <c r="K841" s="4">
        <v>1155</v>
      </c>
      <c r="L841" s="4">
        <v>1155</v>
      </c>
      <c r="M841" s="4">
        <v>246</v>
      </c>
      <c r="N841">
        <f t="shared" si="34"/>
        <v>0.21298701298701297</v>
      </c>
    </row>
    <row r="842" spans="6:14">
      <c r="F842" s="4" t="s">
        <v>55</v>
      </c>
      <c r="G842" s="4">
        <v>11074</v>
      </c>
      <c r="H842" s="4" t="s">
        <v>54</v>
      </c>
      <c r="I842" s="4" t="s">
        <v>51</v>
      </c>
      <c r="J842" s="6">
        <v>45750</v>
      </c>
      <c r="K842" s="4">
        <v>697</v>
      </c>
      <c r="L842" s="4">
        <v>697</v>
      </c>
      <c r="M842" s="4">
        <v>125</v>
      </c>
      <c r="N842">
        <f t="shared" si="34"/>
        <v>0.1793400286944046</v>
      </c>
    </row>
    <row r="843" spans="6:14">
      <c r="F843" s="4" t="s">
        <v>55</v>
      </c>
      <c r="G843" s="4">
        <v>11074</v>
      </c>
      <c r="H843" s="4" t="s">
        <v>54</v>
      </c>
      <c r="I843" s="4" t="s">
        <v>51</v>
      </c>
      <c r="J843" s="6">
        <v>45751</v>
      </c>
      <c r="K843" s="4">
        <v>1014</v>
      </c>
      <c r="L843" s="4">
        <v>1014</v>
      </c>
      <c r="M843" s="4">
        <v>210</v>
      </c>
      <c r="N843">
        <f t="shared" si="34"/>
        <v>0.20710059171597633</v>
      </c>
    </row>
    <row r="844" spans="6:14">
      <c r="F844" s="4" t="s">
        <v>55</v>
      </c>
      <c r="G844" s="4">
        <v>11074</v>
      </c>
      <c r="H844" s="4" t="s">
        <v>54</v>
      </c>
      <c r="I844" s="4" t="s">
        <v>51</v>
      </c>
      <c r="J844" s="6">
        <v>45752</v>
      </c>
      <c r="K844" s="4">
        <v>1236</v>
      </c>
      <c r="L844" s="4">
        <v>1236</v>
      </c>
      <c r="M844" s="4">
        <v>293</v>
      </c>
      <c r="N844">
        <f t="shared" si="34"/>
        <v>0.23705501618122976</v>
      </c>
    </row>
    <row r="845" spans="6:14">
      <c r="F845" s="4" t="s">
        <v>55</v>
      </c>
      <c r="G845" s="4">
        <v>11074</v>
      </c>
      <c r="H845" s="4" t="s">
        <v>54</v>
      </c>
      <c r="I845" s="4" t="s">
        <v>51</v>
      </c>
      <c r="J845" s="6">
        <v>45753</v>
      </c>
      <c r="K845" s="4">
        <v>1780</v>
      </c>
      <c r="L845" s="4">
        <v>1780</v>
      </c>
      <c r="M845" s="4">
        <v>457</v>
      </c>
      <c r="N845">
        <f t="shared" si="34"/>
        <v>0.25674157303370787</v>
      </c>
    </row>
    <row r="846" spans="6:14">
      <c r="F846" s="4" t="s">
        <v>55</v>
      </c>
      <c r="G846" s="4">
        <v>11074</v>
      </c>
      <c r="H846" s="4" t="s">
        <v>54</v>
      </c>
      <c r="I846" s="4" t="s">
        <v>51</v>
      </c>
      <c r="J846" s="6">
        <v>45754</v>
      </c>
      <c r="K846" s="4">
        <v>2114</v>
      </c>
      <c r="L846" s="4">
        <v>2114</v>
      </c>
      <c r="M846" s="4">
        <v>465</v>
      </c>
      <c r="N846">
        <f t="shared" si="34"/>
        <v>0.21996215704824976</v>
      </c>
    </row>
    <row r="847" spans="6:14">
      <c r="F847" s="4" t="s">
        <v>55</v>
      </c>
      <c r="G847" s="4">
        <v>11074</v>
      </c>
      <c r="H847" s="4" t="s">
        <v>54</v>
      </c>
      <c r="I847" s="4" t="s">
        <v>51</v>
      </c>
      <c r="J847" s="6">
        <v>45755</v>
      </c>
      <c r="K847" s="4">
        <v>1929</v>
      </c>
      <c r="L847" s="4">
        <v>1929</v>
      </c>
      <c r="M847" s="4">
        <v>463</v>
      </c>
      <c r="N847">
        <f t="shared" si="34"/>
        <v>0.24002073613271124</v>
      </c>
    </row>
    <row r="848" spans="6:14">
      <c r="F848" s="4" t="s">
        <v>55</v>
      </c>
      <c r="G848" s="4">
        <v>11074</v>
      </c>
      <c r="H848" s="4" t="s">
        <v>54</v>
      </c>
      <c r="I848" s="4" t="s">
        <v>51</v>
      </c>
      <c r="J848" s="6">
        <v>45756</v>
      </c>
      <c r="K848" s="4">
        <v>1994</v>
      </c>
      <c r="L848" s="4">
        <v>1994</v>
      </c>
      <c r="M848" s="4">
        <v>513</v>
      </c>
      <c r="N848">
        <f t="shared" si="34"/>
        <v>0.25727181544633904</v>
      </c>
    </row>
    <row r="849" spans="6:14">
      <c r="F849" s="4" t="s">
        <v>55</v>
      </c>
      <c r="G849" s="4">
        <v>11074</v>
      </c>
      <c r="H849" s="4" t="s">
        <v>54</v>
      </c>
      <c r="I849" s="4" t="s">
        <v>51</v>
      </c>
      <c r="J849" s="6">
        <v>45757</v>
      </c>
      <c r="K849" s="4">
        <v>2259</v>
      </c>
      <c r="L849" s="4">
        <v>2259</v>
      </c>
      <c r="M849" s="4">
        <v>605</v>
      </c>
      <c r="N849">
        <f t="shared" si="34"/>
        <v>0.267817618415228</v>
      </c>
    </row>
    <row r="850" spans="6:14">
      <c r="F850" s="4" t="s">
        <v>55</v>
      </c>
      <c r="G850" s="4">
        <v>11074</v>
      </c>
      <c r="H850" s="4" t="s">
        <v>54</v>
      </c>
      <c r="I850" s="4" t="s">
        <v>51</v>
      </c>
      <c r="J850" s="6">
        <v>45758</v>
      </c>
      <c r="K850" s="4">
        <v>2620</v>
      </c>
      <c r="L850" s="4">
        <v>2620</v>
      </c>
      <c r="M850" s="4">
        <v>659</v>
      </c>
      <c r="N850">
        <f t="shared" si="34"/>
        <v>0.25152671755725192</v>
      </c>
    </row>
    <row r="851" spans="6:14">
      <c r="F851" s="4" t="s">
        <v>55</v>
      </c>
      <c r="G851" s="4">
        <v>11074</v>
      </c>
      <c r="H851" s="4" t="s">
        <v>54</v>
      </c>
      <c r="I851" s="4" t="s">
        <v>51</v>
      </c>
      <c r="J851" s="6">
        <v>45759</v>
      </c>
      <c r="K851" s="4">
        <v>2784</v>
      </c>
      <c r="L851" s="4">
        <v>2784</v>
      </c>
      <c r="M851" s="4">
        <v>825</v>
      </c>
      <c r="N851">
        <f t="shared" si="34"/>
        <v>0.29633620689655171</v>
      </c>
    </row>
    <row r="852" spans="6:14">
      <c r="F852" s="4" t="s">
        <v>55</v>
      </c>
      <c r="G852" s="4">
        <v>11074</v>
      </c>
      <c r="H852" s="4" t="s">
        <v>54</v>
      </c>
      <c r="I852" s="4" t="s">
        <v>51</v>
      </c>
      <c r="J852" s="6">
        <v>45760</v>
      </c>
      <c r="K852" s="4">
        <v>3715</v>
      </c>
      <c r="L852" s="4">
        <v>3715</v>
      </c>
      <c r="M852" s="4">
        <v>975</v>
      </c>
      <c r="N852">
        <f t="shared" si="34"/>
        <v>0.26244952893674295</v>
      </c>
    </row>
    <row r="853" spans="6:14">
      <c r="F853" s="4" t="s">
        <v>55</v>
      </c>
      <c r="G853" s="4">
        <v>11074</v>
      </c>
      <c r="H853" s="4" t="s">
        <v>54</v>
      </c>
      <c r="I853" s="4" t="s">
        <v>51</v>
      </c>
      <c r="J853" s="6">
        <v>45761</v>
      </c>
      <c r="K853" s="4">
        <v>3838</v>
      </c>
      <c r="L853" s="4">
        <v>3838</v>
      </c>
      <c r="M853" s="4">
        <v>946</v>
      </c>
      <c r="N853">
        <f t="shared" si="34"/>
        <v>0.24648254299114122</v>
      </c>
    </row>
    <row r="854" spans="6:14">
      <c r="F854" s="4" t="s">
        <v>55</v>
      </c>
      <c r="G854" s="4">
        <v>11074</v>
      </c>
      <c r="H854" s="4" t="s">
        <v>54</v>
      </c>
      <c r="I854" s="4" t="s">
        <v>51</v>
      </c>
      <c r="J854" s="6">
        <v>45762</v>
      </c>
      <c r="K854" s="4">
        <v>3369</v>
      </c>
      <c r="L854" s="4">
        <v>3369</v>
      </c>
      <c r="M854" s="4">
        <v>937</v>
      </c>
      <c r="N854">
        <f t="shared" si="34"/>
        <v>0.27812407242505194</v>
      </c>
    </row>
    <row r="855" spans="6:14">
      <c r="F855" s="4" t="s">
        <v>55</v>
      </c>
      <c r="G855" s="4">
        <v>11074</v>
      </c>
      <c r="H855" s="4" t="s">
        <v>54</v>
      </c>
      <c r="I855" s="4" t="s">
        <v>51</v>
      </c>
      <c r="J855" s="6">
        <v>45763</v>
      </c>
      <c r="K855" s="4">
        <v>3290</v>
      </c>
      <c r="L855" s="4">
        <v>3290</v>
      </c>
      <c r="M855" s="4">
        <v>875</v>
      </c>
      <c r="N855">
        <f t="shared" si="34"/>
        <v>0.26595744680851063</v>
      </c>
    </row>
    <row r="856" spans="6:14">
      <c r="F856" s="4" t="s">
        <v>55</v>
      </c>
      <c r="G856" s="4">
        <v>11074</v>
      </c>
      <c r="H856" s="4" t="s">
        <v>54</v>
      </c>
      <c r="I856" s="4" t="s">
        <v>51</v>
      </c>
      <c r="J856" s="6">
        <v>45764</v>
      </c>
      <c r="K856" s="4">
        <v>3424</v>
      </c>
      <c r="L856" s="4">
        <v>3424</v>
      </c>
      <c r="M856" s="4">
        <v>934</v>
      </c>
      <c r="N856">
        <f t="shared" si="34"/>
        <v>0.27278037383177572</v>
      </c>
    </row>
    <row r="857" spans="6:14">
      <c r="F857" s="4" t="s">
        <v>55</v>
      </c>
      <c r="G857" s="4">
        <v>11074</v>
      </c>
      <c r="H857" s="4" t="s">
        <v>54</v>
      </c>
      <c r="I857" s="4" t="s">
        <v>51</v>
      </c>
      <c r="J857" s="6">
        <v>45765</v>
      </c>
      <c r="K857" s="4">
        <v>3643</v>
      </c>
      <c r="L857" s="4">
        <v>3643</v>
      </c>
      <c r="M857" s="4">
        <v>1074</v>
      </c>
      <c r="N857">
        <f t="shared" si="34"/>
        <v>0.29481196815811145</v>
      </c>
    </row>
    <row r="858" spans="6:14">
      <c r="F858" s="4" t="s">
        <v>55</v>
      </c>
      <c r="G858" s="4">
        <v>11074</v>
      </c>
      <c r="H858" s="4" t="s">
        <v>54</v>
      </c>
      <c r="I858" s="4" t="s">
        <v>51</v>
      </c>
      <c r="J858" s="6">
        <v>45766</v>
      </c>
      <c r="K858" s="4">
        <v>4316</v>
      </c>
      <c r="L858" s="4">
        <v>4316</v>
      </c>
      <c r="M858" s="4">
        <v>1387</v>
      </c>
      <c r="N858">
        <f t="shared" si="34"/>
        <v>0.32136237256719186</v>
      </c>
    </row>
    <row r="859" spans="6:14">
      <c r="F859" s="4" t="s">
        <v>55</v>
      </c>
      <c r="G859" s="4">
        <v>11074</v>
      </c>
      <c r="H859" s="4" t="s">
        <v>54</v>
      </c>
      <c r="I859" s="4" t="s">
        <v>51</v>
      </c>
      <c r="J859" s="6">
        <v>45767</v>
      </c>
      <c r="K859" s="4">
        <v>5175</v>
      </c>
      <c r="L859" s="4">
        <v>5175</v>
      </c>
      <c r="M859" s="4">
        <v>1615</v>
      </c>
      <c r="N859">
        <f t="shared" si="34"/>
        <v>0.31207729468599033</v>
      </c>
    </row>
  </sheetData>
  <mergeCells count="20">
    <mergeCell ref="AD49:AD54"/>
    <mergeCell ref="AE49:AE51"/>
    <mergeCell ref="AE52:AE54"/>
    <mergeCell ref="AD55:AD60"/>
    <mergeCell ref="AE55:AE57"/>
    <mergeCell ref="AE58:AE60"/>
    <mergeCell ref="AA86:AD86"/>
    <mergeCell ref="P101:P103"/>
    <mergeCell ref="AC70:AC71"/>
    <mergeCell ref="AC72:AC73"/>
    <mergeCell ref="C1:C1048576"/>
    <mergeCell ref="P49:P51"/>
    <mergeCell ref="P52:P54"/>
    <mergeCell ref="O49:O54"/>
    <mergeCell ref="O55:O60"/>
    <mergeCell ref="P55:P57"/>
    <mergeCell ref="P58:P60"/>
    <mergeCell ref="P89:P91"/>
    <mergeCell ref="P92:P94"/>
    <mergeCell ref="P98:P100"/>
  </mergeCells>
  <phoneticPr fontId="8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3A13-96A2-974E-8B6B-238773A1E9B9}">
  <dimension ref="B1:BK433"/>
  <sheetViews>
    <sheetView workbookViewId="0">
      <selection activeCell="H16" sqref="H16"/>
    </sheetView>
  </sheetViews>
  <sheetFormatPr baseColWidth="10" defaultRowHeight="16"/>
  <cols>
    <col min="4" max="4" width="10.83203125" style="43"/>
    <col min="13" max="13" width="12.33203125" style="37" bestFit="1" customWidth="1"/>
    <col min="17" max="17" width="10.83203125" style="51"/>
    <col min="34" max="34" width="33.83203125" bestFit="1" customWidth="1"/>
    <col min="35" max="39" width="15" bestFit="1" customWidth="1"/>
    <col min="54" max="54" width="12.33203125" style="37" bestFit="1" customWidth="1"/>
  </cols>
  <sheetData>
    <row r="1" spans="2:63" ht="51">
      <c r="B1" s="19" t="s">
        <v>75</v>
      </c>
      <c r="H1" t="s">
        <v>43</v>
      </c>
      <c r="I1" t="s">
        <v>41</v>
      </c>
      <c r="J1" t="s">
        <v>159</v>
      </c>
      <c r="K1" s="24" t="s">
        <v>160</v>
      </c>
      <c r="L1" s="24" t="s">
        <v>161</v>
      </c>
      <c r="M1" s="38" t="s">
        <v>162</v>
      </c>
      <c r="Q1" s="51" t="s">
        <v>229</v>
      </c>
      <c r="R1" s="20" t="s">
        <v>76</v>
      </c>
      <c r="Y1" t="s">
        <v>217</v>
      </c>
      <c r="Z1" t="s">
        <v>43</v>
      </c>
      <c r="AA1" t="s">
        <v>41</v>
      </c>
      <c r="AB1" t="s">
        <v>159</v>
      </c>
      <c r="AC1" t="s">
        <v>160</v>
      </c>
      <c r="AD1" t="s">
        <v>161</v>
      </c>
      <c r="AE1" t="s">
        <v>162</v>
      </c>
      <c r="AH1" s="7" t="s">
        <v>217</v>
      </c>
      <c r="AI1" t="s">
        <v>61</v>
      </c>
      <c r="AW1" t="s">
        <v>43</v>
      </c>
      <c r="AX1" t="s">
        <v>41</v>
      </c>
      <c r="AY1" t="s">
        <v>159</v>
      </c>
      <c r="AZ1" s="24" t="s">
        <v>160</v>
      </c>
      <c r="BA1" s="24" t="s">
        <v>161</v>
      </c>
      <c r="BB1" s="38" t="s">
        <v>162</v>
      </c>
      <c r="BH1" s="24"/>
      <c r="BI1" s="24"/>
      <c r="BJ1" s="38"/>
    </row>
    <row r="2" spans="2:63">
      <c r="B2" s="20" t="s">
        <v>76</v>
      </c>
      <c r="H2" t="s">
        <v>52</v>
      </c>
      <c r="I2" t="s">
        <v>55</v>
      </c>
      <c r="J2">
        <v>11072</v>
      </c>
      <c r="K2">
        <v>8442</v>
      </c>
      <c r="L2">
        <v>2691</v>
      </c>
      <c r="M2" s="37">
        <v>112341.59686874101</v>
      </c>
      <c r="R2" s="20" t="s">
        <v>77</v>
      </c>
      <c r="Y2" s="5">
        <v>45750</v>
      </c>
      <c r="AA2" t="s">
        <v>49</v>
      </c>
      <c r="AB2">
        <v>11077</v>
      </c>
      <c r="AC2">
        <v>0</v>
      </c>
      <c r="AD2">
        <v>0</v>
      </c>
      <c r="AE2">
        <v>0</v>
      </c>
      <c r="AH2" s="7" t="s">
        <v>41</v>
      </c>
      <c r="AI2" t="s">
        <v>49</v>
      </c>
      <c r="AW2" t="s">
        <v>52</v>
      </c>
      <c r="AX2" t="s">
        <v>55</v>
      </c>
      <c r="AY2">
        <v>11072</v>
      </c>
      <c r="AZ2">
        <v>8442</v>
      </c>
      <c r="BA2">
        <v>2718</v>
      </c>
      <c r="BB2" s="37">
        <v>113713.332098229</v>
      </c>
      <c r="BJ2" s="37"/>
    </row>
    <row r="3" spans="2:63">
      <c r="B3" s="20" t="s">
        <v>77</v>
      </c>
      <c r="H3" t="s">
        <v>52</v>
      </c>
      <c r="I3" t="s">
        <v>55</v>
      </c>
      <c r="J3">
        <v>11073</v>
      </c>
      <c r="K3">
        <v>6850</v>
      </c>
      <c r="L3" s="40">
        <v>2105</v>
      </c>
      <c r="M3" s="41">
        <v>91147.264585940706</v>
      </c>
      <c r="R3" s="20" t="s">
        <v>78</v>
      </c>
      <c r="Y3" s="5">
        <v>45750</v>
      </c>
      <c r="AA3" t="s">
        <v>49</v>
      </c>
      <c r="AB3">
        <v>11076</v>
      </c>
      <c r="AC3">
        <v>0</v>
      </c>
      <c r="AD3">
        <v>0</v>
      </c>
      <c r="AE3">
        <v>0</v>
      </c>
      <c r="AW3" t="s">
        <v>53</v>
      </c>
      <c r="AX3" t="s">
        <v>55</v>
      </c>
      <c r="AY3">
        <v>11072</v>
      </c>
      <c r="AZ3">
        <v>984</v>
      </c>
      <c r="BA3">
        <v>226</v>
      </c>
      <c r="BB3" s="37">
        <v>6060.0878197459097</v>
      </c>
      <c r="BJ3" s="37"/>
    </row>
    <row r="4" spans="2:63">
      <c r="B4" s="20" t="s">
        <v>78</v>
      </c>
      <c r="H4" t="s">
        <v>52</v>
      </c>
      <c r="I4" t="s">
        <v>55</v>
      </c>
      <c r="J4">
        <v>11074</v>
      </c>
      <c r="K4">
        <v>7051</v>
      </c>
      <c r="L4">
        <v>2122</v>
      </c>
      <c r="M4" s="37">
        <v>90388.063071982397</v>
      </c>
      <c r="R4" s="21" t="s">
        <v>79</v>
      </c>
      <c r="Y4" s="5">
        <v>45750</v>
      </c>
      <c r="AA4" t="s">
        <v>49</v>
      </c>
      <c r="AB4">
        <v>11075</v>
      </c>
      <c r="AC4">
        <v>0</v>
      </c>
      <c r="AD4">
        <v>0</v>
      </c>
      <c r="AE4">
        <v>0</v>
      </c>
      <c r="AH4" s="7" t="s">
        <v>218</v>
      </c>
      <c r="AI4" s="7" t="s">
        <v>60</v>
      </c>
      <c r="AW4" t="s">
        <v>54</v>
      </c>
      <c r="AX4" t="s">
        <v>55</v>
      </c>
      <c r="AY4">
        <v>11072</v>
      </c>
      <c r="AZ4">
        <v>2588</v>
      </c>
      <c r="BA4">
        <v>830</v>
      </c>
      <c r="BB4" s="37">
        <v>12230.280176960199</v>
      </c>
      <c r="BJ4" s="37"/>
    </row>
    <row r="5" spans="2:63">
      <c r="B5" s="21" t="s">
        <v>79</v>
      </c>
      <c r="H5" t="s">
        <v>52</v>
      </c>
      <c r="I5" t="s">
        <v>49</v>
      </c>
      <c r="J5">
        <v>11075</v>
      </c>
      <c r="K5">
        <v>257</v>
      </c>
      <c r="L5">
        <v>123</v>
      </c>
      <c r="M5" s="37">
        <v>1967.1468338898801</v>
      </c>
      <c r="R5" s="21" t="s">
        <v>80</v>
      </c>
      <c r="Y5" s="5">
        <v>45750</v>
      </c>
      <c r="AA5" t="s">
        <v>55</v>
      </c>
      <c r="AB5">
        <v>11073</v>
      </c>
      <c r="AC5">
        <v>2</v>
      </c>
      <c r="AD5">
        <v>2</v>
      </c>
      <c r="AE5">
        <v>48.457264368001603</v>
      </c>
      <c r="AH5" s="7" t="s">
        <v>57</v>
      </c>
      <c r="AI5" t="s">
        <v>52</v>
      </c>
      <c r="AJ5" t="s">
        <v>53</v>
      </c>
      <c r="AK5" t="s">
        <v>54</v>
      </c>
      <c r="AL5" t="s">
        <v>66</v>
      </c>
      <c r="AM5" t="s">
        <v>58</v>
      </c>
      <c r="AX5" t="s">
        <v>55</v>
      </c>
      <c r="AY5">
        <v>11072</v>
      </c>
      <c r="AZ5">
        <v>164</v>
      </c>
      <c r="BA5">
        <v>61</v>
      </c>
      <c r="BB5" s="37">
        <v>1821.03057745108</v>
      </c>
      <c r="BJ5" s="37"/>
    </row>
    <row r="6" spans="2:63">
      <c r="B6" s="21" t="s">
        <v>80</v>
      </c>
      <c r="H6" t="s">
        <v>52</v>
      </c>
      <c r="I6" t="s">
        <v>49</v>
      </c>
      <c r="J6">
        <v>11076</v>
      </c>
      <c r="K6">
        <v>119</v>
      </c>
      <c r="L6">
        <v>78</v>
      </c>
      <c r="M6" s="37">
        <v>1184.2374058374301</v>
      </c>
      <c r="R6" s="20" t="s">
        <v>81</v>
      </c>
      <c r="Y6" s="5">
        <v>45750</v>
      </c>
      <c r="AA6" t="s">
        <v>55</v>
      </c>
      <c r="AB6">
        <v>11074</v>
      </c>
      <c r="AC6">
        <v>3</v>
      </c>
      <c r="AD6">
        <v>0</v>
      </c>
      <c r="AE6">
        <v>0</v>
      </c>
      <c r="AH6" s="8">
        <v>11075</v>
      </c>
      <c r="AI6" s="9">
        <v>1825.2193253496662</v>
      </c>
      <c r="AJ6" s="9">
        <v>355.47463060465458</v>
      </c>
      <c r="AK6" s="9">
        <v>1595.6064517215573</v>
      </c>
      <c r="AL6" s="9">
        <v>59.711636460179207</v>
      </c>
      <c r="AM6" s="9">
        <v>3836.0120441360573</v>
      </c>
      <c r="AW6" t="s">
        <v>52</v>
      </c>
      <c r="AX6" t="s">
        <v>55</v>
      </c>
      <c r="AY6">
        <v>11073</v>
      </c>
      <c r="AZ6">
        <v>6850</v>
      </c>
      <c r="BA6">
        <v>2132</v>
      </c>
      <c r="BB6" s="37">
        <v>92590.331451542006</v>
      </c>
      <c r="BC6" s="39">
        <f>BB6-BB2</f>
        <v>-21123.000646686996</v>
      </c>
      <c r="BJ6" s="37"/>
      <c r="BK6" s="39"/>
    </row>
    <row r="7" spans="2:63">
      <c r="B7" s="20" t="s">
        <v>81</v>
      </c>
      <c r="H7" t="s">
        <v>52</v>
      </c>
      <c r="I7" t="s">
        <v>49</v>
      </c>
      <c r="J7">
        <v>11077</v>
      </c>
      <c r="K7">
        <v>157</v>
      </c>
      <c r="L7">
        <v>84</v>
      </c>
      <c r="M7" s="37">
        <v>1422.20879260723</v>
      </c>
      <c r="R7" s="20" t="s">
        <v>82</v>
      </c>
      <c r="Y7" s="5">
        <v>45750</v>
      </c>
      <c r="AA7" t="s">
        <v>55</v>
      </c>
      <c r="AB7">
        <v>11072</v>
      </c>
      <c r="AC7">
        <v>6</v>
      </c>
      <c r="AD7">
        <v>0</v>
      </c>
      <c r="AE7">
        <v>0</v>
      </c>
      <c r="AH7" s="8">
        <v>11076</v>
      </c>
      <c r="AI7" s="9">
        <v>1185.8305168575771</v>
      </c>
      <c r="AJ7" s="9">
        <v>181.4084664874681</v>
      </c>
      <c r="AK7" s="9">
        <v>1155.7542085496138</v>
      </c>
      <c r="AL7" s="9">
        <v>70.945902131530403</v>
      </c>
      <c r="AM7" s="9">
        <v>2593.9390940261897</v>
      </c>
      <c r="AW7" t="s">
        <v>53</v>
      </c>
      <c r="AX7" t="s">
        <v>55</v>
      </c>
      <c r="AY7">
        <v>11073</v>
      </c>
      <c r="AZ7">
        <v>852</v>
      </c>
      <c r="BA7">
        <v>162</v>
      </c>
      <c r="BB7" s="37">
        <v>4724.8090873110596</v>
      </c>
      <c r="BC7" s="39">
        <f t="shared" ref="BC7:BC8" si="0">BB7-BB3</f>
        <v>-1335.2787324348501</v>
      </c>
      <c r="BJ7" s="37"/>
      <c r="BK7" s="39"/>
    </row>
    <row r="8" spans="2:63">
      <c r="B8" s="20" t="s">
        <v>158</v>
      </c>
      <c r="H8" t="s">
        <v>53</v>
      </c>
      <c r="I8" t="s">
        <v>55</v>
      </c>
      <c r="J8">
        <v>11072</v>
      </c>
      <c r="K8">
        <v>984</v>
      </c>
      <c r="L8">
        <v>221</v>
      </c>
      <c r="M8" s="37">
        <v>5890.9831506338696</v>
      </c>
      <c r="R8" s="20" t="s">
        <v>83</v>
      </c>
      <c r="Y8" s="5">
        <v>45750</v>
      </c>
      <c r="Z8" t="s">
        <v>52</v>
      </c>
      <c r="AA8" t="s">
        <v>49</v>
      </c>
      <c r="AB8">
        <v>11075</v>
      </c>
      <c r="AC8">
        <v>0</v>
      </c>
      <c r="AD8">
        <v>0</v>
      </c>
      <c r="AE8">
        <v>0</v>
      </c>
      <c r="AH8" s="8">
        <v>11077</v>
      </c>
      <c r="AI8" s="9">
        <v>1467.4113939941685</v>
      </c>
      <c r="AJ8" s="9">
        <v>500.17080418416117</v>
      </c>
      <c r="AK8" s="9">
        <v>1352.6927261592452</v>
      </c>
      <c r="AL8" s="9">
        <v>45.802372809603433</v>
      </c>
      <c r="AM8" s="9">
        <v>3366.0772971471783</v>
      </c>
      <c r="AW8" t="s">
        <v>54</v>
      </c>
      <c r="AX8" t="s">
        <v>55</v>
      </c>
      <c r="AY8">
        <v>11073</v>
      </c>
      <c r="AZ8">
        <v>2005</v>
      </c>
      <c r="BA8">
        <v>637</v>
      </c>
      <c r="BB8" s="37">
        <v>9982.2707469477591</v>
      </c>
      <c r="BC8" s="39">
        <f t="shared" si="0"/>
        <v>-2248.0094300124401</v>
      </c>
      <c r="BJ8" s="37"/>
      <c r="BK8" s="39"/>
    </row>
    <row r="9" spans="2:63">
      <c r="B9" s="20" t="s">
        <v>83</v>
      </c>
      <c r="H9" t="s">
        <v>53</v>
      </c>
      <c r="I9" t="s">
        <v>55</v>
      </c>
      <c r="J9">
        <v>11073</v>
      </c>
      <c r="K9">
        <v>852</v>
      </c>
      <c r="L9">
        <v>160</v>
      </c>
      <c r="M9" s="37">
        <v>4649.00722523696</v>
      </c>
      <c r="R9" s="20" t="s">
        <v>84</v>
      </c>
      <c r="Y9" s="5">
        <v>45750</v>
      </c>
      <c r="Z9" t="s">
        <v>52</v>
      </c>
      <c r="AA9" t="s">
        <v>49</v>
      </c>
      <c r="AB9">
        <v>11076</v>
      </c>
      <c r="AC9">
        <v>0</v>
      </c>
      <c r="AD9">
        <v>0</v>
      </c>
      <c r="AE9">
        <v>0</v>
      </c>
      <c r="AH9" s="8" t="s">
        <v>58</v>
      </c>
      <c r="AI9" s="9">
        <v>4478.4612362014122</v>
      </c>
      <c r="AJ9" s="9">
        <v>1037.0539012762838</v>
      </c>
      <c r="AK9" s="9">
        <v>4104.0533864304161</v>
      </c>
      <c r="AL9" s="9">
        <v>176.45991140131306</v>
      </c>
      <c r="AM9" s="9">
        <v>9796.0284353094248</v>
      </c>
      <c r="AX9" t="s">
        <v>55</v>
      </c>
      <c r="AY9">
        <v>11073</v>
      </c>
      <c r="AZ9">
        <v>138</v>
      </c>
      <c r="BA9">
        <v>45</v>
      </c>
      <c r="BB9" s="37">
        <v>1447.87258243255</v>
      </c>
      <c r="BC9" s="39">
        <f>BB9-BB5</f>
        <v>-373.15799501853007</v>
      </c>
      <c r="BJ9" s="37"/>
      <c r="BK9" s="39"/>
    </row>
    <row r="10" spans="2:63">
      <c r="B10" s="20" t="s">
        <v>84</v>
      </c>
      <c r="H10" t="s">
        <v>53</v>
      </c>
      <c r="I10" t="s">
        <v>55</v>
      </c>
      <c r="J10">
        <v>11074</v>
      </c>
      <c r="K10">
        <v>912</v>
      </c>
      <c r="L10">
        <v>176</v>
      </c>
      <c r="M10" s="37">
        <v>4590.4710032257999</v>
      </c>
      <c r="R10" s="21" t="s">
        <v>85</v>
      </c>
      <c r="Y10" s="5">
        <v>45750</v>
      </c>
      <c r="Z10" t="s">
        <v>52</v>
      </c>
      <c r="AA10" t="s">
        <v>49</v>
      </c>
      <c r="AB10">
        <v>11077</v>
      </c>
      <c r="AC10">
        <v>0</v>
      </c>
      <c r="AD10">
        <v>0</v>
      </c>
      <c r="AE10">
        <v>0</v>
      </c>
      <c r="AW10" t="s">
        <v>52</v>
      </c>
      <c r="AX10" t="s">
        <v>55</v>
      </c>
      <c r="AY10">
        <v>11074</v>
      </c>
      <c r="AZ10">
        <v>7051</v>
      </c>
      <c r="BA10">
        <v>2147</v>
      </c>
      <c r="BB10" s="37">
        <v>91748.627902506501</v>
      </c>
      <c r="BC10" s="39">
        <f>BB10-BB2</f>
        <v>-21964.704195722501</v>
      </c>
      <c r="BJ10" s="37"/>
      <c r="BK10" s="39"/>
    </row>
    <row r="11" spans="2:63">
      <c r="B11" s="21" t="s">
        <v>85</v>
      </c>
      <c r="H11" t="s">
        <v>53</v>
      </c>
      <c r="I11" t="s">
        <v>49</v>
      </c>
      <c r="J11">
        <v>11075</v>
      </c>
      <c r="K11">
        <v>107</v>
      </c>
      <c r="L11">
        <v>34</v>
      </c>
      <c r="M11" s="37">
        <v>355.47463060465498</v>
      </c>
      <c r="R11" s="19" t="s">
        <v>86</v>
      </c>
      <c r="Y11" s="5">
        <v>45750</v>
      </c>
      <c r="Z11" t="s">
        <v>52</v>
      </c>
      <c r="AA11" t="s">
        <v>55</v>
      </c>
      <c r="AB11">
        <v>11074</v>
      </c>
      <c r="AC11">
        <v>250</v>
      </c>
      <c r="AD11">
        <v>79</v>
      </c>
      <c r="AE11">
        <v>3787.32059722755</v>
      </c>
      <c r="AW11" t="s">
        <v>53</v>
      </c>
      <c r="AX11" t="s">
        <v>55</v>
      </c>
      <c r="AY11">
        <v>11074</v>
      </c>
      <c r="AZ11">
        <v>912</v>
      </c>
      <c r="BA11">
        <v>178</v>
      </c>
      <c r="BB11" s="37">
        <v>4685.1077966398298</v>
      </c>
      <c r="BC11" s="39">
        <f t="shared" ref="BC11:BC13" si="1">BB11-BB3</f>
        <v>-1374.9800231060799</v>
      </c>
      <c r="BJ11" s="37"/>
      <c r="BK11" s="39"/>
    </row>
    <row r="12" spans="2:63">
      <c r="B12" s="19" t="s">
        <v>86</v>
      </c>
      <c r="H12" t="s">
        <v>53</v>
      </c>
      <c r="I12" t="s">
        <v>49</v>
      </c>
      <c r="J12">
        <v>11076</v>
      </c>
      <c r="K12">
        <v>62</v>
      </c>
      <c r="L12">
        <v>25</v>
      </c>
      <c r="M12" s="37">
        <v>181.40846648746799</v>
      </c>
      <c r="R12" s="21" t="s">
        <v>87</v>
      </c>
      <c r="Y12" s="5">
        <v>45750</v>
      </c>
      <c r="Z12" t="s">
        <v>52</v>
      </c>
      <c r="AA12" t="s">
        <v>55</v>
      </c>
      <c r="AB12">
        <v>11073</v>
      </c>
      <c r="AC12">
        <v>268</v>
      </c>
      <c r="AD12">
        <v>67</v>
      </c>
      <c r="AE12">
        <v>3362.5237610977501</v>
      </c>
      <c r="AW12" t="s">
        <v>54</v>
      </c>
      <c r="AX12" t="s">
        <v>55</v>
      </c>
      <c r="AY12">
        <v>11074</v>
      </c>
      <c r="AZ12">
        <v>2170</v>
      </c>
      <c r="BA12">
        <v>637</v>
      </c>
      <c r="BB12" s="37">
        <v>9670.1522034545396</v>
      </c>
      <c r="BC12" s="39">
        <f t="shared" si="1"/>
        <v>-2560.1279735056596</v>
      </c>
      <c r="BJ12" s="37"/>
      <c r="BK12" s="39"/>
    </row>
    <row r="13" spans="2:63">
      <c r="B13" s="21" t="s">
        <v>87</v>
      </c>
      <c r="H13" t="s">
        <v>53</v>
      </c>
      <c r="I13" t="s">
        <v>49</v>
      </c>
      <c r="J13">
        <v>11077</v>
      </c>
      <c r="K13">
        <v>83</v>
      </c>
      <c r="L13">
        <v>40</v>
      </c>
      <c r="M13" s="37">
        <v>522.69529908942695</v>
      </c>
      <c r="R13" s="21" t="s">
        <v>88</v>
      </c>
      <c r="Y13" s="5">
        <v>45750</v>
      </c>
      <c r="Z13" t="s">
        <v>52</v>
      </c>
      <c r="AA13" t="s">
        <v>55</v>
      </c>
      <c r="AB13">
        <v>11072</v>
      </c>
      <c r="AC13">
        <v>337</v>
      </c>
      <c r="AD13">
        <v>107</v>
      </c>
      <c r="AE13">
        <v>4587.2999826599998</v>
      </c>
      <c r="AX13" t="s">
        <v>55</v>
      </c>
      <c r="AY13">
        <v>11074</v>
      </c>
      <c r="AZ13">
        <v>148</v>
      </c>
      <c r="BA13">
        <v>49</v>
      </c>
      <c r="BB13" s="37">
        <v>1228.5123195838</v>
      </c>
      <c r="BC13" s="39">
        <f t="shared" si="1"/>
        <v>-592.51825786728</v>
      </c>
      <c r="BJ13" s="37"/>
      <c r="BK13" s="39"/>
    </row>
    <row r="14" spans="2:63">
      <c r="B14" s="21" t="s">
        <v>88</v>
      </c>
      <c r="H14" t="s">
        <v>54</v>
      </c>
      <c r="I14" t="s">
        <v>55</v>
      </c>
      <c r="J14">
        <v>11072</v>
      </c>
      <c r="K14">
        <v>2588</v>
      </c>
      <c r="L14">
        <v>812</v>
      </c>
      <c r="M14" s="37">
        <v>11938.719180525601</v>
      </c>
      <c r="R14" s="21" t="s">
        <v>89</v>
      </c>
      <c r="Y14" s="5">
        <v>45750</v>
      </c>
      <c r="Z14" t="s">
        <v>53</v>
      </c>
      <c r="AA14" t="s">
        <v>49</v>
      </c>
      <c r="AB14">
        <v>11077</v>
      </c>
      <c r="AC14">
        <v>0</v>
      </c>
      <c r="AD14">
        <v>0</v>
      </c>
      <c r="AE14">
        <v>0</v>
      </c>
      <c r="AW14" t="s">
        <v>52</v>
      </c>
      <c r="AX14" t="s">
        <v>49</v>
      </c>
      <c r="AY14">
        <v>11075</v>
      </c>
      <c r="AZ14">
        <v>257</v>
      </c>
      <c r="BA14">
        <v>125</v>
      </c>
      <c r="BB14" s="37">
        <v>2025.98683388988</v>
      </c>
      <c r="BJ14" s="37"/>
    </row>
    <row r="15" spans="2:63">
      <c r="B15" s="21" t="s">
        <v>89</v>
      </c>
      <c r="H15" t="s">
        <v>54</v>
      </c>
      <c r="I15" t="s">
        <v>55</v>
      </c>
      <c r="J15">
        <v>11073</v>
      </c>
      <c r="K15">
        <v>2005</v>
      </c>
      <c r="L15">
        <v>617</v>
      </c>
      <c r="M15" s="37">
        <v>9641.2884951038995</v>
      </c>
      <c r="R15" s="21" t="s">
        <v>90</v>
      </c>
      <c r="Y15" s="5">
        <v>45750</v>
      </c>
      <c r="Z15" t="s">
        <v>53</v>
      </c>
      <c r="AA15" t="s">
        <v>49</v>
      </c>
      <c r="AB15">
        <v>11076</v>
      </c>
      <c r="AC15">
        <v>0</v>
      </c>
      <c r="AD15">
        <v>0</v>
      </c>
      <c r="AE15">
        <v>0</v>
      </c>
      <c r="AW15" t="s">
        <v>53</v>
      </c>
      <c r="AX15" t="s">
        <v>49</v>
      </c>
      <c r="AY15">
        <v>11075</v>
      </c>
      <c r="AZ15">
        <v>107</v>
      </c>
      <c r="BA15">
        <v>34</v>
      </c>
      <c r="BB15" s="37">
        <v>355.47463060465498</v>
      </c>
      <c r="BJ15" s="37"/>
    </row>
    <row r="16" spans="2:63">
      <c r="B16" s="21" t="s">
        <v>90</v>
      </c>
      <c r="H16" t="s">
        <v>54</v>
      </c>
      <c r="I16" t="s">
        <v>55</v>
      </c>
      <c r="J16">
        <v>11074</v>
      </c>
      <c r="K16">
        <v>2170</v>
      </c>
      <c r="L16">
        <v>620</v>
      </c>
      <c r="M16" s="37">
        <v>9324.4848012717903</v>
      </c>
      <c r="R16" s="21" t="s">
        <v>91</v>
      </c>
      <c r="Y16" s="5">
        <v>45750</v>
      </c>
      <c r="Z16" t="s">
        <v>53</v>
      </c>
      <c r="AA16" t="s">
        <v>49</v>
      </c>
      <c r="AB16">
        <v>11075</v>
      </c>
      <c r="AC16">
        <v>0</v>
      </c>
      <c r="AD16">
        <v>0</v>
      </c>
      <c r="AE16">
        <v>0</v>
      </c>
      <c r="AH16" t="s">
        <v>219</v>
      </c>
      <c r="AI16" t="s">
        <v>224</v>
      </c>
      <c r="AW16" t="s">
        <v>54</v>
      </c>
      <c r="AX16" t="s">
        <v>49</v>
      </c>
      <c r="AY16">
        <v>11075</v>
      </c>
      <c r="AZ16">
        <v>901</v>
      </c>
      <c r="BA16">
        <v>314</v>
      </c>
      <c r="BB16" s="37">
        <v>1778.3646856436901</v>
      </c>
      <c r="BJ16" s="37"/>
    </row>
    <row r="17" spans="2:63">
      <c r="B17" s="21" t="s">
        <v>91</v>
      </c>
      <c r="H17" t="s">
        <v>54</v>
      </c>
      <c r="I17" t="s">
        <v>49</v>
      </c>
      <c r="J17">
        <v>11075</v>
      </c>
      <c r="K17">
        <v>901</v>
      </c>
      <c r="L17">
        <v>305</v>
      </c>
      <c r="M17" s="37">
        <v>1710.18299481443</v>
      </c>
      <c r="R17" s="21" t="s">
        <v>92</v>
      </c>
      <c r="Y17" s="5">
        <v>45750</v>
      </c>
      <c r="Z17" t="s">
        <v>53</v>
      </c>
      <c r="AA17" t="s">
        <v>55</v>
      </c>
      <c r="AB17">
        <v>11072</v>
      </c>
      <c r="AC17">
        <v>43</v>
      </c>
      <c r="AD17">
        <v>7</v>
      </c>
      <c r="AE17">
        <v>220.78178578705899</v>
      </c>
      <c r="AH17" t="s">
        <v>41</v>
      </c>
      <c r="AI17" t="s">
        <v>55</v>
      </c>
      <c r="AN17" s="50" t="s">
        <v>223</v>
      </c>
      <c r="AO17" s="50"/>
      <c r="AP17" s="50"/>
      <c r="AQ17" s="50"/>
      <c r="AX17" t="s">
        <v>49</v>
      </c>
      <c r="AY17">
        <v>11075</v>
      </c>
      <c r="AZ17">
        <v>45</v>
      </c>
      <c r="BA17">
        <v>9</v>
      </c>
      <c r="BB17" s="37">
        <v>70.629437903994599</v>
      </c>
      <c r="BJ17" s="37"/>
    </row>
    <row r="18" spans="2:63">
      <c r="B18" s="21" t="s">
        <v>92</v>
      </c>
      <c r="H18" t="s">
        <v>54</v>
      </c>
      <c r="I18" t="s">
        <v>49</v>
      </c>
      <c r="J18">
        <v>11076</v>
      </c>
      <c r="K18">
        <v>497</v>
      </c>
      <c r="L18">
        <v>220</v>
      </c>
      <c r="M18" s="37">
        <v>1171.2430802747101</v>
      </c>
      <c r="R18" s="21" t="s">
        <v>93</v>
      </c>
      <c r="Y18" s="5">
        <v>45750</v>
      </c>
      <c r="Z18" t="s">
        <v>53</v>
      </c>
      <c r="AA18" t="s">
        <v>55</v>
      </c>
      <c r="AB18">
        <v>11074</v>
      </c>
      <c r="AC18">
        <v>42</v>
      </c>
      <c r="AD18">
        <v>6</v>
      </c>
      <c r="AE18">
        <v>225.594891039434</v>
      </c>
      <c r="AW18" t="s">
        <v>52</v>
      </c>
      <c r="AX18" t="s">
        <v>49</v>
      </c>
      <c r="AY18">
        <v>11076</v>
      </c>
      <c r="AZ18">
        <v>119</v>
      </c>
      <c r="BA18">
        <v>79</v>
      </c>
      <c r="BB18" s="37">
        <v>1217.6215479023899</v>
      </c>
      <c r="BC18" s="39">
        <f>BB18-BB14</f>
        <v>-808.3652859874901</v>
      </c>
      <c r="BJ18" s="37"/>
      <c r="BK18" s="39"/>
    </row>
    <row r="19" spans="2:63">
      <c r="B19" s="21" t="s">
        <v>93</v>
      </c>
      <c r="H19" t="s">
        <v>54</v>
      </c>
      <c r="I19" t="s">
        <v>49</v>
      </c>
      <c r="J19">
        <v>11077</v>
      </c>
      <c r="K19">
        <v>671</v>
      </c>
      <c r="L19">
        <v>248</v>
      </c>
      <c r="M19" s="37">
        <v>1423.6751068788001</v>
      </c>
      <c r="R19" s="21" t="s">
        <v>94</v>
      </c>
      <c r="Y19" s="5">
        <v>45750</v>
      </c>
      <c r="Z19" t="s">
        <v>53</v>
      </c>
      <c r="AA19" t="s">
        <v>55</v>
      </c>
      <c r="AB19">
        <v>11073</v>
      </c>
      <c r="AC19">
        <v>31</v>
      </c>
      <c r="AD19">
        <v>6</v>
      </c>
      <c r="AE19">
        <v>208.86121398242199</v>
      </c>
      <c r="AH19" t="s">
        <v>218</v>
      </c>
      <c r="AI19" t="s">
        <v>60</v>
      </c>
      <c r="AW19" t="s">
        <v>53</v>
      </c>
      <c r="AX19" t="s">
        <v>49</v>
      </c>
      <c r="AY19">
        <v>11076</v>
      </c>
      <c r="AZ19">
        <v>62</v>
      </c>
      <c r="BA19">
        <v>25</v>
      </c>
      <c r="BB19" s="37">
        <v>181.40846648746799</v>
      </c>
      <c r="BC19" s="39">
        <f t="shared" ref="BC19:BC20" si="2">BB19-BB15</f>
        <v>-174.06616411718699</v>
      </c>
      <c r="BJ19" s="37"/>
      <c r="BK19" s="39"/>
    </row>
    <row r="20" spans="2:63">
      <c r="B20" s="21" t="s">
        <v>94</v>
      </c>
      <c r="I20" t="s">
        <v>55</v>
      </c>
      <c r="J20">
        <v>11072</v>
      </c>
      <c r="K20">
        <v>164</v>
      </c>
      <c r="L20">
        <v>59</v>
      </c>
      <c r="M20" s="37">
        <v>1795.02824241804</v>
      </c>
      <c r="R20" s="20" t="s">
        <v>95</v>
      </c>
      <c r="Y20" s="5">
        <v>45750</v>
      </c>
      <c r="Z20" t="s">
        <v>54</v>
      </c>
      <c r="AA20" t="s">
        <v>49</v>
      </c>
      <c r="AB20">
        <v>11075</v>
      </c>
      <c r="AC20">
        <v>2</v>
      </c>
      <c r="AD20">
        <v>0</v>
      </c>
      <c r="AE20">
        <v>0</v>
      </c>
      <c r="AH20" t="s">
        <v>57</v>
      </c>
      <c r="AI20" t="s">
        <v>52</v>
      </c>
      <c r="AJ20" t="s">
        <v>53</v>
      </c>
      <c r="AK20" t="s">
        <v>54</v>
      </c>
      <c r="AL20" t="s">
        <v>66</v>
      </c>
      <c r="AN20" t="s">
        <v>52</v>
      </c>
      <c r="AO20" t="s">
        <v>53</v>
      </c>
      <c r="AP20" t="s">
        <v>54</v>
      </c>
      <c r="AQ20" t="s">
        <v>66</v>
      </c>
      <c r="AW20" t="s">
        <v>54</v>
      </c>
      <c r="AX20" t="s">
        <v>49</v>
      </c>
      <c r="AY20">
        <v>11076</v>
      </c>
      <c r="AZ20">
        <v>497</v>
      </c>
      <c r="BA20">
        <v>224</v>
      </c>
      <c r="BB20" s="37">
        <v>1200.88534576698</v>
      </c>
      <c r="BC20" s="39">
        <f t="shared" si="2"/>
        <v>-577.47933987671013</v>
      </c>
      <c r="BJ20" s="37"/>
      <c r="BK20" s="39"/>
    </row>
    <row r="21" spans="2:63">
      <c r="B21" s="20" t="s">
        <v>95</v>
      </c>
      <c r="I21" t="s">
        <v>55</v>
      </c>
      <c r="J21">
        <v>11073</v>
      </c>
      <c r="K21">
        <v>138</v>
      </c>
      <c r="L21">
        <v>45</v>
      </c>
      <c r="M21" s="37">
        <v>1447.87258243255</v>
      </c>
      <c r="R21" s="19" t="s">
        <v>96</v>
      </c>
      <c r="Y21" s="5">
        <v>45750</v>
      </c>
      <c r="Z21" t="s">
        <v>54</v>
      </c>
      <c r="AA21" t="s">
        <v>49</v>
      </c>
      <c r="AB21">
        <v>11076</v>
      </c>
      <c r="AC21">
        <v>1</v>
      </c>
      <c r="AD21">
        <v>0</v>
      </c>
      <c r="AE21">
        <v>0</v>
      </c>
      <c r="AH21" s="8">
        <v>11072</v>
      </c>
      <c r="AI21" s="9">
        <v>109126.03211556895</v>
      </c>
      <c r="AJ21" s="9">
        <v>5839.3060339588519</v>
      </c>
      <c r="AK21" s="9">
        <v>11775.113211179974</v>
      </c>
      <c r="AL21" s="9">
        <v>1821.0305774510814</v>
      </c>
      <c r="AX21" t="s">
        <v>49</v>
      </c>
      <c r="AY21">
        <v>11076</v>
      </c>
      <c r="AZ21">
        <v>22</v>
      </c>
      <c r="BA21">
        <v>10</v>
      </c>
      <c r="BB21" s="37">
        <v>86.3664856819166</v>
      </c>
      <c r="BC21" s="39">
        <f>BB21-BB17</f>
        <v>15.737047777922001</v>
      </c>
      <c r="BJ21" s="37"/>
      <c r="BK21" s="39"/>
    </row>
    <row r="22" spans="2:63">
      <c r="B22" s="19" t="s">
        <v>96</v>
      </c>
      <c r="I22" t="s">
        <v>55</v>
      </c>
      <c r="J22">
        <v>11074</v>
      </c>
      <c r="K22">
        <v>148</v>
      </c>
      <c r="L22">
        <v>49</v>
      </c>
      <c r="M22" s="37">
        <v>1228.5123195838</v>
      </c>
      <c r="R22" s="20" t="s">
        <v>97</v>
      </c>
      <c r="Y22" s="5">
        <v>45750</v>
      </c>
      <c r="Z22" t="s">
        <v>54</v>
      </c>
      <c r="AA22" t="s">
        <v>49</v>
      </c>
      <c r="AB22">
        <v>11077</v>
      </c>
      <c r="AC22">
        <v>0</v>
      </c>
      <c r="AD22">
        <v>0</v>
      </c>
      <c r="AE22">
        <v>0</v>
      </c>
      <c r="AH22" s="8">
        <v>11073</v>
      </c>
      <c r="AI22" s="9">
        <v>89227.807690444213</v>
      </c>
      <c r="AJ22" s="9">
        <v>4515.9478733286332</v>
      </c>
      <c r="AK22" s="9">
        <v>9661.4791408810543</v>
      </c>
      <c r="AL22" s="9">
        <v>1399.4153180645437</v>
      </c>
      <c r="AN22" s="36">
        <f>(AI22-AI21)/17</f>
        <v>-1170.4837897132195</v>
      </c>
      <c r="AO22" s="36">
        <f>(AJ22-AJ21)/17</f>
        <v>-77.844597684130505</v>
      </c>
      <c r="AP22" s="36">
        <f>(AK22-AK21)/17</f>
        <v>-124.33141589993647</v>
      </c>
      <c r="AQ22" s="36">
        <f>(AL22-AL21)/17</f>
        <v>-24.800897610972804</v>
      </c>
      <c r="AW22" t="s">
        <v>52</v>
      </c>
      <c r="AX22" t="s">
        <v>49</v>
      </c>
      <c r="AY22">
        <v>11077</v>
      </c>
      <c r="AZ22">
        <v>157</v>
      </c>
      <c r="BA22">
        <v>87</v>
      </c>
      <c r="BB22" s="37">
        <v>1507.0082543547901</v>
      </c>
      <c r="BC22" s="39">
        <f>BB22-BB14</f>
        <v>-518.97857953508992</v>
      </c>
      <c r="BJ22" s="37"/>
      <c r="BK22" s="39"/>
    </row>
    <row r="23" spans="2:63">
      <c r="B23" s="20" t="s">
        <v>97</v>
      </c>
      <c r="I23" t="s">
        <v>49</v>
      </c>
      <c r="J23">
        <v>11075</v>
      </c>
      <c r="K23">
        <v>45</v>
      </c>
      <c r="L23">
        <v>8</v>
      </c>
      <c r="M23" s="37">
        <v>61.639437903994597</v>
      </c>
      <c r="R23" s="22" t="s">
        <v>98</v>
      </c>
      <c r="Y23" s="5">
        <v>45750</v>
      </c>
      <c r="Z23" t="s">
        <v>54</v>
      </c>
      <c r="AA23" t="s">
        <v>55</v>
      </c>
      <c r="AB23">
        <v>11072</v>
      </c>
      <c r="AC23">
        <v>99</v>
      </c>
      <c r="AD23">
        <v>30</v>
      </c>
      <c r="AE23">
        <v>455.16696578028899</v>
      </c>
      <c r="AH23" s="8">
        <v>11074</v>
      </c>
      <c r="AI23" s="9">
        <v>87961.307305278824</v>
      </c>
      <c r="AJ23" s="9">
        <v>4459.5129056003998</v>
      </c>
      <c r="AK23" s="9">
        <v>9240.9766586654714</v>
      </c>
      <c r="AL23" s="9">
        <v>1228.5123195838059</v>
      </c>
      <c r="AN23" s="36">
        <f>(AI23-AI21)/17</f>
        <v>-1244.9838123700072</v>
      </c>
      <c r="AO23" s="36">
        <f>(AJ23-AJ21)/17</f>
        <v>-81.164301668144248</v>
      </c>
      <c r="AP23" s="36">
        <f>(AK23-AK21)/17</f>
        <v>-149.06685603026489</v>
      </c>
      <c r="AQ23" s="36">
        <f>(AL23-AL21)/17</f>
        <v>-34.85401516866326</v>
      </c>
      <c r="AW23" t="s">
        <v>53</v>
      </c>
      <c r="AX23" t="s">
        <v>49</v>
      </c>
      <c r="AY23">
        <v>11077</v>
      </c>
      <c r="AZ23">
        <v>83</v>
      </c>
      <c r="BA23">
        <v>40</v>
      </c>
      <c r="BB23" s="37">
        <v>522.69529908942695</v>
      </c>
      <c r="BC23" s="39">
        <f t="shared" ref="BC23:BC25" si="3">BB23-BB15</f>
        <v>167.22066848477198</v>
      </c>
      <c r="BJ23" s="37"/>
      <c r="BK23" s="39"/>
    </row>
    <row r="24" spans="2:63">
      <c r="B24" s="22" t="s">
        <v>98</v>
      </c>
      <c r="I24" t="s">
        <v>49</v>
      </c>
      <c r="J24">
        <v>11076</v>
      </c>
      <c r="K24">
        <v>22</v>
      </c>
      <c r="L24">
        <v>10</v>
      </c>
      <c r="M24" s="37">
        <v>86.3664856819166</v>
      </c>
      <c r="R24" s="21" t="s">
        <v>99</v>
      </c>
      <c r="Y24" s="5">
        <v>45750</v>
      </c>
      <c r="Z24" t="s">
        <v>54</v>
      </c>
      <c r="AA24" t="s">
        <v>55</v>
      </c>
      <c r="AB24">
        <v>11073</v>
      </c>
      <c r="AC24">
        <v>71</v>
      </c>
      <c r="AD24">
        <v>20</v>
      </c>
      <c r="AE24">
        <v>320.791606066692</v>
      </c>
      <c r="AW24" t="s">
        <v>54</v>
      </c>
      <c r="AX24" t="s">
        <v>49</v>
      </c>
      <c r="AY24">
        <v>11077</v>
      </c>
      <c r="AZ24">
        <v>671</v>
      </c>
      <c r="BA24">
        <v>252</v>
      </c>
      <c r="BB24" s="37">
        <v>1456.1532991693</v>
      </c>
      <c r="BC24" s="39">
        <f t="shared" si="3"/>
        <v>-322.21138647439011</v>
      </c>
      <c r="BJ24" s="37"/>
      <c r="BK24" s="39"/>
    </row>
    <row r="25" spans="2:63">
      <c r="B25" s="21" t="s">
        <v>99</v>
      </c>
      <c r="I25" t="s">
        <v>49</v>
      </c>
      <c r="J25">
        <v>11077</v>
      </c>
      <c r="K25">
        <v>34</v>
      </c>
      <c r="L25">
        <v>7</v>
      </c>
      <c r="M25" s="37">
        <v>56.720174253418897</v>
      </c>
      <c r="R25" s="20" t="s">
        <v>100</v>
      </c>
      <c r="Y25" s="5">
        <v>45750</v>
      </c>
      <c r="Z25" t="s">
        <v>54</v>
      </c>
      <c r="AA25" t="s">
        <v>55</v>
      </c>
      <c r="AB25">
        <v>11074</v>
      </c>
      <c r="AC25">
        <v>73</v>
      </c>
      <c r="AD25">
        <v>20</v>
      </c>
      <c r="AE25">
        <v>429.17554478907601</v>
      </c>
      <c r="AH25" t="s">
        <v>220</v>
      </c>
      <c r="AI25" t="s">
        <v>225</v>
      </c>
      <c r="AX25" t="s">
        <v>49</v>
      </c>
      <c r="AY25">
        <v>11077</v>
      </c>
      <c r="AZ25">
        <v>34</v>
      </c>
      <c r="BA25">
        <v>7</v>
      </c>
      <c r="BB25" s="37">
        <v>56.720174253418897</v>
      </c>
      <c r="BC25" s="39">
        <f t="shared" si="3"/>
        <v>-13.909263650575703</v>
      </c>
      <c r="BJ25" s="37"/>
      <c r="BK25" s="39"/>
    </row>
    <row r="26" spans="2:63">
      <c r="B26" s="20" t="s">
        <v>100</v>
      </c>
      <c r="R26" s="20" t="s">
        <v>101</v>
      </c>
      <c r="Y26" s="5">
        <v>45751</v>
      </c>
      <c r="AA26" t="s">
        <v>49</v>
      </c>
      <c r="AB26">
        <v>11075</v>
      </c>
      <c r="AC26">
        <v>0</v>
      </c>
      <c r="AD26">
        <v>0</v>
      </c>
      <c r="AE26">
        <v>0</v>
      </c>
      <c r="AH26" t="s">
        <v>41</v>
      </c>
      <c r="AI26" t="s">
        <v>49</v>
      </c>
    </row>
    <row r="27" spans="2:63">
      <c r="B27" s="20" t="s">
        <v>101</v>
      </c>
      <c r="R27" s="20" t="s">
        <v>102</v>
      </c>
      <c r="Y27" s="5">
        <v>45751</v>
      </c>
      <c r="AA27" t="s">
        <v>49</v>
      </c>
      <c r="AB27">
        <v>11077</v>
      </c>
      <c r="AC27">
        <v>1</v>
      </c>
      <c r="AD27">
        <v>1</v>
      </c>
      <c r="AE27">
        <v>10.9178014438153</v>
      </c>
    </row>
    <row r="28" spans="2:63">
      <c r="B28" s="20" t="s">
        <v>102</v>
      </c>
      <c r="R28" s="23" t="s">
        <v>12</v>
      </c>
      <c r="Y28" s="5">
        <v>45751</v>
      </c>
      <c r="AA28" t="s">
        <v>49</v>
      </c>
      <c r="AB28">
        <v>11076</v>
      </c>
      <c r="AC28">
        <v>0</v>
      </c>
      <c r="AD28">
        <v>0</v>
      </c>
      <c r="AE28">
        <v>0</v>
      </c>
      <c r="AH28" t="s">
        <v>218</v>
      </c>
      <c r="AI28" t="s">
        <v>60</v>
      </c>
    </row>
    <row r="29" spans="2:63">
      <c r="B29" s="23" t="s">
        <v>12</v>
      </c>
      <c r="R29" s="21" t="s">
        <v>103</v>
      </c>
      <c r="Y29" s="5">
        <v>45751</v>
      </c>
      <c r="AA29" t="s">
        <v>55</v>
      </c>
      <c r="AB29">
        <v>11073</v>
      </c>
      <c r="AC29">
        <v>7</v>
      </c>
      <c r="AD29">
        <v>1</v>
      </c>
      <c r="AE29">
        <v>65.754311618332295</v>
      </c>
      <c r="AH29" t="s">
        <v>57</v>
      </c>
      <c r="AI29" t="s">
        <v>52</v>
      </c>
      <c r="AJ29" t="s">
        <v>53</v>
      </c>
      <c r="AK29" t="s">
        <v>54</v>
      </c>
      <c r="AL29" t="s">
        <v>66</v>
      </c>
    </row>
    <row r="30" spans="2:63">
      <c r="B30" s="21" t="s">
        <v>103</v>
      </c>
      <c r="R30" s="20" t="s">
        <v>77</v>
      </c>
      <c r="Y30" s="5">
        <v>45751</v>
      </c>
      <c r="AA30" t="s">
        <v>55</v>
      </c>
      <c r="AB30">
        <v>11072</v>
      </c>
      <c r="AC30">
        <v>10</v>
      </c>
      <c r="AD30">
        <v>2</v>
      </c>
      <c r="AE30">
        <v>85.608358295103898</v>
      </c>
      <c r="AH30" s="8">
        <v>11075</v>
      </c>
      <c r="AI30" s="9">
        <v>1825.2193253496662</v>
      </c>
      <c r="AJ30" s="9">
        <v>355.47463060465458</v>
      </c>
      <c r="AK30" s="9">
        <v>1595.6064517215573</v>
      </c>
      <c r="AL30" s="9">
        <v>59.711636460179207</v>
      </c>
    </row>
    <row r="31" spans="2:63">
      <c r="B31" s="20" t="s">
        <v>77</v>
      </c>
      <c r="R31" s="20" t="s">
        <v>104</v>
      </c>
      <c r="Y31" s="5">
        <v>45751</v>
      </c>
      <c r="AA31" t="s">
        <v>55</v>
      </c>
      <c r="AB31">
        <v>11074</v>
      </c>
      <c r="AC31">
        <v>6</v>
      </c>
      <c r="AD31">
        <v>2</v>
      </c>
      <c r="AE31">
        <v>109.98</v>
      </c>
      <c r="AH31" s="8">
        <v>11076</v>
      </c>
      <c r="AI31" s="9">
        <v>1185.8305168575771</v>
      </c>
      <c r="AJ31" s="9">
        <v>181.4084664874681</v>
      </c>
      <c r="AK31" s="9">
        <v>1155.7542085496138</v>
      </c>
      <c r="AL31" s="9">
        <v>70.945902131530403</v>
      </c>
      <c r="AN31" s="36">
        <f>(AI31-AI30)/14</f>
        <v>-45.670629178006365</v>
      </c>
      <c r="AO31" s="36">
        <f>(AJ31-AJ30)/14</f>
        <v>-12.43329743694189</v>
      </c>
      <c r="AP31" s="36">
        <f>(AK31-AK30)/14</f>
        <v>-31.418017369424529</v>
      </c>
      <c r="AQ31" s="36">
        <f>(AL31-AL30)/14</f>
        <v>0.8024475479536568</v>
      </c>
    </row>
    <row r="32" spans="2:63">
      <c r="B32" s="20" t="s">
        <v>104</v>
      </c>
      <c r="R32" s="20" t="s">
        <v>105</v>
      </c>
      <c r="Y32" s="5">
        <v>45751</v>
      </c>
      <c r="Z32" t="s">
        <v>52</v>
      </c>
      <c r="AA32" t="s">
        <v>49</v>
      </c>
      <c r="AB32">
        <v>11077</v>
      </c>
      <c r="AC32">
        <v>2</v>
      </c>
      <c r="AD32">
        <v>1</v>
      </c>
      <c r="AE32">
        <v>4.99</v>
      </c>
      <c r="AH32" s="8">
        <v>11077</v>
      </c>
      <c r="AI32" s="9">
        <v>1467.4113939941685</v>
      </c>
      <c r="AJ32" s="9">
        <v>500.17080418416117</v>
      </c>
      <c r="AK32" s="9">
        <v>1352.6927261592452</v>
      </c>
      <c r="AL32" s="9">
        <v>45.802372809603433</v>
      </c>
      <c r="AN32" s="36">
        <f>(AI32-AI30)/14</f>
        <v>-25.557709382535545</v>
      </c>
      <c r="AO32" s="36">
        <f>(AJ32-AJ30)/14</f>
        <v>10.335440969964756</v>
      </c>
      <c r="AP32" s="36">
        <f>(AK32-AK30)/14</f>
        <v>-17.350980397308003</v>
      </c>
      <c r="AQ32" s="36">
        <f>(AL32-AL30)/14</f>
        <v>-0.99351883218398385</v>
      </c>
    </row>
    <row r="33" spans="2:31">
      <c r="B33" s="20" t="s">
        <v>105</v>
      </c>
      <c r="R33" s="21" t="s">
        <v>106</v>
      </c>
      <c r="Y33" s="5">
        <v>45751</v>
      </c>
      <c r="Z33" t="s">
        <v>52</v>
      </c>
      <c r="AA33" t="s">
        <v>49</v>
      </c>
      <c r="AB33">
        <v>11076</v>
      </c>
      <c r="AC33">
        <v>0</v>
      </c>
      <c r="AD33">
        <v>0</v>
      </c>
      <c r="AE33">
        <v>0</v>
      </c>
    </row>
    <row r="34" spans="2:31">
      <c r="B34" s="21" t="s">
        <v>106</v>
      </c>
      <c r="R34" s="21" t="s">
        <v>107</v>
      </c>
      <c r="Y34" s="5">
        <v>45751</v>
      </c>
      <c r="Z34" t="s">
        <v>52</v>
      </c>
      <c r="AA34" t="s">
        <v>49</v>
      </c>
      <c r="AB34">
        <v>11075</v>
      </c>
      <c r="AC34">
        <v>4</v>
      </c>
      <c r="AD34">
        <v>0</v>
      </c>
      <c r="AE34">
        <v>0</v>
      </c>
    </row>
    <row r="35" spans="2:31">
      <c r="B35" s="21" t="s">
        <v>107</v>
      </c>
      <c r="R35" s="21" t="s">
        <v>108</v>
      </c>
      <c r="Y35" s="5">
        <v>45751</v>
      </c>
      <c r="Z35" t="s">
        <v>52</v>
      </c>
      <c r="AA35" t="s">
        <v>55</v>
      </c>
      <c r="AB35">
        <v>11074</v>
      </c>
      <c r="AC35">
        <v>294</v>
      </c>
      <c r="AD35">
        <v>85</v>
      </c>
      <c r="AE35">
        <v>3779.5503192657302</v>
      </c>
    </row>
    <row r="36" spans="2:31">
      <c r="B36" s="21" t="s">
        <v>108</v>
      </c>
      <c r="R36" s="21" t="s">
        <v>109</v>
      </c>
      <c r="Y36" s="5">
        <v>45751</v>
      </c>
      <c r="Z36" t="s">
        <v>52</v>
      </c>
      <c r="AA36" t="s">
        <v>55</v>
      </c>
      <c r="AB36">
        <v>11072</v>
      </c>
      <c r="AC36">
        <v>327</v>
      </c>
      <c r="AD36">
        <v>101</v>
      </c>
      <c r="AE36">
        <v>4834.0049915908203</v>
      </c>
    </row>
    <row r="37" spans="2:31">
      <c r="B37" s="21" t="s">
        <v>109</v>
      </c>
      <c r="R37" s="19" t="s">
        <v>86</v>
      </c>
      <c r="Y37" s="5">
        <v>45751</v>
      </c>
      <c r="Z37" t="s">
        <v>52</v>
      </c>
      <c r="AA37" t="s">
        <v>55</v>
      </c>
      <c r="AB37">
        <v>11073</v>
      </c>
      <c r="AC37">
        <v>297</v>
      </c>
      <c r="AD37">
        <v>77</v>
      </c>
      <c r="AE37">
        <v>3631.8290924041398</v>
      </c>
    </row>
    <row r="38" spans="2:31">
      <c r="B38" s="19" t="s">
        <v>86</v>
      </c>
      <c r="R38" s="20" t="s">
        <v>95</v>
      </c>
      <c r="Y38" s="5">
        <v>45751</v>
      </c>
      <c r="Z38" t="s">
        <v>53</v>
      </c>
      <c r="AA38" t="s">
        <v>49</v>
      </c>
      <c r="AB38">
        <v>11075</v>
      </c>
      <c r="AC38">
        <v>1</v>
      </c>
      <c r="AD38">
        <v>0</v>
      </c>
      <c r="AE38">
        <v>0</v>
      </c>
    </row>
    <row r="39" spans="2:31">
      <c r="B39" s="20" t="s">
        <v>95</v>
      </c>
      <c r="R39" s="19" t="s">
        <v>110</v>
      </c>
      <c r="Y39" s="5">
        <v>45751</v>
      </c>
      <c r="Z39" t="s">
        <v>53</v>
      </c>
      <c r="AA39" t="s">
        <v>49</v>
      </c>
      <c r="AB39">
        <v>11076</v>
      </c>
      <c r="AC39">
        <v>0</v>
      </c>
      <c r="AD39">
        <v>0</v>
      </c>
      <c r="AE39">
        <v>0</v>
      </c>
    </row>
    <row r="40" spans="2:31">
      <c r="B40" s="19" t="s">
        <v>110</v>
      </c>
      <c r="R40" s="20" t="s">
        <v>111</v>
      </c>
      <c r="Y40" s="5">
        <v>45751</v>
      </c>
      <c r="Z40" t="s">
        <v>53</v>
      </c>
      <c r="AA40" t="s">
        <v>49</v>
      </c>
      <c r="AB40">
        <v>11077</v>
      </c>
      <c r="AC40">
        <v>0</v>
      </c>
      <c r="AD40">
        <v>0</v>
      </c>
      <c r="AE40">
        <v>0</v>
      </c>
    </row>
    <row r="41" spans="2:31">
      <c r="B41" s="20" t="s">
        <v>111</v>
      </c>
      <c r="R41" s="22" t="s">
        <v>112</v>
      </c>
      <c r="Y41" s="5">
        <v>45751</v>
      </c>
      <c r="Z41" t="s">
        <v>53</v>
      </c>
      <c r="AA41" t="s">
        <v>55</v>
      </c>
      <c r="AB41">
        <v>11073</v>
      </c>
      <c r="AC41">
        <v>28</v>
      </c>
      <c r="AD41">
        <v>6</v>
      </c>
      <c r="AE41">
        <v>174.39617024355601</v>
      </c>
    </row>
    <row r="42" spans="2:31">
      <c r="B42" s="22" t="s">
        <v>112</v>
      </c>
      <c r="R42" s="20" t="s">
        <v>113</v>
      </c>
      <c r="Y42" s="5">
        <v>45751</v>
      </c>
      <c r="Z42" t="s">
        <v>53</v>
      </c>
      <c r="AA42" t="s">
        <v>55</v>
      </c>
      <c r="AB42">
        <v>11074</v>
      </c>
      <c r="AC42">
        <v>40</v>
      </c>
      <c r="AD42">
        <v>5</v>
      </c>
      <c r="AE42">
        <v>99.019187285034405</v>
      </c>
    </row>
    <row r="43" spans="2:31">
      <c r="B43" s="20" t="s">
        <v>113</v>
      </c>
      <c r="R43" s="20" t="s">
        <v>114</v>
      </c>
      <c r="Y43" s="5">
        <v>45751</v>
      </c>
      <c r="Z43" t="s">
        <v>53</v>
      </c>
      <c r="AA43" t="s">
        <v>55</v>
      </c>
      <c r="AB43">
        <v>11072</v>
      </c>
      <c r="AC43">
        <v>50</v>
      </c>
      <c r="AD43">
        <v>7</v>
      </c>
      <c r="AE43">
        <v>226.675954837863</v>
      </c>
    </row>
    <row r="44" spans="2:31">
      <c r="B44" s="20" t="s">
        <v>114</v>
      </c>
      <c r="R44" s="20" t="s">
        <v>101</v>
      </c>
      <c r="Y44" s="5">
        <v>45751</v>
      </c>
      <c r="Z44" t="s">
        <v>54</v>
      </c>
      <c r="AA44" t="s">
        <v>49</v>
      </c>
      <c r="AB44">
        <v>11076</v>
      </c>
      <c r="AC44">
        <v>7</v>
      </c>
      <c r="AD44">
        <v>3</v>
      </c>
      <c r="AE44">
        <v>17.565368894285299</v>
      </c>
    </row>
    <row r="45" spans="2:31">
      <c r="B45" s="20" t="s">
        <v>101</v>
      </c>
      <c r="R45" s="23" t="s">
        <v>115</v>
      </c>
      <c r="Y45" s="5">
        <v>45751</v>
      </c>
      <c r="Z45" t="s">
        <v>54</v>
      </c>
      <c r="AA45" t="s">
        <v>49</v>
      </c>
      <c r="AB45">
        <v>11075</v>
      </c>
      <c r="AC45">
        <v>15</v>
      </c>
      <c r="AD45">
        <v>3</v>
      </c>
      <c r="AE45">
        <v>20.843417096728999</v>
      </c>
    </row>
    <row r="46" spans="2:31">
      <c r="B46" s="23" t="s">
        <v>115</v>
      </c>
      <c r="Y46" s="5">
        <v>45751</v>
      </c>
      <c r="Z46" t="s">
        <v>54</v>
      </c>
      <c r="AA46" t="s">
        <v>49</v>
      </c>
      <c r="AB46">
        <v>11077</v>
      </c>
      <c r="AC46">
        <v>9</v>
      </c>
      <c r="AD46">
        <v>2</v>
      </c>
      <c r="AE46">
        <v>10.0920834688058</v>
      </c>
    </row>
    <row r="47" spans="2:31">
      <c r="R47" s="21" t="s">
        <v>116</v>
      </c>
      <c r="Y47" s="5">
        <v>45751</v>
      </c>
      <c r="Z47" t="s">
        <v>54</v>
      </c>
      <c r="AA47" t="s">
        <v>55</v>
      </c>
      <c r="AB47">
        <v>11072</v>
      </c>
      <c r="AC47">
        <v>124</v>
      </c>
      <c r="AD47">
        <v>37</v>
      </c>
      <c r="AE47">
        <v>560.91900942929203</v>
      </c>
    </row>
    <row r="48" spans="2:31">
      <c r="B48" s="21" t="s">
        <v>116</v>
      </c>
      <c r="R48" s="20" t="s">
        <v>77</v>
      </c>
      <c r="Y48" s="5">
        <v>45751</v>
      </c>
      <c r="Z48" t="s">
        <v>54</v>
      </c>
      <c r="AA48" t="s">
        <v>55</v>
      </c>
      <c r="AB48">
        <v>11073</v>
      </c>
      <c r="AC48">
        <v>69</v>
      </c>
      <c r="AD48">
        <v>14</v>
      </c>
      <c r="AE48">
        <v>191.21205341738701</v>
      </c>
    </row>
    <row r="49" spans="2:31">
      <c r="B49" s="20" t="s">
        <v>77</v>
      </c>
      <c r="R49" s="20" t="s">
        <v>117</v>
      </c>
      <c r="Y49" s="5">
        <v>45751</v>
      </c>
      <c r="Z49" t="s">
        <v>54</v>
      </c>
      <c r="AA49" t="s">
        <v>55</v>
      </c>
      <c r="AB49">
        <v>11074</v>
      </c>
      <c r="AC49">
        <v>73</v>
      </c>
      <c r="AD49">
        <v>27</v>
      </c>
      <c r="AE49">
        <v>392.82801033691101</v>
      </c>
    </row>
    <row r="50" spans="2:31">
      <c r="B50" s="20" t="s">
        <v>117</v>
      </c>
      <c r="R50" s="20" t="s">
        <v>118</v>
      </c>
      <c r="Y50" s="5">
        <v>45752</v>
      </c>
      <c r="AA50" t="s">
        <v>49</v>
      </c>
      <c r="AB50">
        <v>11077</v>
      </c>
      <c r="AC50">
        <v>1</v>
      </c>
      <c r="AD50">
        <v>0</v>
      </c>
      <c r="AE50">
        <v>0</v>
      </c>
    </row>
    <row r="51" spans="2:31">
      <c r="B51" s="20" t="s">
        <v>118</v>
      </c>
      <c r="R51" s="23" t="s">
        <v>119</v>
      </c>
      <c r="Y51" s="5">
        <v>45752</v>
      </c>
      <c r="AA51" t="s">
        <v>49</v>
      </c>
      <c r="AB51">
        <v>11075</v>
      </c>
      <c r="AC51">
        <v>3</v>
      </c>
      <c r="AD51">
        <v>1</v>
      </c>
      <c r="AE51">
        <v>10.9178014438153</v>
      </c>
    </row>
    <row r="52" spans="2:31">
      <c r="B52" s="23" t="s">
        <v>119</v>
      </c>
      <c r="R52" s="20" t="s">
        <v>120</v>
      </c>
      <c r="Y52" s="5">
        <v>45752</v>
      </c>
      <c r="AA52" t="s">
        <v>49</v>
      </c>
      <c r="AB52">
        <v>11076</v>
      </c>
      <c r="AC52">
        <v>2</v>
      </c>
      <c r="AD52">
        <v>1</v>
      </c>
      <c r="AE52">
        <v>15.420583550386</v>
      </c>
    </row>
    <row r="53" spans="2:31">
      <c r="B53" s="20" t="s">
        <v>120</v>
      </c>
      <c r="R53" s="23" t="s">
        <v>121</v>
      </c>
      <c r="Y53" s="5">
        <v>45752</v>
      </c>
      <c r="AA53" t="s">
        <v>55</v>
      </c>
      <c r="AB53">
        <v>11074</v>
      </c>
      <c r="AC53">
        <v>8</v>
      </c>
      <c r="AD53">
        <v>2</v>
      </c>
      <c r="AE53">
        <v>44.702636126527999</v>
      </c>
    </row>
    <row r="54" spans="2:31">
      <c r="B54" s="23" t="s">
        <v>121</v>
      </c>
      <c r="R54" s="20" t="s">
        <v>122</v>
      </c>
      <c r="Y54" s="5">
        <v>45752</v>
      </c>
      <c r="AA54" t="s">
        <v>55</v>
      </c>
      <c r="AB54">
        <v>11073</v>
      </c>
      <c r="AC54">
        <v>11</v>
      </c>
      <c r="AD54">
        <v>4</v>
      </c>
      <c r="AE54">
        <v>113.57296113963299</v>
      </c>
    </row>
    <row r="55" spans="2:31">
      <c r="B55" s="20" t="s">
        <v>122</v>
      </c>
      <c r="R55" s="20" t="s">
        <v>123</v>
      </c>
      <c r="Y55" s="5">
        <v>45752</v>
      </c>
      <c r="AA55" t="s">
        <v>55</v>
      </c>
      <c r="AB55">
        <v>11072</v>
      </c>
      <c r="AC55">
        <v>6</v>
      </c>
      <c r="AD55">
        <v>3</v>
      </c>
      <c r="AE55">
        <v>44.650717787865403</v>
      </c>
    </row>
    <row r="56" spans="2:31">
      <c r="B56" s="20" t="s">
        <v>123</v>
      </c>
      <c r="R56" s="20" t="s">
        <v>124</v>
      </c>
      <c r="Y56" s="5">
        <v>45752</v>
      </c>
      <c r="Z56" t="s">
        <v>52</v>
      </c>
      <c r="AA56" t="s">
        <v>49</v>
      </c>
      <c r="AB56">
        <v>11075</v>
      </c>
      <c r="AC56">
        <v>5</v>
      </c>
      <c r="AD56">
        <v>3</v>
      </c>
      <c r="AE56">
        <v>75.124574575229005</v>
      </c>
    </row>
    <row r="57" spans="2:31">
      <c r="B57" s="20" t="s">
        <v>124</v>
      </c>
      <c r="R57" s="23" t="s">
        <v>12</v>
      </c>
      <c r="Y57" s="5">
        <v>45752</v>
      </c>
      <c r="Z57" t="s">
        <v>52</v>
      </c>
      <c r="AA57" t="s">
        <v>49</v>
      </c>
      <c r="AB57">
        <v>11076</v>
      </c>
      <c r="AC57">
        <v>1</v>
      </c>
      <c r="AD57">
        <v>1</v>
      </c>
      <c r="AE57">
        <v>31.791031044810602</v>
      </c>
    </row>
    <row r="58" spans="2:31">
      <c r="B58" s="23" t="s">
        <v>12</v>
      </c>
      <c r="R58" s="21" t="s">
        <v>125</v>
      </c>
      <c r="Y58" s="5">
        <v>45752</v>
      </c>
      <c r="Z58" t="s">
        <v>52</v>
      </c>
      <c r="AA58" t="s">
        <v>49</v>
      </c>
      <c r="AB58">
        <v>11077</v>
      </c>
      <c r="AC58">
        <v>2</v>
      </c>
      <c r="AD58">
        <v>1</v>
      </c>
      <c r="AE58">
        <v>6.0168603606170699</v>
      </c>
    </row>
    <row r="59" spans="2:31">
      <c r="B59" s="21" t="s">
        <v>125</v>
      </c>
      <c r="R59" s="20" t="s">
        <v>126</v>
      </c>
      <c r="Y59" s="5">
        <v>45752</v>
      </c>
      <c r="Z59" t="s">
        <v>52</v>
      </c>
      <c r="AA59" t="s">
        <v>55</v>
      </c>
      <c r="AB59">
        <v>11074</v>
      </c>
      <c r="AC59">
        <v>304</v>
      </c>
      <c r="AD59">
        <v>84</v>
      </c>
      <c r="AE59">
        <v>3615.5757823621202</v>
      </c>
    </row>
    <row r="60" spans="2:31">
      <c r="B60" s="20" t="s">
        <v>126</v>
      </c>
      <c r="R60" s="22" t="s">
        <v>127</v>
      </c>
      <c r="Y60" s="5">
        <v>45752</v>
      </c>
      <c r="Z60" t="s">
        <v>52</v>
      </c>
      <c r="AA60" t="s">
        <v>55</v>
      </c>
      <c r="AB60">
        <v>11072</v>
      </c>
      <c r="AC60">
        <v>379</v>
      </c>
      <c r="AD60">
        <v>111</v>
      </c>
      <c r="AE60">
        <v>4528.3668579283103</v>
      </c>
    </row>
    <row r="61" spans="2:31">
      <c r="B61" s="22" t="s">
        <v>127</v>
      </c>
      <c r="R61" s="21" t="s">
        <v>128</v>
      </c>
      <c r="Y61" s="5">
        <v>45752</v>
      </c>
      <c r="Z61" t="s">
        <v>52</v>
      </c>
      <c r="AA61" t="s">
        <v>55</v>
      </c>
      <c r="AB61">
        <v>11073</v>
      </c>
      <c r="AC61">
        <v>320</v>
      </c>
      <c r="AD61">
        <v>104</v>
      </c>
      <c r="AE61">
        <v>4906.9884627862002</v>
      </c>
    </row>
    <row r="62" spans="2:31">
      <c r="B62" s="21" t="s">
        <v>128</v>
      </c>
      <c r="R62" s="21" t="s">
        <v>129</v>
      </c>
      <c r="Y62" s="5">
        <v>45752</v>
      </c>
      <c r="Z62" t="s">
        <v>53</v>
      </c>
      <c r="AA62" t="s">
        <v>49</v>
      </c>
      <c r="AB62">
        <v>11077</v>
      </c>
      <c r="AC62">
        <v>0</v>
      </c>
      <c r="AD62">
        <v>0</v>
      </c>
      <c r="AE62">
        <v>0</v>
      </c>
    </row>
    <row r="63" spans="2:31">
      <c r="B63" s="21" t="s">
        <v>129</v>
      </c>
      <c r="R63" s="20" t="s">
        <v>130</v>
      </c>
      <c r="Y63" s="5">
        <v>45752</v>
      </c>
      <c r="Z63" t="s">
        <v>53</v>
      </c>
      <c r="AA63" t="s">
        <v>49</v>
      </c>
      <c r="AB63">
        <v>11075</v>
      </c>
      <c r="AC63">
        <v>2</v>
      </c>
      <c r="AD63">
        <v>0</v>
      </c>
      <c r="AE63">
        <v>0</v>
      </c>
    </row>
    <row r="64" spans="2:31">
      <c r="B64" s="20" t="s">
        <v>242</v>
      </c>
      <c r="R64" s="20" t="s">
        <v>131</v>
      </c>
      <c r="Y64" s="5">
        <v>45752</v>
      </c>
      <c r="Z64" t="s">
        <v>53</v>
      </c>
      <c r="AA64" t="s">
        <v>49</v>
      </c>
      <c r="AB64">
        <v>11076</v>
      </c>
      <c r="AC64">
        <v>0</v>
      </c>
      <c r="AD64">
        <v>0</v>
      </c>
      <c r="AE64">
        <v>0</v>
      </c>
    </row>
    <row r="65" spans="2:31">
      <c r="B65" s="20" t="s">
        <v>131</v>
      </c>
      <c r="R65" s="20" t="s">
        <v>132</v>
      </c>
      <c r="Y65" s="5">
        <v>45752</v>
      </c>
      <c r="Z65" t="s">
        <v>53</v>
      </c>
      <c r="AA65" t="s">
        <v>55</v>
      </c>
      <c r="AB65">
        <v>11074</v>
      </c>
      <c r="AC65">
        <v>44</v>
      </c>
      <c r="AD65">
        <v>9</v>
      </c>
      <c r="AE65">
        <v>251.18449446617601</v>
      </c>
    </row>
    <row r="66" spans="2:31">
      <c r="B66" s="20" t="s">
        <v>132</v>
      </c>
      <c r="R66" s="20" t="s">
        <v>133</v>
      </c>
      <c r="Y66" s="5">
        <v>45752</v>
      </c>
      <c r="Z66" t="s">
        <v>53</v>
      </c>
      <c r="AA66" t="s">
        <v>55</v>
      </c>
      <c r="AB66">
        <v>11072</v>
      </c>
      <c r="AC66">
        <v>47</v>
      </c>
      <c r="AD66">
        <v>11</v>
      </c>
      <c r="AE66">
        <v>241.34597543006399</v>
      </c>
    </row>
    <row r="67" spans="2:31">
      <c r="B67" s="20" t="s">
        <v>133</v>
      </c>
      <c r="R67" s="23" t="s">
        <v>12</v>
      </c>
      <c r="Y67" s="5">
        <v>45752</v>
      </c>
      <c r="Z67" t="s">
        <v>53</v>
      </c>
      <c r="AA67" t="s">
        <v>55</v>
      </c>
      <c r="AB67">
        <v>11073</v>
      </c>
      <c r="AC67">
        <v>47</v>
      </c>
      <c r="AD67">
        <v>8</v>
      </c>
      <c r="AE67">
        <v>267.86795852193802</v>
      </c>
    </row>
    <row r="68" spans="2:31">
      <c r="B68" s="23" t="s">
        <v>12</v>
      </c>
      <c r="R68" s="20" t="s">
        <v>77</v>
      </c>
      <c r="Y68" s="5">
        <v>45752</v>
      </c>
      <c r="Z68" t="s">
        <v>54</v>
      </c>
      <c r="AA68" t="s">
        <v>49</v>
      </c>
      <c r="AB68">
        <v>11075</v>
      </c>
      <c r="AC68">
        <v>19</v>
      </c>
      <c r="AD68">
        <v>7</v>
      </c>
      <c r="AE68">
        <v>68.975649129258898</v>
      </c>
    </row>
    <row r="69" spans="2:31">
      <c r="B69" s="20" t="s">
        <v>77</v>
      </c>
      <c r="R69" s="22" t="s">
        <v>215</v>
      </c>
      <c r="Y69" s="5">
        <v>45752</v>
      </c>
      <c r="Z69" t="s">
        <v>54</v>
      </c>
      <c r="AA69" t="s">
        <v>49</v>
      </c>
      <c r="AB69">
        <v>11076</v>
      </c>
      <c r="AC69">
        <v>3</v>
      </c>
      <c r="AD69">
        <v>0</v>
      </c>
      <c r="AE69">
        <v>0</v>
      </c>
    </row>
    <row r="70" spans="2:31">
      <c r="B70" s="22" t="s">
        <v>134</v>
      </c>
      <c r="R70" s="21" t="s">
        <v>135</v>
      </c>
      <c r="Y70" s="5">
        <v>45752</v>
      </c>
      <c r="Z70" t="s">
        <v>54</v>
      </c>
      <c r="AA70" t="s">
        <v>49</v>
      </c>
      <c r="AB70">
        <v>11077</v>
      </c>
      <c r="AC70">
        <v>17</v>
      </c>
      <c r="AD70">
        <v>9</v>
      </c>
      <c r="AE70">
        <v>48.637337187173301</v>
      </c>
    </row>
    <row r="71" spans="2:31">
      <c r="B71" s="21" t="s">
        <v>135</v>
      </c>
      <c r="R71" s="21" t="s">
        <v>136</v>
      </c>
      <c r="Y71" s="5">
        <v>45752</v>
      </c>
      <c r="Z71" t="s">
        <v>54</v>
      </c>
      <c r="AA71" t="s">
        <v>55</v>
      </c>
      <c r="AB71">
        <v>11072</v>
      </c>
      <c r="AC71">
        <v>123</v>
      </c>
      <c r="AD71">
        <v>39</v>
      </c>
      <c r="AE71">
        <v>539.49402006639696</v>
      </c>
    </row>
    <row r="72" spans="2:31">
      <c r="B72" s="21" t="s">
        <v>136</v>
      </c>
      <c r="R72" s="20" t="s">
        <v>137</v>
      </c>
      <c r="Y72" s="5">
        <v>45752</v>
      </c>
      <c r="Z72" t="s">
        <v>54</v>
      </c>
      <c r="AA72" t="s">
        <v>55</v>
      </c>
      <c r="AB72">
        <v>11073</v>
      </c>
      <c r="AC72">
        <v>84</v>
      </c>
      <c r="AD72">
        <v>31</v>
      </c>
      <c r="AE72">
        <v>439.06750027183102</v>
      </c>
    </row>
    <row r="73" spans="2:31">
      <c r="B73" s="20" t="s">
        <v>137</v>
      </c>
      <c r="R73" s="21" t="s">
        <v>138</v>
      </c>
      <c r="Y73" s="5">
        <v>45752</v>
      </c>
      <c r="Z73" t="s">
        <v>54</v>
      </c>
      <c r="AA73" t="s">
        <v>55</v>
      </c>
      <c r="AB73">
        <v>11074</v>
      </c>
      <c r="AC73">
        <v>95</v>
      </c>
      <c r="AD73">
        <v>27</v>
      </c>
      <c r="AE73">
        <v>345.39807533100497</v>
      </c>
    </row>
    <row r="74" spans="2:31">
      <c r="B74" s="21" t="s">
        <v>138</v>
      </c>
      <c r="R74" s="20" t="s">
        <v>139</v>
      </c>
      <c r="Y74" s="5">
        <v>45753</v>
      </c>
      <c r="AA74" t="s">
        <v>49</v>
      </c>
      <c r="AB74">
        <v>11076</v>
      </c>
      <c r="AC74">
        <v>0</v>
      </c>
      <c r="AD74">
        <v>0</v>
      </c>
      <c r="AE74">
        <v>0</v>
      </c>
    </row>
    <row r="75" spans="2:31">
      <c r="B75" s="20" t="s">
        <v>139</v>
      </c>
      <c r="R75" s="20" t="s">
        <v>140</v>
      </c>
      <c r="Y75" s="5">
        <v>45753</v>
      </c>
      <c r="AA75" t="s">
        <v>49</v>
      </c>
      <c r="AB75">
        <v>11077</v>
      </c>
      <c r="AC75">
        <v>1</v>
      </c>
      <c r="AD75">
        <v>0</v>
      </c>
      <c r="AE75">
        <v>0</v>
      </c>
    </row>
    <row r="76" spans="2:31">
      <c r="B76" s="20" t="s">
        <v>140</v>
      </c>
      <c r="Y76" s="5">
        <v>45753</v>
      </c>
      <c r="AA76" t="s">
        <v>49</v>
      </c>
      <c r="AB76">
        <v>11075</v>
      </c>
      <c r="AC76">
        <v>7</v>
      </c>
      <c r="AD76">
        <v>0</v>
      </c>
      <c r="AE76">
        <v>0</v>
      </c>
    </row>
    <row r="77" spans="2:31">
      <c r="Y77" s="5">
        <v>45753</v>
      </c>
      <c r="AA77" t="s">
        <v>55</v>
      </c>
      <c r="AB77">
        <v>11072</v>
      </c>
      <c r="AC77">
        <v>9</v>
      </c>
      <c r="AD77">
        <v>4</v>
      </c>
      <c r="AE77">
        <v>71.534429733250604</v>
      </c>
    </row>
    <row r="78" spans="2:31">
      <c r="R78" s="20" t="s">
        <v>141</v>
      </c>
      <c r="Y78" s="5">
        <v>45753</v>
      </c>
      <c r="AA78" t="s">
        <v>55</v>
      </c>
      <c r="AB78">
        <v>11073</v>
      </c>
      <c r="AC78">
        <v>10</v>
      </c>
      <c r="AD78">
        <v>4</v>
      </c>
      <c r="AE78">
        <v>172.93376420720301</v>
      </c>
    </row>
    <row r="79" spans="2:31">
      <c r="B79" s="20" t="s">
        <v>141</v>
      </c>
      <c r="R79" s="20" t="s">
        <v>142</v>
      </c>
      <c r="Y79" s="5">
        <v>45753</v>
      </c>
      <c r="AA79" t="s">
        <v>55</v>
      </c>
      <c r="AB79">
        <v>11074</v>
      </c>
      <c r="AC79">
        <v>7</v>
      </c>
      <c r="AD79">
        <v>3</v>
      </c>
      <c r="AE79">
        <v>56.837202024329898</v>
      </c>
    </row>
    <row r="80" spans="2:31">
      <c r="B80" s="20" t="s">
        <v>142</v>
      </c>
      <c r="R80" s="23" t="s">
        <v>143</v>
      </c>
      <c r="Y80" s="5">
        <v>45753</v>
      </c>
      <c r="Z80" t="s">
        <v>52</v>
      </c>
      <c r="AA80" t="s">
        <v>49</v>
      </c>
      <c r="AB80">
        <v>11076</v>
      </c>
      <c r="AC80">
        <v>1</v>
      </c>
      <c r="AD80">
        <v>0</v>
      </c>
      <c r="AE80">
        <v>0</v>
      </c>
    </row>
    <row r="81" spans="2:31">
      <c r="B81" s="23" t="s">
        <v>143</v>
      </c>
      <c r="R81" s="20" t="s">
        <v>144</v>
      </c>
      <c r="Y81" s="5">
        <v>45753</v>
      </c>
      <c r="Z81" t="s">
        <v>52</v>
      </c>
      <c r="AA81" t="s">
        <v>49</v>
      </c>
      <c r="AB81">
        <v>11077</v>
      </c>
      <c r="AC81">
        <v>3</v>
      </c>
      <c r="AD81">
        <v>1</v>
      </c>
      <c r="AE81">
        <v>28.59</v>
      </c>
    </row>
    <row r="82" spans="2:31">
      <c r="B82" s="20" t="s">
        <v>144</v>
      </c>
      <c r="R82" s="21" t="s">
        <v>145</v>
      </c>
      <c r="Y82" s="5">
        <v>45753</v>
      </c>
      <c r="Z82" t="s">
        <v>52</v>
      </c>
      <c r="AA82" t="s">
        <v>49</v>
      </c>
      <c r="AB82">
        <v>11075</v>
      </c>
      <c r="AC82">
        <v>11</v>
      </c>
      <c r="AD82">
        <v>7</v>
      </c>
      <c r="AE82">
        <v>125.642933964985</v>
      </c>
    </row>
    <row r="83" spans="2:31">
      <c r="B83" s="21" t="s">
        <v>145</v>
      </c>
      <c r="R83" s="21" t="s">
        <v>146</v>
      </c>
      <c r="Y83" s="5">
        <v>45753</v>
      </c>
      <c r="Z83" t="s">
        <v>52</v>
      </c>
      <c r="AA83" t="s">
        <v>55</v>
      </c>
      <c r="AB83">
        <v>11072</v>
      </c>
      <c r="AC83">
        <v>547</v>
      </c>
      <c r="AD83">
        <v>168</v>
      </c>
      <c r="AE83">
        <v>7217.6267127966503</v>
      </c>
    </row>
    <row r="84" spans="2:31">
      <c r="B84" s="21" t="s">
        <v>146</v>
      </c>
      <c r="R84" s="21" t="s">
        <v>147</v>
      </c>
      <c r="Y84" s="5">
        <v>45753</v>
      </c>
      <c r="Z84" t="s">
        <v>52</v>
      </c>
      <c r="AA84" t="s">
        <v>55</v>
      </c>
      <c r="AB84">
        <v>11074</v>
      </c>
      <c r="AC84">
        <v>453</v>
      </c>
      <c r="AD84">
        <v>133</v>
      </c>
      <c r="AE84">
        <v>6042.3837318888</v>
      </c>
    </row>
    <row r="85" spans="2:31">
      <c r="B85" s="21" t="s">
        <v>147</v>
      </c>
      <c r="R85" s="20" t="s">
        <v>148</v>
      </c>
      <c r="Y85" s="5">
        <v>45753</v>
      </c>
      <c r="Z85" t="s">
        <v>52</v>
      </c>
      <c r="AA85" t="s">
        <v>55</v>
      </c>
      <c r="AB85">
        <v>11073</v>
      </c>
      <c r="AC85">
        <v>424</v>
      </c>
      <c r="AD85">
        <v>119</v>
      </c>
      <c r="AE85">
        <v>5660.6565559331702</v>
      </c>
    </row>
    <row r="86" spans="2:31">
      <c r="B86" s="20" t="s">
        <v>148</v>
      </c>
      <c r="R86" s="23" t="s">
        <v>149</v>
      </c>
      <c r="Y86" s="5">
        <v>45753</v>
      </c>
      <c r="Z86" t="s">
        <v>53</v>
      </c>
      <c r="AA86" t="s">
        <v>49</v>
      </c>
      <c r="AB86">
        <v>11076</v>
      </c>
      <c r="AC86">
        <v>1</v>
      </c>
      <c r="AD86">
        <v>0</v>
      </c>
      <c r="AE86">
        <v>0</v>
      </c>
    </row>
    <row r="87" spans="2:31">
      <c r="B87" s="23" t="s">
        <v>149</v>
      </c>
      <c r="R87" s="20" t="s">
        <v>77</v>
      </c>
      <c r="Y87" s="5">
        <v>45753</v>
      </c>
      <c r="Z87" t="s">
        <v>53</v>
      </c>
      <c r="AA87" t="s">
        <v>49</v>
      </c>
      <c r="AB87">
        <v>11077</v>
      </c>
      <c r="AC87">
        <v>1</v>
      </c>
      <c r="AD87">
        <v>1</v>
      </c>
      <c r="AE87">
        <v>22.524494905265701</v>
      </c>
    </row>
    <row r="88" spans="2:31">
      <c r="B88" s="20" t="s">
        <v>77</v>
      </c>
      <c r="R88" s="23" t="s">
        <v>150</v>
      </c>
      <c r="Y88" s="5">
        <v>45753</v>
      </c>
      <c r="Z88" t="s">
        <v>53</v>
      </c>
      <c r="AA88" t="s">
        <v>49</v>
      </c>
      <c r="AB88">
        <v>11075</v>
      </c>
      <c r="AC88">
        <v>0</v>
      </c>
      <c r="AD88">
        <v>0</v>
      </c>
      <c r="AE88">
        <v>0</v>
      </c>
    </row>
    <row r="89" spans="2:31">
      <c r="B89" s="23" t="s">
        <v>150</v>
      </c>
      <c r="R89" s="20" t="s">
        <v>151</v>
      </c>
      <c r="Y89" s="5">
        <v>45753</v>
      </c>
      <c r="Z89" t="s">
        <v>53</v>
      </c>
      <c r="AA89" t="s">
        <v>55</v>
      </c>
      <c r="AB89">
        <v>11073</v>
      </c>
      <c r="AC89">
        <v>45</v>
      </c>
      <c r="AD89">
        <v>8</v>
      </c>
      <c r="AE89">
        <v>361.29101397616199</v>
      </c>
    </row>
    <row r="90" spans="2:31">
      <c r="B90" s="20" t="s">
        <v>151</v>
      </c>
      <c r="R90" s="20" t="s">
        <v>152</v>
      </c>
      <c r="Y90" s="5">
        <v>45753</v>
      </c>
      <c r="Z90" t="s">
        <v>53</v>
      </c>
      <c r="AA90" t="s">
        <v>55</v>
      </c>
      <c r="AB90">
        <v>11072</v>
      </c>
      <c r="AC90">
        <v>51</v>
      </c>
      <c r="AD90">
        <v>14</v>
      </c>
      <c r="AE90">
        <v>374.10730434495503</v>
      </c>
    </row>
    <row r="91" spans="2:31">
      <c r="B91" s="20" t="s">
        <v>152</v>
      </c>
      <c r="R91" s="23" t="s">
        <v>153</v>
      </c>
      <c r="Y91" s="5">
        <v>45753</v>
      </c>
      <c r="Z91" t="s">
        <v>53</v>
      </c>
      <c r="AA91" t="s">
        <v>55</v>
      </c>
      <c r="AB91">
        <v>11074</v>
      </c>
      <c r="AC91">
        <v>54</v>
      </c>
      <c r="AD91">
        <v>11</v>
      </c>
      <c r="AE91">
        <v>259.13295311868802</v>
      </c>
    </row>
    <row r="92" spans="2:31">
      <c r="B92" s="23" t="s">
        <v>153</v>
      </c>
      <c r="R92" s="20" t="s">
        <v>154</v>
      </c>
      <c r="Y92" s="5">
        <v>45753</v>
      </c>
      <c r="Z92" t="s">
        <v>54</v>
      </c>
      <c r="AA92" t="s">
        <v>49</v>
      </c>
      <c r="AB92">
        <v>11076</v>
      </c>
      <c r="AC92">
        <v>9</v>
      </c>
      <c r="AD92">
        <v>5</v>
      </c>
      <c r="AE92">
        <v>27.5657683230835</v>
      </c>
    </row>
    <row r="93" spans="2:31">
      <c r="B93" s="20" t="s">
        <v>154</v>
      </c>
      <c r="R93" s="23" t="s">
        <v>155</v>
      </c>
      <c r="Y93" s="5">
        <v>45753</v>
      </c>
      <c r="Z93" t="s">
        <v>54</v>
      </c>
      <c r="AA93" t="s">
        <v>49</v>
      </c>
      <c r="AB93">
        <v>11075</v>
      </c>
      <c r="AC93">
        <v>35</v>
      </c>
      <c r="AD93">
        <v>17</v>
      </c>
      <c r="AE93">
        <v>92.939167696147194</v>
      </c>
    </row>
    <row r="94" spans="2:31">
      <c r="B94" s="23" t="s">
        <v>155</v>
      </c>
      <c r="R94" s="20" t="s">
        <v>216</v>
      </c>
      <c r="Y94" s="5">
        <v>45753</v>
      </c>
      <c r="Z94" t="s">
        <v>54</v>
      </c>
      <c r="AA94" t="s">
        <v>49</v>
      </c>
      <c r="AB94">
        <v>11077</v>
      </c>
      <c r="AC94">
        <v>15</v>
      </c>
      <c r="AD94">
        <v>5</v>
      </c>
      <c r="AE94">
        <v>44.731152354080997</v>
      </c>
    </row>
    <row r="95" spans="2:31">
      <c r="B95" s="20" t="s">
        <v>156</v>
      </c>
      <c r="R95" s="20" t="s">
        <v>157</v>
      </c>
      <c r="Y95" s="5">
        <v>45753</v>
      </c>
      <c r="Z95" t="s">
        <v>54</v>
      </c>
      <c r="AA95" t="s">
        <v>55</v>
      </c>
      <c r="AB95">
        <v>11074</v>
      </c>
      <c r="AC95">
        <v>118</v>
      </c>
      <c r="AD95">
        <v>40</v>
      </c>
      <c r="AE95">
        <v>617.03026639165103</v>
      </c>
    </row>
    <row r="96" spans="2:31">
      <c r="B96" s="20" t="s">
        <v>157</v>
      </c>
      <c r="Y96" s="5">
        <v>45753</v>
      </c>
      <c r="Z96" t="s">
        <v>54</v>
      </c>
      <c r="AA96" t="s">
        <v>55</v>
      </c>
      <c r="AB96">
        <v>11073</v>
      </c>
      <c r="AC96">
        <v>106</v>
      </c>
      <c r="AD96">
        <v>27</v>
      </c>
      <c r="AE96">
        <v>364.73022425079802</v>
      </c>
    </row>
    <row r="97" spans="25:31">
      <c r="Y97" s="5">
        <v>45753</v>
      </c>
      <c r="Z97" t="s">
        <v>54</v>
      </c>
      <c r="AA97" t="s">
        <v>55</v>
      </c>
      <c r="AB97">
        <v>11072</v>
      </c>
      <c r="AC97">
        <v>142</v>
      </c>
      <c r="AD97">
        <v>41</v>
      </c>
      <c r="AE97">
        <v>577.23309446608505</v>
      </c>
    </row>
    <row r="98" spans="25:31">
      <c r="Y98" s="5">
        <v>45754</v>
      </c>
      <c r="AA98" t="s">
        <v>49</v>
      </c>
      <c r="AB98">
        <v>11077</v>
      </c>
      <c r="AC98">
        <v>3</v>
      </c>
      <c r="AD98">
        <v>0</v>
      </c>
      <c r="AE98">
        <v>0</v>
      </c>
    </row>
    <row r="99" spans="25:31">
      <c r="Y99" s="5">
        <v>45754</v>
      </c>
      <c r="AA99" t="s">
        <v>49</v>
      </c>
      <c r="AB99">
        <v>11075</v>
      </c>
      <c r="AC99">
        <v>3</v>
      </c>
      <c r="AD99">
        <v>0</v>
      </c>
      <c r="AE99">
        <v>0</v>
      </c>
    </row>
    <row r="100" spans="25:31">
      <c r="Y100" s="5">
        <v>45754</v>
      </c>
      <c r="AA100" t="s">
        <v>49</v>
      </c>
      <c r="AB100">
        <v>11076</v>
      </c>
      <c r="AC100">
        <v>4</v>
      </c>
      <c r="AD100">
        <v>3</v>
      </c>
      <c r="AE100">
        <v>22.878174694733001</v>
      </c>
    </row>
    <row r="101" spans="25:31">
      <c r="Y101" s="5">
        <v>45754</v>
      </c>
      <c r="AA101" t="s">
        <v>55</v>
      </c>
      <c r="AB101">
        <v>11072</v>
      </c>
      <c r="AC101">
        <v>6</v>
      </c>
      <c r="AD101">
        <v>6</v>
      </c>
      <c r="AE101">
        <v>141.07043115563201</v>
      </c>
    </row>
    <row r="102" spans="25:31">
      <c r="Y102" s="5">
        <v>45754</v>
      </c>
      <c r="AA102" t="s">
        <v>55</v>
      </c>
      <c r="AB102">
        <v>11074</v>
      </c>
      <c r="AC102">
        <v>12</v>
      </c>
      <c r="AD102">
        <v>3</v>
      </c>
      <c r="AE102">
        <v>29.005703910340799</v>
      </c>
    </row>
    <row r="103" spans="25:31">
      <c r="Y103" s="5">
        <v>45754</v>
      </c>
      <c r="AA103" t="s">
        <v>55</v>
      </c>
      <c r="AB103">
        <v>11073</v>
      </c>
      <c r="AC103">
        <v>6</v>
      </c>
      <c r="AD103">
        <v>0</v>
      </c>
      <c r="AE103">
        <v>0</v>
      </c>
    </row>
    <row r="104" spans="25:31">
      <c r="Y104" s="5">
        <v>45754</v>
      </c>
      <c r="Z104" t="s">
        <v>52</v>
      </c>
      <c r="AA104" t="s">
        <v>49</v>
      </c>
      <c r="AB104">
        <v>11075</v>
      </c>
      <c r="AC104">
        <v>9</v>
      </c>
      <c r="AD104">
        <v>3</v>
      </c>
      <c r="AE104">
        <v>49.184611040925098</v>
      </c>
    </row>
    <row r="105" spans="25:31">
      <c r="Y105" s="5">
        <v>45754</v>
      </c>
      <c r="Z105" t="s">
        <v>52</v>
      </c>
      <c r="AA105" t="s">
        <v>49</v>
      </c>
      <c r="AB105">
        <v>11076</v>
      </c>
      <c r="AC105">
        <v>4</v>
      </c>
      <c r="AD105">
        <v>3</v>
      </c>
      <c r="AE105">
        <v>34.81</v>
      </c>
    </row>
    <row r="106" spans="25:31">
      <c r="Y106" s="5">
        <v>45754</v>
      </c>
      <c r="Z106" t="s">
        <v>52</v>
      </c>
      <c r="AA106" t="s">
        <v>49</v>
      </c>
      <c r="AB106">
        <v>11077</v>
      </c>
      <c r="AC106">
        <v>3</v>
      </c>
      <c r="AD106">
        <v>1</v>
      </c>
      <c r="AE106">
        <v>22.431560654350001</v>
      </c>
    </row>
    <row r="107" spans="25:31">
      <c r="Y107" s="5">
        <v>45754</v>
      </c>
      <c r="Z107" t="s">
        <v>52</v>
      </c>
      <c r="AA107" t="s">
        <v>55</v>
      </c>
      <c r="AB107">
        <v>11074</v>
      </c>
      <c r="AC107">
        <v>432</v>
      </c>
      <c r="AD107">
        <v>102</v>
      </c>
      <c r="AE107">
        <v>4545.6548915875001</v>
      </c>
    </row>
    <row r="108" spans="25:31">
      <c r="Y108" s="5">
        <v>45754</v>
      </c>
      <c r="Z108" t="s">
        <v>52</v>
      </c>
      <c r="AA108" t="s">
        <v>55</v>
      </c>
      <c r="AB108">
        <v>11072</v>
      </c>
      <c r="AC108">
        <v>528</v>
      </c>
      <c r="AD108">
        <v>174</v>
      </c>
      <c r="AE108">
        <v>7494.3490403528003</v>
      </c>
    </row>
    <row r="109" spans="25:31">
      <c r="Y109" s="5">
        <v>45754</v>
      </c>
      <c r="Z109" t="s">
        <v>52</v>
      </c>
      <c r="AA109" t="s">
        <v>55</v>
      </c>
      <c r="AB109">
        <v>11073</v>
      </c>
      <c r="AC109">
        <v>451</v>
      </c>
      <c r="AD109">
        <v>126</v>
      </c>
      <c r="AE109">
        <v>5734.2890983311399</v>
      </c>
    </row>
    <row r="110" spans="25:31">
      <c r="Y110" s="5">
        <v>45754</v>
      </c>
      <c r="Z110" t="s">
        <v>53</v>
      </c>
      <c r="AA110" t="s">
        <v>49</v>
      </c>
      <c r="AB110">
        <v>11076</v>
      </c>
      <c r="AC110">
        <v>5</v>
      </c>
      <c r="AD110">
        <v>3</v>
      </c>
      <c r="AE110">
        <v>32.544804689562099</v>
      </c>
    </row>
    <row r="111" spans="25:31">
      <c r="Y111" s="5">
        <v>45754</v>
      </c>
      <c r="Z111" t="s">
        <v>53</v>
      </c>
      <c r="AA111" t="s">
        <v>49</v>
      </c>
      <c r="AB111">
        <v>11077</v>
      </c>
      <c r="AC111">
        <v>7</v>
      </c>
      <c r="AD111">
        <v>1</v>
      </c>
      <c r="AE111">
        <v>21.5688345673796</v>
      </c>
    </row>
    <row r="112" spans="25:31">
      <c r="Y112" s="5">
        <v>45754</v>
      </c>
      <c r="Z112" t="s">
        <v>53</v>
      </c>
      <c r="AA112" t="s">
        <v>49</v>
      </c>
      <c r="AB112">
        <v>11075</v>
      </c>
      <c r="AC112">
        <v>4</v>
      </c>
      <c r="AD112">
        <v>2</v>
      </c>
      <c r="AE112">
        <v>20.625229420428902</v>
      </c>
    </row>
    <row r="113" spans="25:31">
      <c r="Y113" s="5">
        <v>45754</v>
      </c>
      <c r="Z113" t="s">
        <v>53</v>
      </c>
      <c r="AA113" t="s">
        <v>55</v>
      </c>
      <c r="AB113">
        <v>11072</v>
      </c>
      <c r="AC113">
        <v>48</v>
      </c>
      <c r="AD113">
        <v>11</v>
      </c>
      <c r="AE113">
        <v>297.462066836367</v>
      </c>
    </row>
    <row r="114" spans="25:31">
      <c r="Y114" s="5">
        <v>45754</v>
      </c>
      <c r="Z114" t="s">
        <v>53</v>
      </c>
      <c r="AA114" t="s">
        <v>55</v>
      </c>
      <c r="AB114">
        <v>11074</v>
      </c>
      <c r="AC114">
        <v>54</v>
      </c>
      <c r="AD114">
        <v>11</v>
      </c>
      <c r="AE114">
        <v>348.43535788387499</v>
      </c>
    </row>
    <row r="115" spans="25:31">
      <c r="Y115" s="5">
        <v>45754</v>
      </c>
      <c r="Z115" t="s">
        <v>53</v>
      </c>
      <c r="AA115" t="s">
        <v>55</v>
      </c>
      <c r="AB115">
        <v>11073</v>
      </c>
      <c r="AC115">
        <v>42</v>
      </c>
      <c r="AD115">
        <v>7</v>
      </c>
      <c r="AE115">
        <v>160.20418963535101</v>
      </c>
    </row>
    <row r="116" spans="25:31">
      <c r="Y116" s="5">
        <v>45754</v>
      </c>
      <c r="Z116" t="s">
        <v>54</v>
      </c>
      <c r="AA116" t="s">
        <v>49</v>
      </c>
      <c r="AB116">
        <v>11077</v>
      </c>
      <c r="AC116">
        <v>28</v>
      </c>
      <c r="AD116">
        <v>13</v>
      </c>
      <c r="AE116">
        <v>71.368410995311294</v>
      </c>
    </row>
    <row r="117" spans="25:31">
      <c r="Y117" s="5">
        <v>45754</v>
      </c>
      <c r="Z117" t="s">
        <v>54</v>
      </c>
      <c r="AA117" t="s">
        <v>49</v>
      </c>
      <c r="AB117">
        <v>11075</v>
      </c>
      <c r="AC117">
        <v>32</v>
      </c>
      <c r="AD117">
        <v>6</v>
      </c>
      <c r="AE117">
        <v>39.295104289724101</v>
      </c>
    </row>
    <row r="118" spans="25:31">
      <c r="Y118" s="5">
        <v>45754</v>
      </c>
      <c r="Z118" t="s">
        <v>54</v>
      </c>
      <c r="AA118" t="s">
        <v>49</v>
      </c>
      <c r="AB118">
        <v>11076</v>
      </c>
      <c r="AC118">
        <v>29</v>
      </c>
      <c r="AD118">
        <v>12</v>
      </c>
      <c r="AE118">
        <v>59.687344006190401</v>
      </c>
    </row>
    <row r="119" spans="25:31">
      <c r="Y119" s="5">
        <v>45754</v>
      </c>
      <c r="Z119" t="s">
        <v>54</v>
      </c>
      <c r="AA119" t="s">
        <v>55</v>
      </c>
      <c r="AB119">
        <v>11074</v>
      </c>
      <c r="AC119">
        <v>139</v>
      </c>
      <c r="AD119">
        <v>49</v>
      </c>
      <c r="AE119">
        <v>750.76483943870505</v>
      </c>
    </row>
    <row r="120" spans="25:31">
      <c r="Y120" s="5">
        <v>45754</v>
      </c>
      <c r="Z120" t="s">
        <v>54</v>
      </c>
      <c r="AA120" t="s">
        <v>55</v>
      </c>
      <c r="AB120">
        <v>11072</v>
      </c>
      <c r="AC120">
        <v>141</v>
      </c>
      <c r="AD120">
        <v>42</v>
      </c>
      <c r="AE120">
        <v>493.21739291182399</v>
      </c>
    </row>
    <row r="121" spans="25:31">
      <c r="Y121" s="5">
        <v>45754</v>
      </c>
      <c r="Z121" t="s">
        <v>54</v>
      </c>
      <c r="AA121" t="s">
        <v>55</v>
      </c>
      <c r="AB121">
        <v>11073</v>
      </c>
      <c r="AC121">
        <v>111</v>
      </c>
      <c r="AD121">
        <v>30</v>
      </c>
      <c r="AE121">
        <v>498.838255408142</v>
      </c>
    </row>
    <row r="122" spans="25:31">
      <c r="Y122" s="5">
        <v>45755</v>
      </c>
      <c r="AA122" t="s">
        <v>49</v>
      </c>
      <c r="AB122">
        <v>11076</v>
      </c>
      <c r="AC122">
        <v>3</v>
      </c>
      <c r="AD122">
        <v>1</v>
      </c>
      <c r="AE122">
        <v>3.68295374626824</v>
      </c>
    </row>
    <row r="123" spans="25:31">
      <c r="Y123" s="5">
        <v>45755</v>
      </c>
      <c r="AA123" t="s">
        <v>49</v>
      </c>
      <c r="AB123">
        <v>11077</v>
      </c>
      <c r="AC123">
        <v>5</v>
      </c>
      <c r="AD123">
        <v>1</v>
      </c>
      <c r="AE123">
        <v>15.521845802896699</v>
      </c>
    </row>
    <row r="124" spans="25:31">
      <c r="Y124" s="5">
        <v>45755</v>
      </c>
      <c r="AA124" t="s">
        <v>49</v>
      </c>
      <c r="AB124">
        <v>11075</v>
      </c>
      <c r="AC124">
        <v>2</v>
      </c>
      <c r="AD124">
        <v>0</v>
      </c>
      <c r="AE124">
        <v>0</v>
      </c>
    </row>
    <row r="125" spans="25:31">
      <c r="Y125" s="5">
        <v>45755</v>
      </c>
      <c r="AA125" t="s">
        <v>55</v>
      </c>
      <c r="AB125">
        <v>11073</v>
      </c>
      <c r="AC125">
        <v>11</v>
      </c>
      <c r="AD125">
        <v>2</v>
      </c>
      <c r="AE125">
        <v>48.928889443732103</v>
      </c>
    </row>
    <row r="126" spans="25:31">
      <c r="Y126" s="5">
        <v>45755</v>
      </c>
      <c r="AA126" t="s">
        <v>55</v>
      </c>
      <c r="AB126">
        <v>11074</v>
      </c>
      <c r="AC126">
        <v>5</v>
      </c>
      <c r="AD126">
        <v>2</v>
      </c>
      <c r="AE126">
        <v>53.656184351817203</v>
      </c>
    </row>
    <row r="127" spans="25:31">
      <c r="Y127" s="5">
        <v>45755</v>
      </c>
      <c r="AA127" t="s">
        <v>55</v>
      </c>
      <c r="AB127">
        <v>11072</v>
      </c>
      <c r="AC127">
        <v>8</v>
      </c>
      <c r="AD127">
        <v>2</v>
      </c>
      <c r="AE127">
        <v>44.665033594757503</v>
      </c>
    </row>
    <row r="128" spans="25:31">
      <c r="Y128" s="5">
        <v>45755</v>
      </c>
      <c r="Z128" t="s">
        <v>52</v>
      </c>
      <c r="AA128" t="s">
        <v>49</v>
      </c>
      <c r="AB128">
        <v>11076</v>
      </c>
      <c r="AC128">
        <v>6</v>
      </c>
      <c r="AD128">
        <v>3</v>
      </c>
      <c r="AE128">
        <v>28.42</v>
      </c>
    </row>
    <row r="129" spans="25:31">
      <c r="Y129" s="5">
        <v>45755</v>
      </c>
      <c r="Z129" t="s">
        <v>52</v>
      </c>
      <c r="AA129" t="s">
        <v>49</v>
      </c>
      <c r="AB129">
        <v>11077</v>
      </c>
      <c r="AC129">
        <v>8</v>
      </c>
      <c r="AD129">
        <v>5</v>
      </c>
      <c r="AE129">
        <v>117.83946174755501</v>
      </c>
    </row>
    <row r="130" spans="25:31">
      <c r="Y130" s="5">
        <v>45755</v>
      </c>
      <c r="Z130" t="s">
        <v>52</v>
      </c>
      <c r="AA130" t="s">
        <v>49</v>
      </c>
      <c r="AB130">
        <v>11075</v>
      </c>
      <c r="AC130">
        <v>9</v>
      </c>
      <c r="AD130">
        <v>2</v>
      </c>
      <c r="AE130">
        <v>31.844962642160301</v>
      </c>
    </row>
    <row r="131" spans="25:31">
      <c r="Y131" s="5">
        <v>45755</v>
      </c>
      <c r="Z131" t="s">
        <v>52</v>
      </c>
      <c r="AA131" t="s">
        <v>55</v>
      </c>
      <c r="AB131">
        <v>11073</v>
      </c>
      <c r="AC131">
        <v>341</v>
      </c>
      <c r="AD131">
        <v>104</v>
      </c>
      <c r="AE131">
        <v>4555.1818962724501</v>
      </c>
    </row>
    <row r="132" spans="25:31">
      <c r="Y132" s="5">
        <v>45755</v>
      </c>
      <c r="Z132" t="s">
        <v>52</v>
      </c>
      <c r="AA132" t="s">
        <v>55</v>
      </c>
      <c r="AB132">
        <v>11072</v>
      </c>
      <c r="AC132">
        <v>373</v>
      </c>
      <c r="AD132">
        <v>104</v>
      </c>
      <c r="AE132">
        <v>4594.4436754531698</v>
      </c>
    </row>
    <row r="133" spans="25:31">
      <c r="Y133" s="5">
        <v>45755</v>
      </c>
      <c r="Z133" t="s">
        <v>52</v>
      </c>
      <c r="AA133" t="s">
        <v>55</v>
      </c>
      <c r="AB133">
        <v>11074</v>
      </c>
      <c r="AC133">
        <v>385</v>
      </c>
      <c r="AD133">
        <v>101</v>
      </c>
      <c r="AE133">
        <v>4457.3490368739203</v>
      </c>
    </row>
    <row r="134" spans="25:31">
      <c r="Y134" s="5">
        <v>45755</v>
      </c>
      <c r="Z134" t="s">
        <v>53</v>
      </c>
      <c r="AA134" t="s">
        <v>49</v>
      </c>
      <c r="AB134">
        <v>11075</v>
      </c>
      <c r="AC134">
        <v>5</v>
      </c>
      <c r="AD134">
        <v>3</v>
      </c>
      <c r="AE134">
        <v>25.651391961121298</v>
      </c>
    </row>
    <row r="135" spans="25:31">
      <c r="Y135" s="5">
        <v>45755</v>
      </c>
      <c r="Z135" t="s">
        <v>53</v>
      </c>
      <c r="AA135" t="s">
        <v>49</v>
      </c>
      <c r="AB135">
        <v>11077</v>
      </c>
      <c r="AC135">
        <v>4</v>
      </c>
      <c r="AD135">
        <v>2</v>
      </c>
      <c r="AE135">
        <v>16.487050591565499</v>
      </c>
    </row>
    <row r="136" spans="25:31">
      <c r="Y136" s="5">
        <v>45755</v>
      </c>
      <c r="Z136" t="s">
        <v>53</v>
      </c>
      <c r="AA136" t="s">
        <v>49</v>
      </c>
      <c r="AB136">
        <v>11076</v>
      </c>
      <c r="AC136">
        <v>3</v>
      </c>
      <c r="AD136">
        <v>1</v>
      </c>
      <c r="AE136">
        <v>3.82789029944762</v>
      </c>
    </row>
    <row r="137" spans="25:31">
      <c r="Y137" s="5">
        <v>45755</v>
      </c>
      <c r="Z137" t="s">
        <v>53</v>
      </c>
      <c r="AA137" t="s">
        <v>55</v>
      </c>
      <c r="AB137">
        <v>11072</v>
      </c>
      <c r="AC137">
        <v>34</v>
      </c>
      <c r="AD137">
        <v>3</v>
      </c>
      <c r="AE137">
        <v>54.016486098110903</v>
      </c>
    </row>
    <row r="138" spans="25:31">
      <c r="Y138" s="5">
        <v>45755</v>
      </c>
      <c r="Z138" t="s">
        <v>53</v>
      </c>
      <c r="AA138" t="s">
        <v>55</v>
      </c>
      <c r="AB138">
        <v>11073</v>
      </c>
      <c r="AC138">
        <v>48</v>
      </c>
      <c r="AD138">
        <v>7</v>
      </c>
      <c r="AE138">
        <v>219.06198552520999</v>
      </c>
    </row>
    <row r="139" spans="25:31">
      <c r="Y139" s="5">
        <v>45755</v>
      </c>
      <c r="Z139" t="s">
        <v>53</v>
      </c>
      <c r="AA139" t="s">
        <v>55</v>
      </c>
      <c r="AB139">
        <v>11074</v>
      </c>
      <c r="AC139">
        <v>50</v>
      </c>
      <c r="AD139">
        <v>10</v>
      </c>
      <c r="AE139">
        <v>268.87689687012102</v>
      </c>
    </row>
    <row r="140" spans="25:31">
      <c r="Y140" s="5">
        <v>45755</v>
      </c>
      <c r="Z140" t="s">
        <v>54</v>
      </c>
      <c r="AA140" t="s">
        <v>49</v>
      </c>
      <c r="AB140">
        <v>11077</v>
      </c>
      <c r="AC140">
        <v>38</v>
      </c>
      <c r="AD140">
        <v>17</v>
      </c>
      <c r="AE140">
        <v>86.032776714621704</v>
      </c>
    </row>
    <row r="141" spans="25:31">
      <c r="Y141" s="5">
        <v>45755</v>
      </c>
      <c r="Z141" t="s">
        <v>54</v>
      </c>
      <c r="AA141" t="s">
        <v>49</v>
      </c>
      <c r="AB141">
        <v>11075</v>
      </c>
      <c r="AC141">
        <v>58</v>
      </c>
      <c r="AD141">
        <v>18</v>
      </c>
      <c r="AE141">
        <v>96.226108728191207</v>
      </c>
    </row>
    <row r="142" spans="25:31">
      <c r="Y142" s="5">
        <v>45755</v>
      </c>
      <c r="Z142" t="s">
        <v>54</v>
      </c>
      <c r="AA142" t="s">
        <v>49</v>
      </c>
      <c r="AB142">
        <v>11076</v>
      </c>
      <c r="AC142">
        <v>26</v>
      </c>
      <c r="AD142">
        <v>11</v>
      </c>
      <c r="AE142">
        <v>58.225291860017997</v>
      </c>
    </row>
    <row r="143" spans="25:31">
      <c r="Y143" s="5">
        <v>45755</v>
      </c>
      <c r="Z143" t="s">
        <v>54</v>
      </c>
      <c r="AA143" t="s">
        <v>55</v>
      </c>
      <c r="AB143">
        <v>11073</v>
      </c>
      <c r="AC143">
        <v>107</v>
      </c>
      <c r="AD143">
        <v>35</v>
      </c>
      <c r="AE143">
        <v>509.054155112285</v>
      </c>
    </row>
    <row r="144" spans="25:31">
      <c r="Y144" s="5">
        <v>45755</v>
      </c>
      <c r="Z144" t="s">
        <v>54</v>
      </c>
      <c r="AA144" t="s">
        <v>55</v>
      </c>
      <c r="AB144">
        <v>11072</v>
      </c>
      <c r="AC144">
        <v>121</v>
      </c>
      <c r="AD144">
        <v>41</v>
      </c>
      <c r="AE144">
        <v>566.37030450873999</v>
      </c>
    </row>
    <row r="145" spans="25:31">
      <c r="Y145" s="5">
        <v>45755</v>
      </c>
      <c r="Z145" t="s">
        <v>54</v>
      </c>
      <c r="AA145" t="s">
        <v>55</v>
      </c>
      <c r="AB145">
        <v>11074</v>
      </c>
      <c r="AC145">
        <v>96</v>
      </c>
      <c r="AD145">
        <v>28</v>
      </c>
      <c r="AE145">
        <v>378.98078867643198</v>
      </c>
    </row>
    <row r="146" spans="25:31">
      <c r="Y146" s="5">
        <v>45756</v>
      </c>
      <c r="AA146" t="s">
        <v>49</v>
      </c>
      <c r="AB146">
        <v>11075</v>
      </c>
      <c r="AC146">
        <v>4</v>
      </c>
      <c r="AD146">
        <v>1</v>
      </c>
      <c r="AE146">
        <v>3.6829491922702302</v>
      </c>
    </row>
    <row r="147" spans="25:31">
      <c r="Y147" s="5">
        <v>45756</v>
      </c>
      <c r="AA147" t="s">
        <v>49</v>
      </c>
      <c r="AB147">
        <v>11077</v>
      </c>
      <c r="AC147">
        <v>4</v>
      </c>
      <c r="AD147">
        <v>0</v>
      </c>
      <c r="AE147">
        <v>0</v>
      </c>
    </row>
    <row r="148" spans="25:31">
      <c r="Y148" s="5">
        <v>45756</v>
      </c>
      <c r="AA148" t="s">
        <v>49</v>
      </c>
      <c r="AB148">
        <v>11076</v>
      </c>
      <c r="AC148">
        <v>3</v>
      </c>
      <c r="AD148">
        <v>2</v>
      </c>
      <c r="AE148">
        <v>26.891586343288701</v>
      </c>
    </row>
    <row r="149" spans="25:31">
      <c r="Y149" s="5">
        <v>45756</v>
      </c>
      <c r="AA149" t="s">
        <v>55</v>
      </c>
      <c r="AB149">
        <v>11072</v>
      </c>
      <c r="AC149">
        <v>7</v>
      </c>
      <c r="AD149">
        <v>3</v>
      </c>
      <c r="AE149">
        <v>63.058713391133502</v>
      </c>
    </row>
    <row r="150" spans="25:31">
      <c r="Y150" s="5">
        <v>45756</v>
      </c>
      <c r="AA150" t="s">
        <v>55</v>
      </c>
      <c r="AB150">
        <v>11073</v>
      </c>
      <c r="AC150">
        <v>1</v>
      </c>
      <c r="AD150">
        <v>1</v>
      </c>
      <c r="AE150">
        <v>26.249212515749601</v>
      </c>
    </row>
    <row r="151" spans="25:31">
      <c r="Y151" s="5">
        <v>45756</v>
      </c>
      <c r="AA151" t="s">
        <v>55</v>
      </c>
      <c r="AB151">
        <v>11074</v>
      </c>
      <c r="AC151">
        <v>8</v>
      </c>
      <c r="AD151">
        <v>2</v>
      </c>
      <c r="AE151">
        <v>36.832758470997703</v>
      </c>
    </row>
    <row r="152" spans="25:31">
      <c r="Y152" s="5">
        <v>45756</v>
      </c>
      <c r="Z152" t="s">
        <v>52</v>
      </c>
      <c r="AA152" t="s">
        <v>49</v>
      </c>
      <c r="AB152">
        <v>11075</v>
      </c>
      <c r="AC152">
        <v>13</v>
      </c>
      <c r="AD152">
        <v>7</v>
      </c>
      <c r="AE152">
        <v>140.24904431689299</v>
      </c>
    </row>
    <row r="153" spans="25:31">
      <c r="Y153" s="5">
        <v>45756</v>
      </c>
      <c r="Z153" t="s">
        <v>52</v>
      </c>
      <c r="AA153" t="s">
        <v>49</v>
      </c>
      <c r="AB153">
        <v>11076</v>
      </c>
      <c r="AC153">
        <v>8</v>
      </c>
      <c r="AD153">
        <v>3</v>
      </c>
      <c r="AE153">
        <v>61.933424482926398</v>
      </c>
    </row>
    <row r="154" spans="25:31">
      <c r="Y154" s="5">
        <v>45756</v>
      </c>
      <c r="Z154" t="s">
        <v>52</v>
      </c>
      <c r="AA154" t="s">
        <v>49</v>
      </c>
      <c r="AB154">
        <v>11077</v>
      </c>
      <c r="AC154">
        <v>9</v>
      </c>
      <c r="AD154">
        <v>6</v>
      </c>
      <c r="AE154">
        <v>99.797243569343806</v>
      </c>
    </row>
    <row r="155" spans="25:31">
      <c r="Y155" s="5">
        <v>45756</v>
      </c>
      <c r="Z155" t="s">
        <v>52</v>
      </c>
      <c r="AA155" t="s">
        <v>55</v>
      </c>
      <c r="AB155">
        <v>11073</v>
      </c>
      <c r="AC155">
        <v>346</v>
      </c>
      <c r="AD155">
        <v>96</v>
      </c>
      <c r="AE155">
        <v>4300.8314152295798</v>
      </c>
    </row>
    <row r="156" spans="25:31">
      <c r="Y156" s="5">
        <v>45756</v>
      </c>
      <c r="Z156" t="s">
        <v>52</v>
      </c>
      <c r="AA156" t="s">
        <v>55</v>
      </c>
      <c r="AB156">
        <v>11074</v>
      </c>
      <c r="AC156">
        <v>344</v>
      </c>
      <c r="AD156">
        <v>92</v>
      </c>
      <c r="AE156">
        <v>4051.5127776064301</v>
      </c>
    </row>
    <row r="157" spans="25:31">
      <c r="Y157" s="5">
        <v>45756</v>
      </c>
      <c r="Z157" t="s">
        <v>52</v>
      </c>
      <c r="AA157" t="s">
        <v>55</v>
      </c>
      <c r="AB157">
        <v>11072</v>
      </c>
      <c r="AC157">
        <v>379</v>
      </c>
      <c r="AD157">
        <v>110</v>
      </c>
      <c r="AE157">
        <v>4781.0385423453199</v>
      </c>
    </row>
    <row r="158" spans="25:31">
      <c r="Y158" s="5">
        <v>45756</v>
      </c>
      <c r="Z158" t="s">
        <v>53</v>
      </c>
      <c r="AA158" t="s">
        <v>49</v>
      </c>
      <c r="AB158">
        <v>11077</v>
      </c>
      <c r="AC158">
        <v>3</v>
      </c>
      <c r="AD158">
        <v>2</v>
      </c>
      <c r="AE158">
        <v>33.020792918584199</v>
      </c>
    </row>
    <row r="159" spans="25:31">
      <c r="Y159" s="5">
        <v>45756</v>
      </c>
      <c r="Z159" t="s">
        <v>53</v>
      </c>
      <c r="AA159" t="s">
        <v>49</v>
      </c>
      <c r="AB159">
        <v>11076</v>
      </c>
      <c r="AC159">
        <v>3</v>
      </c>
      <c r="AD159">
        <v>2</v>
      </c>
      <c r="AE159">
        <v>7.5882686135666502</v>
      </c>
    </row>
    <row r="160" spans="25:31">
      <c r="Y160" s="5">
        <v>45756</v>
      </c>
      <c r="Z160" t="s">
        <v>53</v>
      </c>
      <c r="AA160" t="s">
        <v>49</v>
      </c>
      <c r="AB160">
        <v>11075</v>
      </c>
      <c r="AC160">
        <v>1</v>
      </c>
      <c r="AD160">
        <v>0</v>
      </c>
      <c r="AE160">
        <v>0</v>
      </c>
    </row>
    <row r="161" spans="25:31">
      <c r="Y161" s="5">
        <v>45756</v>
      </c>
      <c r="Z161" t="s">
        <v>53</v>
      </c>
      <c r="AA161" t="s">
        <v>55</v>
      </c>
      <c r="AB161">
        <v>11074</v>
      </c>
      <c r="AC161">
        <v>57</v>
      </c>
      <c r="AD161">
        <v>7</v>
      </c>
      <c r="AE161">
        <v>140.71206964720301</v>
      </c>
    </row>
    <row r="162" spans="25:31">
      <c r="Y162" s="5">
        <v>45756</v>
      </c>
      <c r="Z162" t="s">
        <v>53</v>
      </c>
      <c r="AA162" t="s">
        <v>55</v>
      </c>
      <c r="AB162">
        <v>11072</v>
      </c>
      <c r="AC162">
        <v>38</v>
      </c>
      <c r="AD162">
        <v>4</v>
      </c>
      <c r="AE162">
        <v>78.456073583634506</v>
      </c>
    </row>
    <row r="163" spans="25:31">
      <c r="Y163" s="5">
        <v>45756</v>
      </c>
      <c r="Z163" t="s">
        <v>53</v>
      </c>
      <c r="AA163" t="s">
        <v>55</v>
      </c>
      <c r="AB163">
        <v>11073</v>
      </c>
      <c r="AC163">
        <v>39</v>
      </c>
      <c r="AD163">
        <v>9</v>
      </c>
      <c r="AE163">
        <v>291.83721917723898</v>
      </c>
    </row>
    <row r="164" spans="25:31">
      <c r="Y164" s="5">
        <v>45756</v>
      </c>
      <c r="Z164" t="s">
        <v>54</v>
      </c>
      <c r="AA164" t="s">
        <v>49</v>
      </c>
      <c r="AB164">
        <v>11075</v>
      </c>
      <c r="AC164">
        <v>63</v>
      </c>
      <c r="AD164">
        <v>24</v>
      </c>
      <c r="AE164">
        <v>126.070137221984</v>
      </c>
    </row>
    <row r="165" spans="25:31">
      <c r="Y165" s="5">
        <v>45756</v>
      </c>
      <c r="Z165" t="s">
        <v>54</v>
      </c>
      <c r="AA165" t="s">
        <v>49</v>
      </c>
      <c r="AB165">
        <v>11076</v>
      </c>
      <c r="AC165">
        <v>25</v>
      </c>
      <c r="AD165">
        <v>10</v>
      </c>
      <c r="AE165">
        <v>48.575322352234501</v>
      </c>
    </row>
    <row r="166" spans="25:31">
      <c r="Y166" s="5">
        <v>45756</v>
      </c>
      <c r="Z166" t="s">
        <v>54</v>
      </c>
      <c r="AA166" t="s">
        <v>49</v>
      </c>
      <c r="AB166">
        <v>11077</v>
      </c>
      <c r="AC166">
        <v>49</v>
      </c>
      <c r="AD166">
        <v>15</v>
      </c>
      <c r="AE166">
        <v>90.635262524078499</v>
      </c>
    </row>
    <row r="167" spans="25:31">
      <c r="Y167" s="5">
        <v>45756</v>
      </c>
      <c r="Z167" t="s">
        <v>54</v>
      </c>
      <c r="AA167" t="s">
        <v>55</v>
      </c>
      <c r="AB167">
        <v>11073</v>
      </c>
      <c r="AC167">
        <v>85</v>
      </c>
      <c r="AD167">
        <v>27</v>
      </c>
      <c r="AE167">
        <v>453.03059315482801</v>
      </c>
    </row>
    <row r="168" spans="25:31">
      <c r="Y168" s="5">
        <v>45756</v>
      </c>
      <c r="Z168" t="s">
        <v>54</v>
      </c>
      <c r="AA168" t="s">
        <v>55</v>
      </c>
      <c r="AB168">
        <v>11072</v>
      </c>
      <c r="AC168">
        <v>105</v>
      </c>
      <c r="AD168">
        <v>40</v>
      </c>
      <c r="AE168">
        <v>544.15609734911402</v>
      </c>
    </row>
    <row r="169" spans="25:31">
      <c r="Y169" s="5">
        <v>45756</v>
      </c>
      <c r="Z169" t="s">
        <v>54</v>
      </c>
      <c r="AA169" t="s">
        <v>55</v>
      </c>
      <c r="AB169">
        <v>11074</v>
      </c>
      <c r="AC169">
        <v>102</v>
      </c>
      <c r="AD169">
        <v>28</v>
      </c>
      <c r="AE169">
        <v>414.73076633227998</v>
      </c>
    </row>
    <row r="170" spans="25:31">
      <c r="Y170" s="5">
        <v>45757</v>
      </c>
      <c r="AA170" t="s">
        <v>49</v>
      </c>
      <c r="AB170">
        <v>11076</v>
      </c>
      <c r="AC170">
        <v>0</v>
      </c>
      <c r="AD170">
        <v>0</v>
      </c>
      <c r="AE170">
        <v>0</v>
      </c>
    </row>
    <row r="171" spans="25:31">
      <c r="Y171" s="5">
        <v>45757</v>
      </c>
      <c r="AA171" t="s">
        <v>49</v>
      </c>
      <c r="AB171">
        <v>11077</v>
      </c>
      <c r="AC171">
        <v>3</v>
      </c>
      <c r="AD171">
        <v>0</v>
      </c>
      <c r="AE171">
        <v>0</v>
      </c>
    </row>
    <row r="172" spans="25:31">
      <c r="Y172" s="5">
        <v>45757</v>
      </c>
      <c r="AA172" t="s">
        <v>49</v>
      </c>
      <c r="AB172">
        <v>11075</v>
      </c>
      <c r="AC172">
        <v>7</v>
      </c>
      <c r="AD172">
        <v>1</v>
      </c>
      <c r="AE172">
        <v>15.466573886622401</v>
      </c>
    </row>
    <row r="173" spans="25:31">
      <c r="Y173" s="5">
        <v>45757</v>
      </c>
      <c r="AA173" t="s">
        <v>55</v>
      </c>
      <c r="AB173">
        <v>11074</v>
      </c>
      <c r="AC173">
        <v>5</v>
      </c>
      <c r="AD173">
        <v>2</v>
      </c>
      <c r="AE173">
        <v>73.406379235498804</v>
      </c>
    </row>
    <row r="174" spans="25:31">
      <c r="Y174" s="5">
        <v>45757</v>
      </c>
      <c r="AA174" t="s">
        <v>55</v>
      </c>
      <c r="AB174">
        <v>11073</v>
      </c>
      <c r="AC174">
        <v>3</v>
      </c>
      <c r="AD174">
        <v>2</v>
      </c>
      <c r="AE174">
        <v>52.441830958794299</v>
      </c>
    </row>
    <row r="175" spans="25:31">
      <c r="Y175" s="5">
        <v>45757</v>
      </c>
      <c r="AA175" t="s">
        <v>55</v>
      </c>
      <c r="AB175">
        <v>11072</v>
      </c>
      <c r="AC175">
        <v>10</v>
      </c>
      <c r="AD175">
        <v>4</v>
      </c>
      <c r="AE175">
        <v>166.956622204247</v>
      </c>
    </row>
    <row r="176" spans="25:31">
      <c r="Y176" s="5">
        <v>45757</v>
      </c>
      <c r="Z176" t="s">
        <v>52</v>
      </c>
      <c r="AA176" t="s">
        <v>49</v>
      </c>
      <c r="AB176">
        <v>11076</v>
      </c>
      <c r="AC176">
        <v>9</v>
      </c>
      <c r="AD176">
        <v>7</v>
      </c>
      <c r="AE176">
        <v>80.000215812610804</v>
      </c>
    </row>
    <row r="177" spans="25:31">
      <c r="Y177" s="5">
        <v>45757</v>
      </c>
      <c r="Z177" t="s">
        <v>52</v>
      </c>
      <c r="AA177" t="s">
        <v>49</v>
      </c>
      <c r="AB177">
        <v>11077</v>
      </c>
      <c r="AC177">
        <v>8</v>
      </c>
      <c r="AD177">
        <v>3</v>
      </c>
      <c r="AE177">
        <v>41.037022063447502</v>
      </c>
    </row>
    <row r="178" spans="25:31">
      <c r="Y178" s="5">
        <v>45757</v>
      </c>
      <c r="Z178" t="s">
        <v>52</v>
      </c>
      <c r="AA178" t="s">
        <v>49</v>
      </c>
      <c r="AB178">
        <v>11075</v>
      </c>
      <c r="AC178">
        <v>14</v>
      </c>
      <c r="AD178">
        <v>8</v>
      </c>
      <c r="AE178">
        <v>93.260781608533307</v>
      </c>
    </row>
    <row r="179" spans="25:31">
      <c r="Y179" s="5">
        <v>45757</v>
      </c>
      <c r="Z179" t="s">
        <v>52</v>
      </c>
      <c r="AA179" t="s">
        <v>55</v>
      </c>
      <c r="AB179">
        <v>11073</v>
      </c>
      <c r="AC179">
        <v>328</v>
      </c>
      <c r="AD179">
        <v>101</v>
      </c>
      <c r="AE179">
        <v>4434.4719084093904</v>
      </c>
    </row>
    <row r="180" spans="25:31">
      <c r="Y180" s="5">
        <v>45757</v>
      </c>
      <c r="Z180" t="s">
        <v>52</v>
      </c>
      <c r="AA180" t="s">
        <v>55</v>
      </c>
      <c r="AB180">
        <v>11072</v>
      </c>
      <c r="AC180">
        <v>385</v>
      </c>
      <c r="AD180">
        <v>116</v>
      </c>
      <c r="AE180">
        <v>5002.1450733564598</v>
      </c>
    </row>
    <row r="181" spans="25:31">
      <c r="Y181" s="5">
        <v>45757</v>
      </c>
      <c r="Z181" t="s">
        <v>52</v>
      </c>
      <c r="AA181" t="s">
        <v>55</v>
      </c>
      <c r="AB181">
        <v>11074</v>
      </c>
      <c r="AC181">
        <v>315</v>
      </c>
      <c r="AD181">
        <v>109</v>
      </c>
      <c r="AE181">
        <v>4790.2286202852201</v>
      </c>
    </row>
    <row r="182" spans="25:31">
      <c r="Y182" s="5">
        <v>45757</v>
      </c>
      <c r="Z182" t="s">
        <v>53</v>
      </c>
      <c r="AA182" t="s">
        <v>49</v>
      </c>
      <c r="AB182">
        <v>11075</v>
      </c>
      <c r="AC182">
        <v>10</v>
      </c>
      <c r="AD182">
        <v>2</v>
      </c>
      <c r="AE182">
        <v>27.931383005403401</v>
      </c>
    </row>
    <row r="183" spans="25:31">
      <c r="Y183" s="5">
        <v>45757</v>
      </c>
      <c r="Z183" t="s">
        <v>53</v>
      </c>
      <c r="AA183" t="s">
        <v>49</v>
      </c>
      <c r="AB183">
        <v>11076</v>
      </c>
      <c r="AC183">
        <v>5</v>
      </c>
      <c r="AD183">
        <v>1</v>
      </c>
      <c r="AE183">
        <v>11.262335378995999</v>
      </c>
    </row>
    <row r="184" spans="25:31">
      <c r="Y184" s="5">
        <v>45757</v>
      </c>
      <c r="Z184" t="s">
        <v>53</v>
      </c>
      <c r="AA184" t="s">
        <v>49</v>
      </c>
      <c r="AB184">
        <v>11077</v>
      </c>
      <c r="AC184">
        <v>5</v>
      </c>
      <c r="AD184">
        <v>2</v>
      </c>
      <c r="AE184">
        <v>28.7968642937869</v>
      </c>
    </row>
    <row r="185" spans="25:31">
      <c r="Y185" s="5">
        <v>45757</v>
      </c>
      <c r="Z185" t="s">
        <v>53</v>
      </c>
      <c r="AA185" t="s">
        <v>55</v>
      </c>
      <c r="AB185">
        <v>11073</v>
      </c>
      <c r="AC185">
        <v>39</v>
      </c>
      <c r="AD185">
        <v>4</v>
      </c>
      <c r="AE185">
        <v>95.588325596610701</v>
      </c>
    </row>
    <row r="186" spans="25:31">
      <c r="Y186" s="5">
        <v>45757</v>
      </c>
      <c r="Z186" t="s">
        <v>53</v>
      </c>
      <c r="AA186" t="s">
        <v>55</v>
      </c>
      <c r="AB186">
        <v>11074</v>
      </c>
      <c r="AC186">
        <v>53</v>
      </c>
      <c r="AD186">
        <v>6</v>
      </c>
      <c r="AE186">
        <v>167.49681344201099</v>
      </c>
    </row>
    <row r="187" spans="25:31">
      <c r="Y187" s="5">
        <v>45757</v>
      </c>
      <c r="Z187" t="s">
        <v>53</v>
      </c>
      <c r="AA187" t="s">
        <v>55</v>
      </c>
      <c r="AB187">
        <v>11072</v>
      </c>
      <c r="AC187">
        <v>45</v>
      </c>
      <c r="AD187">
        <v>8</v>
      </c>
      <c r="AE187">
        <v>153.81059166865001</v>
      </c>
    </row>
    <row r="188" spans="25:31">
      <c r="Y188" s="5">
        <v>45757</v>
      </c>
      <c r="Z188" t="s">
        <v>54</v>
      </c>
      <c r="AA188" t="s">
        <v>49</v>
      </c>
      <c r="AB188">
        <v>11076</v>
      </c>
      <c r="AC188">
        <v>40</v>
      </c>
      <c r="AD188">
        <v>20</v>
      </c>
      <c r="AE188">
        <v>107.182822314345</v>
      </c>
    </row>
    <row r="189" spans="25:31">
      <c r="Y189" s="5">
        <v>45757</v>
      </c>
      <c r="Z189" t="s">
        <v>54</v>
      </c>
      <c r="AA189" t="s">
        <v>49</v>
      </c>
      <c r="AB189">
        <v>11075</v>
      </c>
      <c r="AC189">
        <v>46</v>
      </c>
      <c r="AD189">
        <v>18</v>
      </c>
      <c r="AE189">
        <v>106.38015876047101</v>
      </c>
    </row>
    <row r="190" spans="25:31">
      <c r="Y190" s="5">
        <v>45757</v>
      </c>
      <c r="Z190" t="s">
        <v>54</v>
      </c>
      <c r="AA190" t="s">
        <v>49</v>
      </c>
      <c r="AB190">
        <v>11077</v>
      </c>
      <c r="AC190">
        <v>42</v>
      </c>
      <c r="AD190">
        <v>15</v>
      </c>
      <c r="AE190">
        <v>78.155948287283195</v>
      </c>
    </row>
    <row r="191" spans="25:31">
      <c r="Y191" s="5">
        <v>45757</v>
      </c>
      <c r="Z191" t="s">
        <v>54</v>
      </c>
      <c r="AA191" t="s">
        <v>55</v>
      </c>
      <c r="AB191">
        <v>11074</v>
      </c>
      <c r="AC191">
        <v>116</v>
      </c>
      <c r="AD191">
        <v>36</v>
      </c>
      <c r="AE191">
        <v>475.96708170108798</v>
      </c>
    </row>
    <row r="192" spans="25:31">
      <c r="Y192" s="5">
        <v>45757</v>
      </c>
      <c r="Z192" t="s">
        <v>54</v>
      </c>
      <c r="AA192" t="s">
        <v>55</v>
      </c>
      <c r="AB192">
        <v>11072</v>
      </c>
      <c r="AC192">
        <v>126</v>
      </c>
      <c r="AD192">
        <v>40</v>
      </c>
      <c r="AE192">
        <v>658.439572046884</v>
      </c>
    </row>
    <row r="193" spans="25:31">
      <c r="Y193" s="5">
        <v>45757</v>
      </c>
      <c r="Z193" t="s">
        <v>54</v>
      </c>
      <c r="AA193" t="s">
        <v>55</v>
      </c>
      <c r="AB193">
        <v>11073</v>
      </c>
      <c r="AC193">
        <v>82</v>
      </c>
      <c r="AD193">
        <v>39</v>
      </c>
      <c r="AE193">
        <v>715.62272564345596</v>
      </c>
    </row>
    <row r="194" spans="25:31">
      <c r="Y194" s="5">
        <v>45758</v>
      </c>
      <c r="AA194" t="s">
        <v>49</v>
      </c>
      <c r="AB194">
        <v>11077</v>
      </c>
      <c r="AC194">
        <v>3</v>
      </c>
      <c r="AD194">
        <v>1</v>
      </c>
      <c r="AE194">
        <v>3.6780029413514201</v>
      </c>
    </row>
    <row r="195" spans="25:31">
      <c r="Y195" s="5">
        <v>45758</v>
      </c>
      <c r="AA195" t="s">
        <v>49</v>
      </c>
      <c r="AB195">
        <v>11075</v>
      </c>
      <c r="AC195">
        <v>4</v>
      </c>
      <c r="AD195">
        <v>0</v>
      </c>
      <c r="AE195">
        <v>0</v>
      </c>
    </row>
    <row r="196" spans="25:31">
      <c r="Y196" s="5">
        <v>45758</v>
      </c>
      <c r="AA196" t="s">
        <v>49</v>
      </c>
      <c r="AB196">
        <v>11076</v>
      </c>
      <c r="AC196">
        <v>3</v>
      </c>
      <c r="AD196">
        <v>1</v>
      </c>
      <c r="AE196">
        <v>2.5745232389672501</v>
      </c>
    </row>
    <row r="197" spans="25:31">
      <c r="Y197" s="5">
        <v>45758</v>
      </c>
      <c r="AA197" t="s">
        <v>55</v>
      </c>
      <c r="AB197">
        <v>11074</v>
      </c>
      <c r="AC197">
        <v>9</v>
      </c>
      <c r="AD197">
        <v>0</v>
      </c>
      <c r="AE197">
        <v>0</v>
      </c>
    </row>
    <row r="198" spans="25:31">
      <c r="Y198" s="5">
        <v>45758</v>
      </c>
      <c r="AA198" t="s">
        <v>55</v>
      </c>
      <c r="AB198">
        <v>11072</v>
      </c>
      <c r="AC198">
        <v>3</v>
      </c>
      <c r="AD198">
        <v>0</v>
      </c>
      <c r="AE198">
        <v>0</v>
      </c>
    </row>
    <row r="199" spans="25:31">
      <c r="Y199" s="5">
        <v>45758</v>
      </c>
      <c r="AA199" t="s">
        <v>55</v>
      </c>
      <c r="AB199">
        <v>11073</v>
      </c>
      <c r="AC199">
        <v>10</v>
      </c>
      <c r="AD199">
        <v>3</v>
      </c>
      <c r="AE199">
        <v>65.5062999662712</v>
      </c>
    </row>
    <row r="200" spans="25:31">
      <c r="Y200" s="5">
        <v>45758</v>
      </c>
      <c r="Z200" t="s">
        <v>52</v>
      </c>
      <c r="AA200" t="s">
        <v>49</v>
      </c>
      <c r="AB200">
        <v>11075</v>
      </c>
      <c r="AC200">
        <v>15</v>
      </c>
      <c r="AD200">
        <v>9</v>
      </c>
      <c r="AE200">
        <v>155.28894096371599</v>
      </c>
    </row>
    <row r="201" spans="25:31">
      <c r="Y201" s="5">
        <v>45758</v>
      </c>
      <c r="Z201" t="s">
        <v>52</v>
      </c>
      <c r="AA201" t="s">
        <v>49</v>
      </c>
      <c r="AB201">
        <v>11077</v>
      </c>
      <c r="AC201">
        <v>9</v>
      </c>
      <c r="AD201">
        <v>4</v>
      </c>
      <c r="AE201">
        <v>65.299351495303497</v>
      </c>
    </row>
    <row r="202" spans="25:31">
      <c r="Y202" s="5">
        <v>45758</v>
      </c>
      <c r="Z202" t="s">
        <v>52</v>
      </c>
      <c r="AA202" t="s">
        <v>49</v>
      </c>
      <c r="AB202">
        <v>11076</v>
      </c>
      <c r="AC202">
        <v>8</v>
      </c>
      <c r="AD202">
        <v>6</v>
      </c>
      <c r="AE202">
        <v>117.73295314793</v>
      </c>
    </row>
    <row r="203" spans="25:31">
      <c r="Y203" s="5">
        <v>45758</v>
      </c>
      <c r="Z203" t="s">
        <v>52</v>
      </c>
      <c r="AA203" t="s">
        <v>55</v>
      </c>
      <c r="AB203">
        <v>11072</v>
      </c>
      <c r="AC203">
        <v>407</v>
      </c>
      <c r="AD203">
        <v>137</v>
      </c>
      <c r="AE203">
        <v>5467.5997025995603</v>
      </c>
    </row>
    <row r="204" spans="25:31">
      <c r="Y204" s="5">
        <v>45758</v>
      </c>
      <c r="Z204" t="s">
        <v>52</v>
      </c>
      <c r="AA204" t="s">
        <v>55</v>
      </c>
      <c r="AB204">
        <v>11073</v>
      </c>
      <c r="AC204">
        <v>304</v>
      </c>
      <c r="AD204">
        <v>91</v>
      </c>
      <c r="AE204">
        <v>3853.8744928584802</v>
      </c>
    </row>
    <row r="205" spans="25:31">
      <c r="Y205" s="5">
        <v>45758</v>
      </c>
      <c r="Z205" t="s">
        <v>52</v>
      </c>
      <c r="AA205" t="s">
        <v>55</v>
      </c>
      <c r="AB205">
        <v>11074</v>
      </c>
      <c r="AC205">
        <v>352</v>
      </c>
      <c r="AD205">
        <v>112</v>
      </c>
      <c r="AE205">
        <v>4715.8924688890902</v>
      </c>
    </row>
    <row r="206" spans="25:31">
      <c r="Y206" s="5">
        <v>45758</v>
      </c>
      <c r="Z206" t="s">
        <v>53</v>
      </c>
      <c r="AA206" t="s">
        <v>49</v>
      </c>
      <c r="AB206">
        <v>11076</v>
      </c>
      <c r="AC206">
        <v>5</v>
      </c>
      <c r="AD206">
        <v>2</v>
      </c>
      <c r="AE206">
        <v>7.7686312797644899</v>
      </c>
    </row>
    <row r="207" spans="25:31">
      <c r="Y207" s="5">
        <v>45758</v>
      </c>
      <c r="Z207" t="s">
        <v>53</v>
      </c>
      <c r="AA207" t="s">
        <v>49</v>
      </c>
      <c r="AB207">
        <v>11077</v>
      </c>
      <c r="AC207">
        <v>5</v>
      </c>
      <c r="AD207">
        <v>5</v>
      </c>
      <c r="AE207">
        <v>70.719819485673895</v>
      </c>
    </row>
    <row r="208" spans="25:31">
      <c r="Y208" s="5">
        <v>45758</v>
      </c>
      <c r="Z208" t="s">
        <v>53</v>
      </c>
      <c r="AA208" t="s">
        <v>49</v>
      </c>
      <c r="AB208">
        <v>11075</v>
      </c>
      <c r="AC208">
        <v>8</v>
      </c>
      <c r="AD208">
        <v>4</v>
      </c>
      <c r="AE208">
        <v>58.155567861349198</v>
      </c>
    </row>
    <row r="209" spans="25:31">
      <c r="Y209" s="5">
        <v>45758</v>
      </c>
      <c r="Z209" t="s">
        <v>53</v>
      </c>
      <c r="AA209" t="s">
        <v>55</v>
      </c>
      <c r="AB209">
        <v>11074</v>
      </c>
      <c r="AC209">
        <v>54</v>
      </c>
      <c r="AD209">
        <v>10</v>
      </c>
      <c r="AE209">
        <v>184.05947171277799</v>
      </c>
    </row>
    <row r="210" spans="25:31">
      <c r="Y210" s="5">
        <v>45758</v>
      </c>
      <c r="Z210" t="s">
        <v>53</v>
      </c>
      <c r="AA210" t="s">
        <v>55</v>
      </c>
      <c r="AB210">
        <v>11073</v>
      </c>
      <c r="AC210">
        <v>34</v>
      </c>
      <c r="AD210">
        <v>8</v>
      </c>
      <c r="AE210">
        <v>183.48377894049699</v>
      </c>
    </row>
    <row r="211" spans="25:31">
      <c r="Y211" s="5">
        <v>45758</v>
      </c>
      <c r="Z211" t="s">
        <v>53</v>
      </c>
      <c r="AA211" t="s">
        <v>55</v>
      </c>
      <c r="AB211">
        <v>11072</v>
      </c>
      <c r="AC211">
        <v>41</v>
      </c>
      <c r="AD211">
        <v>7</v>
      </c>
      <c r="AE211">
        <v>239.61374408617701</v>
      </c>
    </row>
    <row r="212" spans="25:31">
      <c r="Y212" s="5">
        <v>45758</v>
      </c>
      <c r="Z212" t="s">
        <v>54</v>
      </c>
      <c r="AA212" t="s">
        <v>49</v>
      </c>
      <c r="AB212">
        <v>11077</v>
      </c>
      <c r="AC212">
        <v>44</v>
      </c>
      <c r="AD212">
        <v>16</v>
      </c>
      <c r="AE212">
        <v>87.649307833527999</v>
      </c>
    </row>
    <row r="213" spans="25:31">
      <c r="Y213" s="5">
        <v>45758</v>
      </c>
      <c r="Z213" t="s">
        <v>54</v>
      </c>
      <c r="AA213" t="s">
        <v>49</v>
      </c>
      <c r="AB213">
        <v>11076</v>
      </c>
      <c r="AC213">
        <v>29</v>
      </c>
      <c r="AD213">
        <v>15</v>
      </c>
      <c r="AE213">
        <v>87.951876251255797</v>
      </c>
    </row>
    <row r="214" spans="25:31">
      <c r="Y214" s="5">
        <v>45758</v>
      </c>
      <c r="Z214" t="s">
        <v>54</v>
      </c>
      <c r="AA214" t="s">
        <v>49</v>
      </c>
      <c r="AB214">
        <v>11075</v>
      </c>
      <c r="AC214">
        <v>66</v>
      </c>
      <c r="AD214">
        <v>20</v>
      </c>
      <c r="AE214">
        <v>93.457580672869</v>
      </c>
    </row>
    <row r="215" spans="25:31">
      <c r="Y215" s="5">
        <v>45758</v>
      </c>
      <c r="Z215" t="s">
        <v>54</v>
      </c>
      <c r="AA215" t="s">
        <v>55</v>
      </c>
      <c r="AB215">
        <v>11073</v>
      </c>
      <c r="AC215">
        <v>117</v>
      </c>
      <c r="AD215">
        <v>52</v>
      </c>
      <c r="AE215">
        <v>839.08245445086504</v>
      </c>
    </row>
    <row r="216" spans="25:31">
      <c r="Y216" s="5">
        <v>45758</v>
      </c>
      <c r="Z216" t="s">
        <v>54</v>
      </c>
      <c r="AA216" t="s">
        <v>55</v>
      </c>
      <c r="AB216">
        <v>11072</v>
      </c>
      <c r="AC216">
        <v>134</v>
      </c>
      <c r="AD216">
        <v>38</v>
      </c>
      <c r="AE216">
        <v>596.68773956903897</v>
      </c>
    </row>
    <row r="217" spans="25:31">
      <c r="Y217" s="5">
        <v>45758</v>
      </c>
      <c r="Z217" t="s">
        <v>54</v>
      </c>
      <c r="AA217" t="s">
        <v>55</v>
      </c>
      <c r="AB217">
        <v>11074</v>
      </c>
      <c r="AC217">
        <v>107</v>
      </c>
      <c r="AD217">
        <v>38</v>
      </c>
      <c r="AE217">
        <v>479.40596091965602</v>
      </c>
    </row>
    <row r="218" spans="25:31">
      <c r="Y218" s="5">
        <v>45759</v>
      </c>
      <c r="AA218" t="s">
        <v>49</v>
      </c>
      <c r="AB218">
        <v>11075</v>
      </c>
      <c r="AC218">
        <v>1</v>
      </c>
      <c r="AD218">
        <v>0</v>
      </c>
      <c r="AE218">
        <v>0</v>
      </c>
    </row>
    <row r="219" spans="25:31">
      <c r="Y219" s="5">
        <v>45759</v>
      </c>
      <c r="AA219" t="s">
        <v>49</v>
      </c>
      <c r="AB219">
        <v>11077</v>
      </c>
      <c r="AC219">
        <v>3</v>
      </c>
      <c r="AD219">
        <v>2</v>
      </c>
      <c r="AE219">
        <v>7.35605555292641</v>
      </c>
    </row>
    <row r="220" spans="25:31">
      <c r="Y220" s="5">
        <v>45759</v>
      </c>
      <c r="AA220" t="s">
        <v>49</v>
      </c>
      <c r="AB220">
        <v>11076</v>
      </c>
      <c r="AC220">
        <v>0</v>
      </c>
      <c r="AD220">
        <v>0</v>
      </c>
      <c r="AE220">
        <v>0</v>
      </c>
    </row>
    <row r="221" spans="25:31">
      <c r="Y221" s="5">
        <v>45759</v>
      </c>
      <c r="AA221" t="s">
        <v>55</v>
      </c>
      <c r="AB221">
        <v>11072</v>
      </c>
      <c r="AC221">
        <v>8</v>
      </c>
      <c r="AD221">
        <v>6</v>
      </c>
      <c r="AE221">
        <v>197.025914692491</v>
      </c>
    </row>
    <row r="222" spans="25:31">
      <c r="Y222" s="5">
        <v>45759</v>
      </c>
      <c r="AA222" t="s">
        <v>55</v>
      </c>
      <c r="AB222">
        <v>11073</v>
      </c>
      <c r="AC222">
        <v>12</v>
      </c>
      <c r="AD222">
        <v>3</v>
      </c>
      <c r="AE222">
        <v>114.84036825926999</v>
      </c>
    </row>
    <row r="223" spans="25:31">
      <c r="Y223" s="5">
        <v>45759</v>
      </c>
      <c r="AA223" t="s">
        <v>55</v>
      </c>
      <c r="AB223">
        <v>11074</v>
      </c>
      <c r="AC223">
        <v>11</v>
      </c>
      <c r="AD223">
        <v>4</v>
      </c>
      <c r="AE223">
        <v>123.079578984015</v>
      </c>
    </row>
    <row r="224" spans="25:31">
      <c r="Y224" s="5">
        <v>45759</v>
      </c>
      <c r="Z224" t="s">
        <v>52</v>
      </c>
      <c r="AA224" t="s">
        <v>49</v>
      </c>
      <c r="AB224">
        <v>11077</v>
      </c>
      <c r="AC224">
        <v>10</v>
      </c>
      <c r="AD224">
        <v>7</v>
      </c>
      <c r="AE224">
        <v>133.28500041538501</v>
      </c>
    </row>
    <row r="225" spans="25:31">
      <c r="Y225" s="5">
        <v>45759</v>
      </c>
      <c r="Z225" t="s">
        <v>52</v>
      </c>
      <c r="AA225" t="s">
        <v>49</v>
      </c>
      <c r="AB225">
        <v>11076</v>
      </c>
      <c r="AC225">
        <v>4</v>
      </c>
      <c r="AD225">
        <v>2</v>
      </c>
      <c r="AE225">
        <v>27.565118849301498</v>
      </c>
    </row>
    <row r="226" spans="25:31">
      <c r="Y226" s="5">
        <v>45759</v>
      </c>
      <c r="Z226" t="s">
        <v>52</v>
      </c>
      <c r="AA226" t="s">
        <v>49</v>
      </c>
      <c r="AB226">
        <v>11075</v>
      </c>
      <c r="AC226">
        <v>20</v>
      </c>
      <c r="AD226">
        <v>10</v>
      </c>
      <c r="AE226">
        <v>183.149960275187</v>
      </c>
    </row>
    <row r="227" spans="25:31">
      <c r="Y227" s="5">
        <v>45759</v>
      </c>
      <c r="Z227" t="s">
        <v>52</v>
      </c>
      <c r="AA227" t="s">
        <v>55</v>
      </c>
      <c r="AB227">
        <v>11072</v>
      </c>
      <c r="AC227">
        <v>407</v>
      </c>
      <c r="AD227">
        <v>142</v>
      </c>
      <c r="AE227">
        <v>5678.9933371872103</v>
      </c>
    </row>
    <row r="228" spans="25:31">
      <c r="Y228" s="5">
        <v>45759</v>
      </c>
      <c r="Z228" t="s">
        <v>52</v>
      </c>
      <c r="AA228" t="s">
        <v>55</v>
      </c>
      <c r="AB228">
        <v>11073</v>
      </c>
      <c r="AC228">
        <v>325</v>
      </c>
      <c r="AD228">
        <v>114</v>
      </c>
      <c r="AE228">
        <v>4797.9999847155896</v>
      </c>
    </row>
    <row r="229" spans="25:31">
      <c r="Y229" s="5">
        <v>45759</v>
      </c>
      <c r="Z229" t="s">
        <v>52</v>
      </c>
      <c r="AA229" t="s">
        <v>55</v>
      </c>
      <c r="AB229">
        <v>11074</v>
      </c>
      <c r="AC229">
        <v>323</v>
      </c>
      <c r="AD229">
        <v>100</v>
      </c>
      <c r="AE229">
        <v>4127.9442887856803</v>
      </c>
    </row>
    <row r="230" spans="25:31">
      <c r="Y230" s="5">
        <v>45759</v>
      </c>
      <c r="Z230" t="s">
        <v>53</v>
      </c>
      <c r="AA230" t="s">
        <v>49</v>
      </c>
      <c r="AB230">
        <v>11077</v>
      </c>
      <c r="AC230">
        <v>5</v>
      </c>
      <c r="AD230">
        <v>3</v>
      </c>
      <c r="AE230">
        <v>51.860535583222799</v>
      </c>
    </row>
    <row r="231" spans="25:31">
      <c r="Y231" s="5">
        <v>45759</v>
      </c>
      <c r="Z231" t="s">
        <v>53</v>
      </c>
      <c r="AA231" t="s">
        <v>49</v>
      </c>
      <c r="AB231">
        <v>11075</v>
      </c>
      <c r="AC231">
        <v>6</v>
      </c>
      <c r="AD231">
        <v>2</v>
      </c>
      <c r="AE231">
        <v>6.5753027613578796</v>
      </c>
    </row>
    <row r="232" spans="25:31">
      <c r="Y232" s="5">
        <v>45759</v>
      </c>
      <c r="Z232" t="s">
        <v>53</v>
      </c>
      <c r="AA232" t="s">
        <v>49</v>
      </c>
      <c r="AB232">
        <v>11076</v>
      </c>
      <c r="AC232">
        <v>2</v>
      </c>
      <c r="AD232">
        <v>1</v>
      </c>
      <c r="AE232">
        <v>18.188206601492201</v>
      </c>
    </row>
    <row r="233" spans="25:31">
      <c r="Y233" s="5">
        <v>45759</v>
      </c>
      <c r="Z233" t="s">
        <v>53</v>
      </c>
      <c r="AA233" t="s">
        <v>55</v>
      </c>
      <c r="AB233">
        <v>11072</v>
      </c>
      <c r="AC233">
        <v>55</v>
      </c>
      <c r="AD233">
        <v>16</v>
      </c>
      <c r="AE233">
        <v>463.63159283454002</v>
      </c>
    </row>
    <row r="234" spans="25:31">
      <c r="Y234" s="5">
        <v>45759</v>
      </c>
      <c r="Z234" t="s">
        <v>53</v>
      </c>
      <c r="AA234" t="s">
        <v>55</v>
      </c>
      <c r="AB234">
        <v>11074</v>
      </c>
      <c r="AC234">
        <v>43</v>
      </c>
      <c r="AD234">
        <v>13</v>
      </c>
      <c r="AE234">
        <v>421.77630249452397</v>
      </c>
    </row>
    <row r="235" spans="25:31">
      <c r="Y235" s="5">
        <v>45759</v>
      </c>
      <c r="Z235" t="s">
        <v>53</v>
      </c>
      <c r="AA235" t="s">
        <v>55</v>
      </c>
      <c r="AB235">
        <v>11073</v>
      </c>
      <c r="AC235">
        <v>42</v>
      </c>
      <c r="AD235">
        <v>9</v>
      </c>
      <c r="AE235">
        <v>238.50188208468401</v>
      </c>
    </row>
    <row r="236" spans="25:31">
      <c r="Y236" s="5">
        <v>45759</v>
      </c>
      <c r="Z236" t="s">
        <v>54</v>
      </c>
      <c r="AA236" t="s">
        <v>49</v>
      </c>
      <c r="AB236">
        <v>11077</v>
      </c>
      <c r="AC236">
        <v>35</v>
      </c>
      <c r="AD236">
        <v>15</v>
      </c>
      <c r="AE236">
        <v>128.17547421764999</v>
      </c>
    </row>
    <row r="237" spans="25:31">
      <c r="Y237" s="5">
        <v>45759</v>
      </c>
      <c r="Z237" t="s">
        <v>54</v>
      </c>
      <c r="AA237" t="s">
        <v>49</v>
      </c>
      <c r="AB237">
        <v>11076</v>
      </c>
      <c r="AC237">
        <v>23</v>
      </c>
      <c r="AD237">
        <v>6</v>
      </c>
      <c r="AE237">
        <v>33.679902490604</v>
      </c>
    </row>
    <row r="238" spans="25:31">
      <c r="Y238" s="5">
        <v>45759</v>
      </c>
      <c r="Z238" t="s">
        <v>54</v>
      </c>
      <c r="AA238" t="s">
        <v>49</v>
      </c>
      <c r="AB238">
        <v>11075</v>
      </c>
      <c r="AC238">
        <v>57</v>
      </c>
      <c r="AD238">
        <v>21</v>
      </c>
      <c r="AE238">
        <v>111.42562733091199</v>
      </c>
    </row>
    <row r="239" spans="25:31">
      <c r="Y239" s="5">
        <v>45759</v>
      </c>
      <c r="Z239" t="s">
        <v>54</v>
      </c>
      <c r="AA239" t="s">
        <v>55</v>
      </c>
      <c r="AB239">
        <v>11073</v>
      </c>
      <c r="AC239">
        <v>116</v>
      </c>
      <c r="AD239">
        <v>38</v>
      </c>
      <c r="AE239">
        <v>645.183478757128</v>
      </c>
    </row>
    <row r="240" spans="25:31">
      <c r="Y240" s="5">
        <v>45759</v>
      </c>
      <c r="Z240" t="s">
        <v>54</v>
      </c>
      <c r="AA240" t="s">
        <v>55</v>
      </c>
      <c r="AB240">
        <v>11074</v>
      </c>
      <c r="AC240">
        <v>98</v>
      </c>
      <c r="AD240">
        <v>28</v>
      </c>
      <c r="AE240">
        <v>428.009366932604</v>
      </c>
    </row>
    <row r="241" spans="25:31">
      <c r="Y241" s="5">
        <v>45759</v>
      </c>
      <c r="Z241" t="s">
        <v>54</v>
      </c>
      <c r="AA241" t="s">
        <v>55</v>
      </c>
      <c r="AB241">
        <v>11072</v>
      </c>
      <c r="AC241">
        <v>126</v>
      </c>
      <c r="AD241">
        <v>46</v>
      </c>
      <c r="AE241">
        <v>673.83392860524896</v>
      </c>
    </row>
    <row r="242" spans="25:31">
      <c r="Y242" s="5">
        <v>45760</v>
      </c>
      <c r="AA242" t="s">
        <v>49</v>
      </c>
      <c r="AB242">
        <v>11077</v>
      </c>
      <c r="AC242">
        <v>0</v>
      </c>
      <c r="AD242">
        <v>0</v>
      </c>
      <c r="AE242">
        <v>0</v>
      </c>
    </row>
    <row r="243" spans="25:31">
      <c r="Y243" s="5">
        <v>45760</v>
      </c>
      <c r="AA243" t="s">
        <v>49</v>
      </c>
      <c r="AB243">
        <v>11075</v>
      </c>
      <c r="AC243">
        <v>3</v>
      </c>
      <c r="AD243">
        <v>1</v>
      </c>
      <c r="AE243">
        <v>3.69094102174707</v>
      </c>
    </row>
    <row r="244" spans="25:31">
      <c r="Y244" s="5">
        <v>45760</v>
      </c>
      <c r="AA244" t="s">
        <v>49</v>
      </c>
      <c r="AB244">
        <v>11076</v>
      </c>
      <c r="AC244">
        <v>0</v>
      </c>
      <c r="AD244">
        <v>0</v>
      </c>
      <c r="AE244">
        <v>0</v>
      </c>
    </row>
    <row r="245" spans="25:31">
      <c r="Y245" s="5">
        <v>45760</v>
      </c>
      <c r="AA245" t="s">
        <v>55</v>
      </c>
      <c r="AB245">
        <v>11072</v>
      </c>
      <c r="AC245">
        <v>10</v>
      </c>
      <c r="AD245">
        <v>2</v>
      </c>
      <c r="AE245">
        <v>32.344269690143101</v>
      </c>
    </row>
    <row r="246" spans="25:31">
      <c r="Y246" s="5">
        <v>45760</v>
      </c>
      <c r="AA246" t="s">
        <v>55</v>
      </c>
      <c r="AB246">
        <v>11074</v>
      </c>
      <c r="AC246">
        <v>5</v>
      </c>
      <c r="AD246">
        <v>1</v>
      </c>
      <c r="AE246">
        <v>18.4557597386437</v>
      </c>
    </row>
    <row r="247" spans="25:31">
      <c r="Y247" s="5">
        <v>45760</v>
      </c>
      <c r="AA247" t="s">
        <v>55</v>
      </c>
      <c r="AB247">
        <v>11073</v>
      </c>
      <c r="AC247">
        <v>12</v>
      </c>
      <c r="AD247">
        <v>3</v>
      </c>
      <c r="AE247">
        <v>141.05311852286499</v>
      </c>
    </row>
    <row r="248" spans="25:31">
      <c r="Y248" s="5">
        <v>45760</v>
      </c>
      <c r="Z248" t="s">
        <v>52</v>
      </c>
      <c r="AA248" t="s">
        <v>49</v>
      </c>
      <c r="AB248">
        <v>11075</v>
      </c>
      <c r="AC248">
        <v>27</v>
      </c>
      <c r="AD248">
        <v>15</v>
      </c>
      <c r="AE248">
        <v>255.57615306167901</v>
      </c>
    </row>
    <row r="249" spans="25:31">
      <c r="Y249" s="5">
        <v>45760</v>
      </c>
      <c r="Z249" t="s">
        <v>52</v>
      </c>
      <c r="AA249" t="s">
        <v>49</v>
      </c>
      <c r="AB249">
        <v>11077</v>
      </c>
      <c r="AC249">
        <v>13</v>
      </c>
      <c r="AD249">
        <v>10</v>
      </c>
      <c r="AE249">
        <v>183.32722341893199</v>
      </c>
    </row>
    <row r="250" spans="25:31">
      <c r="Y250" s="5">
        <v>45760</v>
      </c>
      <c r="Z250" t="s">
        <v>52</v>
      </c>
      <c r="AA250" t="s">
        <v>49</v>
      </c>
      <c r="AB250">
        <v>11076</v>
      </c>
      <c r="AC250">
        <v>11</v>
      </c>
      <c r="AD250">
        <v>9</v>
      </c>
      <c r="AE250">
        <v>153.645907520842</v>
      </c>
    </row>
    <row r="251" spans="25:31">
      <c r="Y251" s="5">
        <v>45760</v>
      </c>
      <c r="Z251" t="s">
        <v>52</v>
      </c>
      <c r="AA251" t="s">
        <v>55</v>
      </c>
      <c r="AB251">
        <v>11072</v>
      </c>
      <c r="AC251">
        <v>600</v>
      </c>
      <c r="AD251">
        <v>214</v>
      </c>
      <c r="AE251">
        <v>8100.4927332079096</v>
      </c>
    </row>
    <row r="252" spans="25:31">
      <c r="Y252" s="5">
        <v>45760</v>
      </c>
      <c r="Z252" t="s">
        <v>52</v>
      </c>
      <c r="AA252" t="s">
        <v>55</v>
      </c>
      <c r="AB252">
        <v>11074</v>
      </c>
      <c r="AC252">
        <v>526</v>
      </c>
      <c r="AD252">
        <v>189</v>
      </c>
      <c r="AE252">
        <v>8307.3821777829908</v>
      </c>
    </row>
    <row r="253" spans="25:31">
      <c r="Y253" s="5">
        <v>45760</v>
      </c>
      <c r="Z253" t="s">
        <v>52</v>
      </c>
      <c r="AA253" t="s">
        <v>55</v>
      </c>
      <c r="AB253">
        <v>11073</v>
      </c>
      <c r="AC253">
        <v>498</v>
      </c>
      <c r="AD253">
        <v>166</v>
      </c>
      <c r="AE253">
        <v>6589.0517847146803</v>
      </c>
    </row>
    <row r="254" spans="25:31">
      <c r="Y254" s="5">
        <v>45760</v>
      </c>
      <c r="Z254" t="s">
        <v>53</v>
      </c>
      <c r="AA254" t="s">
        <v>49</v>
      </c>
      <c r="AB254">
        <v>11075</v>
      </c>
      <c r="AC254">
        <v>9</v>
      </c>
      <c r="AD254">
        <v>2</v>
      </c>
      <c r="AE254">
        <v>27.694634175983001</v>
      </c>
    </row>
    <row r="255" spans="25:31">
      <c r="Y255" s="5">
        <v>45760</v>
      </c>
      <c r="Z255" t="s">
        <v>53</v>
      </c>
      <c r="AA255" t="s">
        <v>49</v>
      </c>
      <c r="AB255">
        <v>11077</v>
      </c>
      <c r="AC255">
        <v>9</v>
      </c>
      <c r="AD255">
        <v>4</v>
      </c>
      <c r="AE255">
        <v>57.676844221268297</v>
      </c>
    </row>
    <row r="256" spans="25:31">
      <c r="Y256" s="5">
        <v>45760</v>
      </c>
      <c r="Z256" t="s">
        <v>53</v>
      </c>
      <c r="AA256" t="s">
        <v>49</v>
      </c>
      <c r="AB256">
        <v>11076</v>
      </c>
      <c r="AC256">
        <v>1</v>
      </c>
      <c r="AD256">
        <v>1</v>
      </c>
      <c r="AE256">
        <v>5.0135655821800604</v>
      </c>
    </row>
    <row r="257" spans="25:31">
      <c r="Y257" s="5">
        <v>45760</v>
      </c>
      <c r="Z257" t="s">
        <v>53</v>
      </c>
      <c r="AA257" t="s">
        <v>55</v>
      </c>
      <c r="AB257">
        <v>11074</v>
      </c>
      <c r="AC257">
        <v>53</v>
      </c>
      <c r="AD257">
        <v>12</v>
      </c>
      <c r="AE257">
        <v>341.52625708426598</v>
      </c>
    </row>
    <row r="258" spans="25:31">
      <c r="Y258" s="5">
        <v>45760</v>
      </c>
      <c r="Z258" t="s">
        <v>53</v>
      </c>
      <c r="AA258" t="s">
        <v>55</v>
      </c>
      <c r="AB258">
        <v>11073</v>
      </c>
      <c r="AC258">
        <v>50</v>
      </c>
      <c r="AD258">
        <v>9</v>
      </c>
      <c r="AE258">
        <v>232.477469988796</v>
      </c>
    </row>
    <row r="259" spans="25:31">
      <c r="Y259" s="5">
        <v>45760</v>
      </c>
      <c r="Z259" t="s">
        <v>53</v>
      </c>
      <c r="AA259" t="s">
        <v>55</v>
      </c>
      <c r="AB259">
        <v>11072</v>
      </c>
      <c r="AC259">
        <v>66</v>
      </c>
      <c r="AD259">
        <v>14</v>
      </c>
      <c r="AE259">
        <v>365.56429692240602</v>
      </c>
    </row>
    <row r="260" spans="25:31">
      <c r="Y260" s="5">
        <v>45760</v>
      </c>
      <c r="Z260" t="s">
        <v>54</v>
      </c>
      <c r="AA260" t="s">
        <v>49</v>
      </c>
      <c r="AB260">
        <v>11075</v>
      </c>
      <c r="AC260">
        <v>74</v>
      </c>
      <c r="AD260">
        <v>20</v>
      </c>
      <c r="AE260">
        <v>120.57223174779701</v>
      </c>
    </row>
    <row r="261" spans="25:31">
      <c r="Y261" s="5">
        <v>45760</v>
      </c>
      <c r="Z261" t="s">
        <v>54</v>
      </c>
      <c r="AA261" t="s">
        <v>49</v>
      </c>
      <c r="AB261">
        <v>11076</v>
      </c>
      <c r="AC261">
        <v>36</v>
      </c>
      <c r="AD261">
        <v>15</v>
      </c>
      <c r="AE261">
        <v>83.2138689544188</v>
      </c>
    </row>
    <row r="262" spans="25:31">
      <c r="Y262" s="5">
        <v>45760</v>
      </c>
      <c r="Z262" t="s">
        <v>54</v>
      </c>
      <c r="AA262" t="s">
        <v>49</v>
      </c>
      <c r="AB262">
        <v>11077</v>
      </c>
      <c r="AC262">
        <v>50</v>
      </c>
      <c r="AD262">
        <v>19</v>
      </c>
      <c r="AE262">
        <v>125.290400403493</v>
      </c>
    </row>
    <row r="263" spans="25:31">
      <c r="Y263" s="5">
        <v>45760</v>
      </c>
      <c r="Z263" t="s">
        <v>54</v>
      </c>
      <c r="AA263" t="s">
        <v>55</v>
      </c>
      <c r="AB263">
        <v>11072</v>
      </c>
      <c r="AC263">
        <v>191</v>
      </c>
      <c r="AD263">
        <v>58</v>
      </c>
      <c r="AE263">
        <v>747.09363816540497</v>
      </c>
    </row>
    <row r="264" spans="25:31">
      <c r="Y264" s="5">
        <v>45760</v>
      </c>
      <c r="Z264" t="s">
        <v>54</v>
      </c>
      <c r="AA264" t="s">
        <v>55</v>
      </c>
      <c r="AB264">
        <v>11073</v>
      </c>
      <c r="AC264">
        <v>144</v>
      </c>
      <c r="AD264">
        <v>49</v>
      </c>
      <c r="AE264">
        <v>799.55643849161095</v>
      </c>
    </row>
    <row r="265" spans="25:31">
      <c r="Y265" s="5">
        <v>45760</v>
      </c>
      <c r="Z265" t="s">
        <v>54</v>
      </c>
      <c r="AA265" t="s">
        <v>55</v>
      </c>
      <c r="AB265">
        <v>11074</v>
      </c>
      <c r="AC265">
        <v>162</v>
      </c>
      <c r="AD265">
        <v>45</v>
      </c>
      <c r="AE265">
        <v>646.58338334530902</v>
      </c>
    </row>
    <row r="266" spans="25:31">
      <c r="Y266" s="5">
        <v>45761</v>
      </c>
      <c r="AA266" t="s">
        <v>49</v>
      </c>
      <c r="AB266">
        <v>11076</v>
      </c>
      <c r="AC266">
        <v>4</v>
      </c>
      <c r="AD266">
        <v>2</v>
      </c>
      <c r="AE266">
        <v>14.9186641082732</v>
      </c>
    </row>
    <row r="267" spans="25:31">
      <c r="Y267" s="5">
        <v>45761</v>
      </c>
      <c r="AA267" t="s">
        <v>49</v>
      </c>
      <c r="AB267">
        <v>11075</v>
      </c>
      <c r="AC267">
        <v>1</v>
      </c>
      <c r="AD267">
        <v>1</v>
      </c>
      <c r="AE267">
        <v>6.2355398512329598</v>
      </c>
    </row>
    <row r="268" spans="25:31">
      <c r="Y268" s="5">
        <v>45761</v>
      </c>
      <c r="AA268" t="s">
        <v>49</v>
      </c>
      <c r="AB268">
        <v>11077</v>
      </c>
      <c r="AC268">
        <v>2</v>
      </c>
      <c r="AD268">
        <v>2</v>
      </c>
      <c r="AE268">
        <v>19.246468512428901</v>
      </c>
    </row>
    <row r="269" spans="25:31">
      <c r="Y269" s="5">
        <v>45761</v>
      </c>
      <c r="AA269" t="s">
        <v>55</v>
      </c>
      <c r="AB269">
        <v>11074</v>
      </c>
      <c r="AC269">
        <v>9</v>
      </c>
      <c r="AD269">
        <v>4</v>
      </c>
      <c r="AE269">
        <v>116.380604518646</v>
      </c>
    </row>
    <row r="270" spans="25:31">
      <c r="Y270" s="5">
        <v>45761</v>
      </c>
      <c r="AA270" t="s">
        <v>55</v>
      </c>
      <c r="AB270">
        <v>11072</v>
      </c>
      <c r="AC270">
        <v>11</v>
      </c>
      <c r="AD270">
        <v>4</v>
      </c>
      <c r="AE270">
        <v>64.244386340903802</v>
      </c>
    </row>
    <row r="271" spans="25:31">
      <c r="Y271" s="5">
        <v>45761</v>
      </c>
      <c r="AA271" t="s">
        <v>55</v>
      </c>
      <c r="AB271">
        <v>11073</v>
      </c>
      <c r="AC271">
        <v>7</v>
      </c>
      <c r="AD271">
        <v>3</v>
      </c>
      <c r="AE271">
        <v>77.452092605211305</v>
      </c>
    </row>
    <row r="272" spans="25:31">
      <c r="Y272" s="5">
        <v>45761</v>
      </c>
      <c r="Z272" t="s">
        <v>52</v>
      </c>
      <c r="AA272" t="s">
        <v>49</v>
      </c>
      <c r="AB272">
        <v>11077</v>
      </c>
      <c r="AC272">
        <v>9</v>
      </c>
      <c r="AD272">
        <v>5</v>
      </c>
      <c r="AE272">
        <v>56.014634175982998</v>
      </c>
    </row>
    <row r="273" spans="25:31">
      <c r="Y273" s="5">
        <v>45761</v>
      </c>
      <c r="Z273" t="s">
        <v>52</v>
      </c>
      <c r="AA273" t="s">
        <v>49</v>
      </c>
      <c r="AB273">
        <v>11075</v>
      </c>
      <c r="AC273">
        <v>14</v>
      </c>
      <c r="AD273">
        <v>5</v>
      </c>
      <c r="AE273">
        <v>81.559931923946905</v>
      </c>
    </row>
    <row r="274" spans="25:31">
      <c r="Y274" s="5">
        <v>45761</v>
      </c>
      <c r="Z274" t="s">
        <v>52</v>
      </c>
      <c r="AA274" t="s">
        <v>49</v>
      </c>
      <c r="AB274">
        <v>11076</v>
      </c>
      <c r="AC274">
        <v>10</v>
      </c>
      <c r="AD274">
        <v>8</v>
      </c>
      <c r="AE274">
        <v>122.905013678682</v>
      </c>
    </row>
    <row r="275" spans="25:31">
      <c r="Y275" s="5">
        <v>45761</v>
      </c>
      <c r="Z275" t="s">
        <v>52</v>
      </c>
      <c r="AA275" t="s">
        <v>55</v>
      </c>
      <c r="AB275">
        <v>11072</v>
      </c>
      <c r="AC275">
        <v>622</v>
      </c>
      <c r="AD275">
        <v>211</v>
      </c>
      <c r="AE275">
        <v>9028.7406888373298</v>
      </c>
    </row>
    <row r="276" spans="25:31">
      <c r="Y276" s="5">
        <v>45761</v>
      </c>
      <c r="Z276" t="s">
        <v>52</v>
      </c>
      <c r="AA276" t="s">
        <v>55</v>
      </c>
      <c r="AB276">
        <v>11074</v>
      </c>
      <c r="AC276">
        <v>496</v>
      </c>
      <c r="AD276">
        <v>163</v>
      </c>
      <c r="AE276">
        <v>6750.37674533682</v>
      </c>
    </row>
    <row r="277" spans="25:31">
      <c r="Y277" s="5">
        <v>45761</v>
      </c>
      <c r="Z277" t="s">
        <v>52</v>
      </c>
      <c r="AA277" t="s">
        <v>55</v>
      </c>
      <c r="AB277">
        <v>11073</v>
      </c>
      <c r="AC277">
        <v>470</v>
      </c>
      <c r="AD277">
        <v>159</v>
      </c>
      <c r="AE277">
        <v>6745.38282540808</v>
      </c>
    </row>
    <row r="278" spans="25:31">
      <c r="Y278" s="5">
        <v>45761</v>
      </c>
      <c r="Z278" t="s">
        <v>53</v>
      </c>
      <c r="AA278" t="s">
        <v>49</v>
      </c>
      <c r="AB278">
        <v>11076</v>
      </c>
      <c r="AC278">
        <v>5</v>
      </c>
      <c r="AD278">
        <v>2</v>
      </c>
      <c r="AE278">
        <v>10.241871860541099</v>
      </c>
    </row>
    <row r="279" spans="25:31">
      <c r="Y279" s="5">
        <v>45761</v>
      </c>
      <c r="Z279" t="s">
        <v>53</v>
      </c>
      <c r="AA279" t="s">
        <v>49</v>
      </c>
      <c r="AB279">
        <v>11075</v>
      </c>
      <c r="AC279">
        <v>8</v>
      </c>
      <c r="AD279">
        <v>2</v>
      </c>
      <c r="AE279">
        <v>21.8041400433492</v>
      </c>
    </row>
    <row r="280" spans="25:31">
      <c r="Y280" s="5">
        <v>45761</v>
      </c>
      <c r="Z280" t="s">
        <v>53</v>
      </c>
      <c r="AA280" t="s">
        <v>49</v>
      </c>
      <c r="AB280">
        <v>11077</v>
      </c>
      <c r="AC280">
        <v>6</v>
      </c>
      <c r="AD280">
        <v>2</v>
      </c>
      <c r="AE280">
        <v>22.2133302425107</v>
      </c>
    </row>
    <row r="281" spans="25:31">
      <c r="Y281" s="5">
        <v>45761</v>
      </c>
      <c r="Z281" t="s">
        <v>53</v>
      </c>
      <c r="AA281" t="s">
        <v>55</v>
      </c>
      <c r="AB281">
        <v>11074</v>
      </c>
      <c r="AC281">
        <v>57</v>
      </c>
      <c r="AD281">
        <v>13</v>
      </c>
      <c r="AE281">
        <v>339.99739414653402</v>
      </c>
    </row>
    <row r="282" spans="25:31">
      <c r="Y282" s="5">
        <v>45761</v>
      </c>
      <c r="Z282" t="s">
        <v>53</v>
      </c>
      <c r="AA282" t="s">
        <v>55</v>
      </c>
      <c r="AB282">
        <v>11073</v>
      </c>
      <c r="AC282">
        <v>54</v>
      </c>
      <c r="AD282">
        <v>11</v>
      </c>
      <c r="AE282">
        <v>368.691952971967</v>
      </c>
    </row>
    <row r="283" spans="25:31">
      <c r="Y283" s="5">
        <v>45761</v>
      </c>
      <c r="Z283" t="s">
        <v>53</v>
      </c>
      <c r="AA283" t="s">
        <v>55</v>
      </c>
      <c r="AB283">
        <v>11072</v>
      </c>
      <c r="AC283">
        <v>62</v>
      </c>
      <c r="AD283">
        <v>13</v>
      </c>
      <c r="AE283">
        <v>324.50621631190597</v>
      </c>
    </row>
    <row r="284" spans="25:31">
      <c r="Y284" s="5">
        <v>45761</v>
      </c>
      <c r="Z284" t="s">
        <v>54</v>
      </c>
      <c r="AA284" t="s">
        <v>49</v>
      </c>
      <c r="AB284">
        <v>11075</v>
      </c>
      <c r="AC284">
        <v>66</v>
      </c>
      <c r="AD284">
        <v>26</v>
      </c>
      <c r="AE284">
        <v>136.09327281758499</v>
      </c>
    </row>
    <row r="285" spans="25:31">
      <c r="Y285" s="5">
        <v>45761</v>
      </c>
      <c r="Z285" t="s">
        <v>54</v>
      </c>
      <c r="AA285" t="s">
        <v>49</v>
      </c>
      <c r="AB285">
        <v>11077</v>
      </c>
      <c r="AC285">
        <v>34</v>
      </c>
      <c r="AD285">
        <v>16</v>
      </c>
      <c r="AE285">
        <v>83.680716018938895</v>
      </c>
    </row>
    <row r="286" spans="25:31">
      <c r="Y286" s="5">
        <v>45761</v>
      </c>
      <c r="Z286" t="s">
        <v>54</v>
      </c>
      <c r="AA286" t="s">
        <v>49</v>
      </c>
      <c r="AB286">
        <v>11076</v>
      </c>
      <c r="AC286">
        <v>39</v>
      </c>
      <c r="AD286">
        <v>24</v>
      </c>
      <c r="AE286">
        <v>135.95935365618601</v>
      </c>
    </row>
    <row r="287" spans="25:31">
      <c r="Y287" s="5">
        <v>45761</v>
      </c>
      <c r="Z287" t="s">
        <v>54</v>
      </c>
      <c r="AA287" t="s">
        <v>55</v>
      </c>
      <c r="AB287">
        <v>11074</v>
      </c>
      <c r="AC287">
        <v>131</v>
      </c>
      <c r="AD287">
        <v>38</v>
      </c>
      <c r="AE287">
        <v>641.66011570116802</v>
      </c>
    </row>
    <row r="288" spans="25:31">
      <c r="Y288" s="5">
        <v>45761</v>
      </c>
      <c r="Z288" t="s">
        <v>54</v>
      </c>
      <c r="AA288" t="s">
        <v>55</v>
      </c>
      <c r="AB288">
        <v>11073</v>
      </c>
      <c r="AC288">
        <v>121</v>
      </c>
      <c r="AD288">
        <v>32</v>
      </c>
      <c r="AE288">
        <v>596.27640995263698</v>
      </c>
    </row>
    <row r="289" spans="25:31">
      <c r="Y289" s="5">
        <v>45761</v>
      </c>
      <c r="Z289" t="s">
        <v>54</v>
      </c>
      <c r="AA289" t="s">
        <v>55</v>
      </c>
      <c r="AB289">
        <v>11072</v>
      </c>
      <c r="AC289">
        <v>189</v>
      </c>
      <c r="AD289">
        <v>67</v>
      </c>
      <c r="AE289">
        <v>1119.8206986840501</v>
      </c>
    </row>
    <row r="290" spans="25:31">
      <c r="Y290" s="5">
        <v>45762</v>
      </c>
      <c r="AA290" t="s">
        <v>49</v>
      </c>
      <c r="AB290">
        <v>11076</v>
      </c>
      <c r="AC290">
        <v>1</v>
      </c>
      <c r="AD290">
        <v>0</v>
      </c>
      <c r="AE290">
        <v>0</v>
      </c>
    </row>
    <row r="291" spans="25:31">
      <c r="Y291" s="5">
        <v>45762</v>
      </c>
      <c r="AA291" t="s">
        <v>49</v>
      </c>
      <c r="AB291">
        <v>11077</v>
      </c>
      <c r="AC291">
        <v>2</v>
      </c>
      <c r="AD291">
        <v>0</v>
      </c>
      <c r="AE291">
        <v>0</v>
      </c>
    </row>
    <row r="292" spans="25:31">
      <c r="Y292" s="5">
        <v>45762</v>
      </c>
      <c r="AA292" t="s">
        <v>49</v>
      </c>
      <c r="AB292">
        <v>11075</v>
      </c>
      <c r="AC292">
        <v>1</v>
      </c>
      <c r="AD292">
        <v>1</v>
      </c>
      <c r="AE292">
        <v>8.1533101100282597</v>
      </c>
    </row>
    <row r="293" spans="25:31">
      <c r="Y293" s="5">
        <v>45762</v>
      </c>
      <c r="AA293" t="s">
        <v>55</v>
      </c>
      <c r="AB293">
        <v>11072</v>
      </c>
      <c r="AC293">
        <v>6</v>
      </c>
      <c r="AD293">
        <v>3</v>
      </c>
      <c r="AE293">
        <v>163.949955175529</v>
      </c>
    </row>
    <row r="294" spans="25:31">
      <c r="Y294" s="5">
        <v>45762</v>
      </c>
      <c r="AA294" t="s">
        <v>55</v>
      </c>
      <c r="AB294">
        <v>11073</v>
      </c>
      <c r="AC294">
        <v>7</v>
      </c>
      <c r="AD294">
        <v>3</v>
      </c>
      <c r="AE294">
        <v>140.32788870133899</v>
      </c>
    </row>
    <row r="295" spans="25:31">
      <c r="Y295" s="5">
        <v>45762</v>
      </c>
      <c r="AA295" t="s">
        <v>55</v>
      </c>
      <c r="AB295">
        <v>11074</v>
      </c>
      <c r="AC295">
        <v>7</v>
      </c>
      <c r="AD295">
        <v>3</v>
      </c>
      <c r="AE295">
        <v>91.375005459004299</v>
      </c>
    </row>
    <row r="296" spans="25:31">
      <c r="Y296" s="5">
        <v>45762</v>
      </c>
      <c r="Z296" t="s">
        <v>52</v>
      </c>
      <c r="AA296" t="s">
        <v>49</v>
      </c>
      <c r="AB296">
        <v>11076</v>
      </c>
      <c r="AC296">
        <v>10</v>
      </c>
      <c r="AD296">
        <v>5</v>
      </c>
      <c r="AE296">
        <v>88.527091513737901</v>
      </c>
    </row>
    <row r="297" spans="25:31">
      <c r="Y297" s="5">
        <v>45762</v>
      </c>
      <c r="Z297" t="s">
        <v>52</v>
      </c>
      <c r="AA297" t="s">
        <v>49</v>
      </c>
      <c r="AB297">
        <v>11075</v>
      </c>
      <c r="AC297">
        <v>22</v>
      </c>
      <c r="AD297">
        <v>13</v>
      </c>
      <c r="AE297">
        <v>191.21751639860099</v>
      </c>
    </row>
    <row r="298" spans="25:31">
      <c r="Y298" s="5">
        <v>45762</v>
      </c>
      <c r="Z298" t="s">
        <v>52</v>
      </c>
      <c r="AA298" t="s">
        <v>49</v>
      </c>
      <c r="AB298">
        <v>11077</v>
      </c>
      <c r="AC298">
        <v>13</v>
      </c>
      <c r="AD298">
        <v>4</v>
      </c>
      <c r="AE298">
        <v>43.839999999999897</v>
      </c>
    </row>
    <row r="299" spans="25:31">
      <c r="Y299" s="5">
        <v>45762</v>
      </c>
      <c r="Z299" t="s">
        <v>52</v>
      </c>
      <c r="AA299" t="s">
        <v>55</v>
      </c>
      <c r="AB299">
        <v>11074</v>
      </c>
      <c r="AC299">
        <v>393</v>
      </c>
      <c r="AD299">
        <v>130</v>
      </c>
      <c r="AE299">
        <v>5524.7488839943298</v>
      </c>
    </row>
    <row r="300" spans="25:31">
      <c r="Y300" s="5">
        <v>45762</v>
      </c>
      <c r="Z300" t="s">
        <v>52</v>
      </c>
      <c r="AA300" t="s">
        <v>55</v>
      </c>
      <c r="AB300">
        <v>11072</v>
      </c>
      <c r="AC300">
        <v>483</v>
      </c>
      <c r="AD300">
        <v>168</v>
      </c>
      <c r="AE300">
        <v>7429.8781155269999</v>
      </c>
    </row>
    <row r="301" spans="25:31">
      <c r="Y301" s="5">
        <v>45762</v>
      </c>
      <c r="Z301" t="s">
        <v>52</v>
      </c>
      <c r="AA301" t="s">
        <v>55</v>
      </c>
      <c r="AB301">
        <v>11073</v>
      </c>
      <c r="AC301">
        <v>355</v>
      </c>
      <c r="AD301">
        <v>119</v>
      </c>
      <c r="AE301">
        <v>5174.7192327127304</v>
      </c>
    </row>
    <row r="302" spans="25:31">
      <c r="Y302" s="5">
        <v>45762</v>
      </c>
      <c r="Z302" t="s">
        <v>53</v>
      </c>
      <c r="AA302" t="s">
        <v>49</v>
      </c>
      <c r="AB302">
        <v>11075</v>
      </c>
      <c r="AC302">
        <v>11</v>
      </c>
      <c r="AD302">
        <v>4</v>
      </c>
      <c r="AE302">
        <v>59.234400846106901</v>
      </c>
    </row>
    <row r="303" spans="25:31">
      <c r="Y303" s="5">
        <v>45762</v>
      </c>
      <c r="Z303" t="s">
        <v>53</v>
      </c>
      <c r="AA303" t="s">
        <v>49</v>
      </c>
      <c r="AB303">
        <v>11077</v>
      </c>
      <c r="AC303">
        <v>7</v>
      </c>
      <c r="AD303">
        <v>1</v>
      </c>
      <c r="AE303">
        <v>4.9817172715963798</v>
      </c>
    </row>
    <row r="304" spans="25:31">
      <c r="Y304" s="5">
        <v>45762</v>
      </c>
      <c r="Z304" t="s">
        <v>53</v>
      </c>
      <c r="AA304" t="s">
        <v>49</v>
      </c>
      <c r="AB304">
        <v>11076</v>
      </c>
      <c r="AC304">
        <v>6</v>
      </c>
      <c r="AD304">
        <v>3</v>
      </c>
      <c r="AE304">
        <v>11.7703476559987</v>
      </c>
    </row>
    <row r="305" spans="25:31">
      <c r="Y305" s="5">
        <v>45762</v>
      </c>
      <c r="Z305" t="s">
        <v>53</v>
      </c>
      <c r="AA305" t="s">
        <v>55</v>
      </c>
      <c r="AB305">
        <v>11074</v>
      </c>
      <c r="AC305">
        <v>41</v>
      </c>
      <c r="AD305">
        <v>3</v>
      </c>
      <c r="AE305">
        <v>99.951516055592506</v>
      </c>
    </row>
    <row r="306" spans="25:31">
      <c r="Y306" s="5">
        <v>45762</v>
      </c>
      <c r="Z306" t="s">
        <v>53</v>
      </c>
      <c r="AA306" t="s">
        <v>55</v>
      </c>
      <c r="AB306">
        <v>11073</v>
      </c>
      <c r="AC306">
        <v>46</v>
      </c>
      <c r="AD306">
        <v>9</v>
      </c>
      <c r="AE306">
        <v>235.647725928287</v>
      </c>
    </row>
    <row r="307" spans="25:31">
      <c r="Y307" s="5">
        <v>45762</v>
      </c>
      <c r="Z307" t="s">
        <v>53</v>
      </c>
      <c r="AA307" t="s">
        <v>55</v>
      </c>
      <c r="AB307">
        <v>11072</v>
      </c>
      <c r="AC307">
        <v>63</v>
      </c>
      <c r="AD307">
        <v>14</v>
      </c>
      <c r="AE307">
        <v>245.703723765397</v>
      </c>
    </row>
    <row r="308" spans="25:31">
      <c r="Y308" s="5">
        <v>45762</v>
      </c>
      <c r="Z308" t="s">
        <v>54</v>
      </c>
      <c r="AA308" t="s">
        <v>49</v>
      </c>
      <c r="AB308">
        <v>11075</v>
      </c>
      <c r="AC308">
        <v>64</v>
      </c>
      <c r="AD308">
        <v>22</v>
      </c>
      <c r="AE308">
        <v>123.30571650368699</v>
      </c>
    </row>
    <row r="309" spans="25:31">
      <c r="Y309" s="5">
        <v>45762</v>
      </c>
      <c r="Z309" t="s">
        <v>54</v>
      </c>
      <c r="AA309" t="s">
        <v>49</v>
      </c>
      <c r="AB309">
        <v>11077</v>
      </c>
      <c r="AC309">
        <v>49</v>
      </c>
      <c r="AD309">
        <v>18</v>
      </c>
      <c r="AE309">
        <v>104.664841516797</v>
      </c>
    </row>
    <row r="310" spans="25:31">
      <c r="Y310" s="5">
        <v>45762</v>
      </c>
      <c r="Z310" t="s">
        <v>54</v>
      </c>
      <c r="AA310" t="s">
        <v>49</v>
      </c>
      <c r="AB310">
        <v>11076</v>
      </c>
      <c r="AC310">
        <v>31</v>
      </c>
      <c r="AD310">
        <v>13</v>
      </c>
      <c r="AE310">
        <v>71.921779955104</v>
      </c>
    </row>
    <row r="311" spans="25:31">
      <c r="Y311" s="5">
        <v>45762</v>
      </c>
      <c r="Z311" t="s">
        <v>54</v>
      </c>
      <c r="AA311" t="s">
        <v>55</v>
      </c>
      <c r="AB311">
        <v>11073</v>
      </c>
      <c r="AC311">
        <v>98</v>
      </c>
      <c r="AD311">
        <v>29</v>
      </c>
      <c r="AE311">
        <v>418.81368912330601</v>
      </c>
    </row>
    <row r="312" spans="25:31">
      <c r="Y312" s="5">
        <v>45762</v>
      </c>
      <c r="Z312" t="s">
        <v>54</v>
      </c>
      <c r="AA312" t="s">
        <v>55</v>
      </c>
      <c r="AB312">
        <v>11072</v>
      </c>
      <c r="AC312">
        <v>118</v>
      </c>
      <c r="AD312">
        <v>32</v>
      </c>
      <c r="AE312">
        <v>468.19810322277999</v>
      </c>
    </row>
    <row r="313" spans="25:31">
      <c r="Y313" s="5">
        <v>45762</v>
      </c>
      <c r="Z313" t="s">
        <v>54</v>
      </c>
      <c r="AA313" t="s">
        <v>55</v>
      </c>
      <c r="AB313">
        <v>11074</v>
      </c>
      <c r="AC313">
        <v>121</v>
      </c>
      <c r="AD313">
        <v>34</v>
      </c>
      <c r="AE313">
        <v>530.50809629424202</v>
      </c>
    </row>
    <row r="314" spans="25:31">
      <c r="Y314" s="5">
        <v>45763</v>
      </c>
      <c r="AA314" t="s">
        <v>49</v>
      </c>
      <c r="AB314">
        <v>11075</v>
      </c>
      <c r="AC314">
        <v>3</v>
      </c>
      <c r="AD314">
        <v>0</v>
      </c>
      <c r="AE314">
        <v>0</v>
      </c>
    </row>
    <row r="315" spans="25:31">
      <c r="Y315" s="5">
        <v>45763</v>
      </c>
      <c r="AA315" t="s">
        <v>49</v>
      </c>
      <c r="AB315">
        <v>11076</v>
      </c>
      <c r="AC315">
        <v>0</v>
      </c>
      <c r="AD315">
        <v>0</v>
      </c>
      <c r="AE315">
        <v>0</v>
      </c>
    </row>
    <row r="316" spans="25:31">
      <c r="Y316" s="5">
        <v>45763</v>
      </c>
      <c r="AA316" t="s">
        <v>49</v>
      </c>
      <c r="AB316">
        <v>11077</v>
      </c>
      <c r="AC316">
        <v>1</v>
      </c>
      <c r="AD316">
        <v>0</v>
      </c>
      <c r="AE316">
        <v>0</v>
      </c>
    </row>
    <row r="317" spans="25:31">
      <c r="Y317" s="5">
        <v>45763</v>
      </c>
      <c r="AA317" t="s">
        <v>55</v>
      </c>
      <c r="AB317">
        <v>11072</v>
      </c>
      <c r="AC317">
        <v>11</v>
      </c>
      <c r="AD317">
        <v>5</v>
      </c>
      <c r="AE317">
        <v>143.96006813505701</v>
      </c>
    </row>
    <row r="318" spans="25:31">
      <c r="Y318" s="5">
        <v>45763</v>
      </c>
      <c r="AA318" t="s">
        <v>55</v>
      </c>
      <c r="AB318">
        <v>11073</v>
      </c>
      <c r="AC318">
        <v>6</v>
      </c>
      <c r="AD318">
        <v>2</v>
      </c>
      <c r="AE318">
        <v>25.855017131025299</v>
      </c>
    </row>
    <row r="319" spans="25:31">
      <c r="Y319" s="5">
        <v>45763</v>
      </c>
      <c r="AA319" t="s">
        <v>55</v>
      </c>
      <c r="AB319">
        <v>11074</v>
      </c>
      <c r="AC319">
        <v>8</v>
      </c>
      <c r="AD319">
        <v>3</v>
      </c>
      <c r="AE319">
        <v>68.196955463423905</v>
      </c>
    </row>
    <row r="320" spans="25:31">
      <c r="Y320" s="5">
        <v>45763</v>
      </c>
      <c r="Z320" t="s">
        <v>52</v>
      </c>
      <c r="AA320" t="s">
        <v>49</v>
      </c>
      <c r="AB320">
        <v>11075</v>
      </c>
      <c r="AC320">
        <v>15</v>
      </c>
      <c r="AD320">
        <v>7</v>
      </c>
      <c r="AE320">
        <v>139.53538963419501</v>
      </c>
    </row>
    <row r="321" spans="25:31">
      <c r="Y321" s="5">
        <v>45763</v>
      </c>
      <c r="Z321" t="s">
        <v>52</v>
      </c>
      <c r="AA321" t="s">
        <v>49</v>
      </c>
      <c r="AB321">
        <v>11077</v>
      </c>
      <c r="AC321">
        <v>11</v>
      </c>
      <c r="AD321">
        <v>5</v>
      </c>
      <c r="AE321">
        <v>75.907441221008696</v>
      </c>
    </row>
    <row r="322" spans="25:31">
      <c r="Y322" s="5">
        <v>45763</v>
      </c>
      <c r="Z322" t="s">
        <v>52</v>
      </c>
      <c r="AA322" t="s">
        <v>49</v>
      </c>
      <c r="AB322">
        <v>11076</v>
      </c>
      <c r="AC322">
        <v>7</v>
      </c>
      <c r="AD322">
        <v>5</v>
      </c>
      <c r="AE322">
        <v>70.874064496149998</v>
      </c>
    </row>
    <row r="323" spans="25:31">
      <c r="Y323" s="5">
        <v>45763</v>
      </c>
      <c r="Z323" t="s">
        <v>52</v>
      </c>
      <c r="AA323" t="s">
        <v>55</v>
      </c>
      <c r="AB323">
        <v>11073</v>
      </c>
      <c r="AC323">
        <v>335</v>
      </c>
      <c r="AD323">
        <v>123</v>
      </c>
      <c r="AE323">
        <v>5100.5471310310404</v>
      </c>
    </row>
    <row r="324" spans="25:31">
      <c r="Y324" s="5">
        <v>45763</v>
      </c>
      <c r="Z324" t="s">
        <v>52</v>
      </c>
      <c r="AA324" t="s">
        <v>55</v>
      </c>
      <c r="AB324">
        <v>11074</v>
      </c>
      <c r="AC324">
        <v>331</v>
      </c>
      <c r="AD324">
        <v>97</v>
      </c>
      <c r="AE324">
        <v>4030.6866304049499</v>
      </c>
    </row>
    <row r="325" spans="25:31">
      <c r="Y325" s="5">
        <v>45763</v>
      </c>
      <c r="Z325" t="s">
        <v>52</v>
      </c>
      <c r="AA325" t="s">
        <v>55</v>
      </c>
      <c r="AB325">
        <v>11072</v>
      </c>
      <c r="AC325">
        <v>472</v>
      </c>
      <c r="AD325">
        <v>147</v>
      </c>
      <c r="AE325">
        <v>6034.5840340684399</v>
      </c>
    </row>
    <row r="326" spans="25:31">
      <c r="Y326" s="5">
        <v>45763</v>
      </c>
      <c r="Z326" t="s">
        <v>53</v>
      </c>
      <c r="AA326" t="s">
        <v>49</v>
      </c>
      <c r="AB326">
        <v>11076</v>
      </c>
      <c r="AC326">
        <v>2</v>
      </c>
      <c r="AD326">
        <v>1</v>
      </c>
      <c r="AE326">
        <v>14.735910699700501</v>
      </c>
    </row>
    <row r="327" spans="25:31">
      <c r="Y327" s="5">
        <v>45763</v>
      </c>
      <c r="Z327" t="s">
        <v>53</v>
      </c>
      <c r="AA327" t="s">
        <v>49</v>
      </c>
      <c r="AB327">
        <v>11077</v>
      </c>
      <c r="AC327">
        <v>4</v>
      </c>
      <c r="AD327">
        <v>1</v>
      </c>
      <c r="AE327">
        <v>11.916930517813</v>
      </c>
    </row>
    <row r="328" spans="25:31">
      <c r="Y328" s="5">
        <v>45763</v>
      </c>
      <c r="Z328" t="s">
        <v>53</v>
      </c>
      <c r="AA328" t="s">
        <v>49</v>
      </c>
      <c r="AB328">
        <v>11075</v>
      </c>
      <c r="AC328">
        <v>3</v>
      </c>
      <c r="AD328">
        <v>1</v>
      </c>
      <c r="AE328">
        <v>3.5663297582959701</v>
      </c>
    </row>
    <row r="329" spans="25:31">
      <c r="Y329" s="5">
        <v>45763</v>
      </c>
      <c r="Z329" t="s">
        <v>53</v>
      </c>
      <c r="AA329" t="s">
        <v>55</v>
      </c>
      <c r="AB329">
        <v>11072</v>
      </c>
      <c r="AC329">
        <v>63</v>
      </c>
      <c r="AD329">
        <v>13</v>
      </c>
      <c r="AE329">
        <v>472.58357532880302</v>
      </c>
    </row>
    <row r="330" spans="25:31">
      <c r="Y330" s="5">
        <v>45763</v>
      </c>
      <c r="Z330" t="s">
        <v>53</v>
      </c>
      <c r="AA330" t="s">
        <v>55</v>
      </c>
      <c r="AB330">
        <v>11074</v>
      </c>
      <c r="AC330">
        <v>48</v>
      </c>
      <c r="AD330">
        <v>12</v>
      </c>
      <c r="AE330">
        <v>386.60866752248597</v>
      </c>
    </row>
    <row r="331" spans="25:31">
      <c r="Y331" s="5">
        <v>45763</v>
      </c>
      <c r="Z331" t="s">
        <v>53</v>
      </c>
      <c r="AA331" t="s">
        <v>55</v>
      </c>
      <c r="AB331">
        <v>11073</v>
      </c>
      <c r="AC331">
        <v>58</v>
      </c>
      <c r="AD331">
        <v>15</v>
      </c>
      <c r="AE331">
        <v>369.52393599170898</v>
      </c>
    </row>
    <row r="332" spans="25:31">
      <c r="Y332" s="5">
        <v>45763</v>
      </c>
      <c r="Z332" t="s">
        <v>54</v>
      </c>
      <c r="AA332" t="s">
        <v>49</v>
      </c>
      <c r="AB332">
        <v>11075</v>
      </c>
      <c r="AC332">
        <v>57</v>
      </c>
      <c r="AD332">
        <v>21</v>
      </c>
      <c r="AE332">
        <v>127.229834648145</v>
      </c>
    </row>
    <row r="333" spans="25:31">
      <c r="Y333" s="5">
        <v>45763</v>
      </c>
      <c r="Z333" t="s">
        <v>54</v>
      </c>
      <c r="AA333" t="s">
        <v>49</v>
      </c>
      <c r="AB333">
        <v>11076</v>
      </c>
      <c r="AC333">
        <v>34</v>
      </c>
      <c r="AD333">
        <v>20</v>
      </c>
      <c r="AE333">
        <v>119.276360111364</v>
      </c>
    </row>
    <row r="334" spans="25:31">
      <c r="Y334" s="5">
        <v>45763</v>
      </c>
      <c r="Z334" t="s">
        <v>54</v>
      </c>
      <c r="AA334" t="s">
        <v>49</v>
      </c>
      <c r="AB334">
        <v>11077</v>
      </c>
      <c r="AC334">
        <v>38</v>
      </c>
      <c r="AD334">
        <v>13</v>
      </c>
      <c r="AE334">
        <v>63.619846424939901</v>
      </c>
    </row>
    <row r="335" spans="25:31">
      <c r="Y335" s="5">
        <v>45763</v>
      </c>
      <c r="Z335" t="s">
        <v>54</v>
      </c>
      <c r="AA335" t="s">
        <v>55</v>
      </c>
      <c r="AB335">
        <v>11074</v>
      </c>
      <c r="AC335">
        <v>110</v>
      </c>
      <c r="AD335">
        <v>30</v>
      </c>
      <c r="AE335">
        <v>491.137498309335</v>
      </c>
    </row>
    <row r="336" spans="25:31">
      <c r="Y336" s="5">
        <v>45763</v>
      </c>
      <c r="Z336" t="s">
        <v>54</v>
      </c>
      <c r="AA336" t="s">
        <v>55</v>
      </c>
      <c r="AB336">
        <v>11072</v>
      </c>
      <c r="AC336">
        <v>119</v>
      </c>
      <c r="AD336">
        <v>43</v>
      </c>
      <c r="AE336">
        <v>618.735430722366</v>
      </c>
    </row>
    <row r="337" spans="25:31">
      <c r="Y337" s="5">
        <v>45763</v>
      </c>
      <c r="Z337" t="s">
        <v>54</v>
      </c>
      <c r="AA337" t="s">
        <v>55</v>
      </c>
      <c r="AB337">
        <v>11073</v>
      </c>
      <c r="AC337">
        <v>86</v>
      </c>
      <c r="AD337">
        <v>25</v>
      </c>
      <c r="AE337">
        <v>434.97713063486998</v>
      </c>
    </row>
    <row r="338" spans="25:31">
      <c r="Y338" s="5">
        <v>45764</v>
      </c>
      <c r="AA338" t="s">
        <v>49</v>
      </c>
      <c r="AB338">
        <v>11076</v>
      </c>
      <c r="AC338">
        <v>2</v>
      </c>
      <c r="AD338">
        <v>0</v>
      </c>
      <c r="AE338">
        <v>0</v>
      </c>
    </row>
    <row r="339" spans="25:31">
      <c r="Y339" s="5">
        <v>45764</v>
      </c>
      <c r="AA339" t="s">
        <v>49</v>
      </c>
      <c r="AB339">
        <v>11077</v>
      </c>
      <c r="AC339">
        <v>0</v>
      </c>
      <c r="AD339">
        <v>0</v>
      </c>
      <c r="AE339">
        <v>0</v>
      </c>
    </row>
    <row r="340" spans="25:31">
      <c r="Y340" s="5">
        <v>45764</v>
      </c>
      <c r="AA340" t="s">
        <v>49</v>
      </c>
      <c r="AB340">
        <v>11075</v>
      </c>
      <c r="AC340">
        <v>0</v>
      </c>
      <c r="AD340">
        <v>0</v>
      </c>
      <c r="AE340">
        <v>0</v>
      </c>
    </row>
    <row r="341" spans="25:31">
      <c r="Y341" s="5">
        <v>45764</v>
      </c>
      <c r="AA341" t="s">
        <v>55</v>
      </c>
      <c r="AB341">
        <v>11073</v>
      </c>
      <c r="AC341">
        <v>5</v>
      </c>
      <c r="AD341">
        <v>0</v>
      </c>
      <c r="AE341">
        <v>0</v>
      </c>
    </row>
    <row r="342" spans="25:31">
      <c r="Y342" s="5">
        <v>45764</v>
      </c>
      <c r="AA342" t="s">
        <v>55</v>
      </c>
      <c r="AB342">
        <v>11072</v>
      </c>
      <c r="AC342">
        <v>13</v>
      </c>
      <c r="AD342">
        <v>4</v>
      </c>
      <c r="AE342">
        <v>76.852094858775402</v>
      </c>
    </row>
    <row r="343" spans="25:31">
      <c r="Y343" s="5">
        <v>45764</v>
      </c>
      <c r="AA343" t="s">
        <v>55</v>
      </c>
      <c r="AB343">
        <v>11074</v>
      </c>
      <c r="AC343">
        <v>10</v>
      </c>
      <c r="AD343">
        <v>3</v>
      </c>
      <c r="AE343">
        <v>27.1193165743774</v>
      </c>
    </row>
    <row r="344" spans="25:31">
      <c r="Y344" s="5">
        <v>45764</v>
      </c>
      <c r="Z344" t="s">
        <v>52</v>
      </c>
      <c r="AA344" t="s">
        <v>49</v>
      </c>
      <c r="AB344">
        <v>11075</v>
      </c>
      <c r="AC344">
        <v>19</v>
      </c>
      <c r="AD344">
        <v>10</v>
      </c>
      <c r="AE344">
        <v>122.628004231647</v>
      </c>
    </row>
    <row r="345" spans="25:31">
      <c r="Y345" s="5">
        <v>45764</v>
      </c>
      <c r="Z345" t="s">
        <v>52</v>
      </c>
      <c r="AA345" t="s">
        <v>49</v>
      </c>
      <c r="AB345">
        <v>11077</v>
      </c>
      <c r="AC345">
        <v>11</v>
      </c>
      <c r="AD345">
        <v>6</v>
      </c>
      <c r="AE345">
        <v>110.294346991748</v>
      </c>
    </row>
    <row r="346" spans="25:31">
      <c r="Y346" s="5">
        <v>45764</v>
      </c>
      <c r="Z346" t="s">
        <v>52</v>
      </c>
      <c r="AA346" t="s">
        <v>49</v>
      </c>
      <c r="AB346">
        <v>11076</v>
      </c>
      <c r="AC346">
        <v>8</v>
      </c>
      <c r="AD346">
        <v>5</v>
      </c>
      <c r="AE346">
        <v>72.528440923364599</v>
      </c>
    </row>
    <row r="347" spans="25:31">
      <c r="Y347" s="5">
        <v>45764</v>
      </c>
      <c r="Z347" t="s">
        <v>52</v>
      </c>
      <c r="AA347" t="s">
        <v>55</v>
      </c>
      <c r="AB347">
        <v>11072</v>
      </c>
      <c r="AC347">
        <v>401</v>
      </c>
      <c r="AD347">
        <v>145</v>
      </c>
      <c r="AE347">
        <v>5966.4041626935596</v>
      </c>
    </row>
    <row r="348" spans="25:31">
      <c r="Y348" s="5">
        <v>45764</v>
      </c>
      <c r="Z348" t="s">
        <v>52</v>
      </c>
      <c r="AA348" t="s">
        <v>55</v>
      </c>
      <c r="AB348">
        <v>11073</v>
      </c>
      <c r="AC348">
        <v>331</v>
      </c>
      <c r="AD348">
        <v>106</v>
      </c>
      <c r="AE348">
        <v>4790.8234921814101</v>
      </c>
    </row>
    <row r="349" spans="25:31">
      <c r="Y349" s="5">
        <v>45764</v>
      </c>
      <c r="Z349" t="s">
        <v>52</v>
      </c>
      <c r="AA349" t="s">
        <v>55</v>
      </c>
      <c r="AB349">
        <v>11074</v>
      </c>
      <c r="AC349">
        <v>360</v>
      </c>
      <c r="AD349">
        <v>129</v>
      </c>
      <c r="AE349">
        <v>5679.3764904605696</v>
      </c>
    </row>
    <row r="350" spans="25:31">
      <c r="Y350" s="5">
        <v>45764</v>
      </c>
      <c r="Z350" t="s">
        <v>53</v>
      </c>
      <c r="AA350" t="s">
        <v>49</v>
      </c>
      <c r="AB350">
        <v>11076</v>
      </c>
      <c r="AC350">
        <v>2</v>
      </c>
      <c r="AD350">
        <v>0</v>
      </c>
      <c r="AE350">
        <v>0</v>
      </c>
    </row>
    <row r="351" spans="25:31">
      <c r="Y351" s="5">
        <v>45764</v>
      </c>
      <c r="Z351" t="s">
        <v>53</v>
      </c>
      <c r="AA351" t="s">
        <v>49</v>
      </c>
      <c r="AB351">
        <v>11077</v>
      </c>
      <c r="AC351">
        <v>4</v>
      </c>
      <c r="AD351">
        <v>2</v>
      </c>
      <c r="AE351">
        <v>21.2833133253318</v>
      </c>
    </row>
    <row r="352" spans="25:31">
      <c r="Y352" s="5">
        <v>45764</v>
      </c>
      <c r="Z352" t="s">
        <v>53</v>
      </c>
      <c r="AA352" t="s">
        <v>49</v>
      </c>
      <c r="AB352">
        <v>11075</v>
      </c>
      <c r="AC352">
        <v>9</v>
      </c>
      <c r="AD352">
        <v>2</v>
      </c>
      <c r="AE352">
        <v>23.333021376148</v>
      </c>
    </row>
    <row r="353" spans="25:31">
      <c r="Y353" s="5">
        <v>45764</v>
      </c>
      <c r="Z353" t="s">
        <v>53</v>
      </c>
      <c r="AA353" t="s">
        <v>55</v>
      </c>
      <c r="AB353">
        <v>11072</v>
      </c>
      <c r="AC353">
        <v>61</v>
      </c>
      <c r="AD353">
        <v>21</v>
      </c>
      <c r="AE353">
        <v>647.43580985631604</v>
      </c>
    </row>
    <row r="354" spans="25:31">
      <c r="Y354" s="5">
        <v>45764</v>
      </c>
      <c r="Z354" t="s">
        <v>53</v>
      </c>
      <c r="AA354" t="s">
        <v>55</v>
      </c>
      <c r="AB354">
        <v>11073</v>
      </c>
      <c r="AC354">
        <v>48</v>
      </c>
      <c r="AD354">
        <v>11</v>
      </c>
      <c r="AE354">
        <v>279.282196207185</v>
      </c>
    </row>
    <row r="355" spans="25:31">
      <c r="Y355" s="5">
        <v>45764</v>
      </c>
      <c r="Z355" t="s">
        <v>53</v>
      </c>
      <c r="AA355" t="s">
        <v>55</v>
      </c>
      <c r="AB355">
        <v>11074</v>
      </c>
      <c r="AC355">
        <v>47</v>
      </c>
      <c r="AD355">
        <v>8</v>
      </c>
      <c r="AE355">
        <v>241.19473187009001</v>
      </c>
    </row>
    <row r="356" spans="25:31">
      <c r="Y356" s="5">
        <v>45764</v>
      </c>
      <c r="Z356" t="s">
        <v>54</v>
      </c>
      <c r="AA356" t="s">
        <v>49</v>
      </c>
      <c r="AB356">
        <v>11077</v>
      </c>
      <c r="AC356">
        <v>53</v>
      </c>
      <c r="AD356">
        <v>17</v>
      </c>
      <c r="AE356">
        <v>96.007992198408701</v>
      </c>
    </row>
    <row r="357" spans="25:31">
      <c r="Y357" s="5">
        <v>45764</v>
      </c>
      <c r="Z357" t="s">
        <v>54</v>
      </c>
      <c r="AA357" t="s">
        <v>49</v>
      </c>
      <c r="AB357">
        <v>11075</v>
      </c>
      <c r="AC357">
        <v>54</v>
      </c>
      <c r="AD357">
        <v>21</v>
      </c>
      <c r="AE357">
        <v>112.21970952592</v>
      </c>
    </row>
    <row r="358" spans="25:31">
      <c r="Y358" s="5">
        <v>45764</v>
      </c>
      <c r="Z358" t="s">
        <v>54</v>
      </c>
      <c r="AA358" t="s">
        <v>49</v>
      </c>
      <c r="AB358">
        <v>11076</v>
      </c>
      <c r="AC358">
        <v>33</v>
      </c>
      <c r="AD358">
        <v>18</v>
      </c>
      <c r="AE358">
        <v>104.07880466081799</v>
      </c>
    </row>
    <row r="359" spans="25:31">
      <c r="Y359" s="5">
        <v>45764</v>
      </c>
      <c r="Z359" t="s">
        <v>54</v>
      </c>
      <c r="AA359" t="s">
        <v>55</v>
      </c>
      <c r="AB359">
        <v>11074</v>
      </c>
      <c r="AC359">
        <v>105</v>
      </c>
      <c r="AD359">
        <v>29</v>
      </c>
      <c r="AE359">
        <v>452.42582894545598</v>
      </c>
    </row>
    <row r="360" spans="25:31">
      <c r="Y360" s="5">
        <v>45764</v>
      </c>
      <c r="Z360" t="s">
        <v>54</v>
      </c>
      <c r="AA360" t="s">
        <v>55</v>
      </c>
      <c r="AB360">
        <v>11073</v>
      </c>
      <c r="AC360">
        <v>118</v>
      </c>
      <c r="AD360">
        <v>44</v>
      </c>
      <c r="AE360">
        <v>625.53798033913597</v>
      </c>
    </row>
    <row r="361" spans="25:31">
      <c r="Y361" s="5">
        <v>45764</v>
      </c>
      <c r="Z361" t="s">
        <v>54</v>
      </c>
      <c r="AA361" t="s">
        <v>55</v>
      </c>
      <c r="AB361">
        <v>11072</v>
      </c>
      <c r="AC361">
        <v>123</v>
      </c>
      <c r="AD361">
        <v>42</v>
      </c>
      <c r="AE361">
        <v>626.45517558502002</v>
      </c>
    </row>
    <row r="362" spans="25:31">
      <c r="Y362" s="5">
        <v>45765</v>
      </c>
      <c r="AA362" t="s">
        <v>49</v>
      </c>
      <c r="AB362">
        <v>11077</v>
      </c>
      <c r="AC362">
        <v>3</v>
      </c>
      <c r="AD362">
        <v>0</v>
      </c>
      <c r="AE362">
        <v>0</v>
      </c>
    </row>
    <row r="363" spans="25:31">
      <c r="Y363" s="5">
        <v>45765</v>
      </c>
      <c r="AA363" t="s">
        <v>49</v>
      </c>
      <c r="AB363">
        <v>11075</v>
      </c>
      <c r="AC363">
        <v>1</v>
      </c>
      <c r="AD363">
        <v>0</v>
      </c>
      <c r="AE363">
        <v>0</v>
      </c>
    </row>
    <row r="364" spans="25:31">
      <c r="Y364" s="5">
        <v>45765</v>
      </c>
      <c r="AA364" t="s">
        <v>49</v>
      </c>
      <c r="AB364">
        <v>11076</v>
      </c>
      <c r="AC364">
        <v>0</v>
      </c>
      <c r="AD364">
        <v>0</v>
      </c>
      <c r="AE364">
        <v>0</v>
      </c>
    </row>
    <row r="365" spans="25:31">
      <c r="Y365" s="5">
        <v>45765</v>
      </c>
      <c r="AA365" t="s">
        <v>55</v>
      </c>
      <c r="AB365">
        <v>11073</v>
      </c>
      <c r="AC365">
        <v>6</v>
      </c>
      <c r="AD365">
        <v>2</v>
      </c>
      <c r="AE365">
        <v>81.016293377871307</v>
      </c>
    </row>
    <row r="366" spans="25:31">
      <c r="Y366" s="5">
        <v>45765</v>
      </c>
      <c r="AA366" t="s">
        <v>55</v>
      </c>
      <c r="AB366">
        <v>11072</v>
      </c>
      <c r="AC366">
        <v>9</v>
      </c>
      <c r="AD366">
        <v>3</v>
      </c>
      <c r="AE366">
        <v>44.442647672829096</v>
      </c>
    </row>
    <row r="367" spans="25:31">
      <c r="Y367" s="5">
        <v>45765</v>
      </c>
      <c r="AA367" t="s">
        <v>55</v>
      </c>
      <c r="AB367">
        <v>11074</v>
      </c>
      <c r="AC367">
        <v>8</v>
      </c>
      <c r="AD367">
        <v>4</v>
      </c>
      <c r="AE367">
        <v>124.58140726907099</v>
      </c>
    </row>
    <row r="368" spans="25:31">
      <c r="Y368" s="5">
        <v>45765</v>
      </c>
      <c r="Z368" t="s">
        <v>52</v>
      </c>
      <c r="AA368" t="s">
        <v>49</v>
      </c>
      <c r="AB368">
        <v>11077</v>
      </c>
      <c r="AC368">
        <v>17</v>
      </c>
      <c r="AD368">
        <v>12</v>
      </c>
      <c r="AE368">
        <v>258.64767678830901</v>
      </c>
    </row>
    <row r="369" spans="25:31">
      <c r="Y369" s="5">
        <v>45765</v>
      </c>
      <c r="Z369" t="s">
        <v>52</v>
      </c>
      <c r="AA369" t="s">
        <v>49</v>
      </c>
      <c r="AB369">
        <v>11076</v>
      </c>
      <c r="AC369">
        <v>12</v>
      </c>
      <c r="AD369">
        <v>9</v>
      </c>
      <c r="AE369">
        <v>70.775516108257904</v>
      </c>
    </row>
    <row r="370" spans="25:31">
      <c r="Y370" s="5">
        <v>45765</v>
      </c>
      <c r="Z370" t="s">
        <v>52</v>
      </c>
      <c r="AA370" t="s">
        <v>49</v>
      </c>
      <c r="AB370">
        <v>11075</v>
      </c>
      <c r="AC370">
        <v>18</v>
      </c>
      <c r="AD370">
        <v>9</v>
      </c>
      <c r="AE370">
        <v>167.248000025528</v>
      </c>
    </row>
    <row r="371" spans="25:31">
      <c r="Y371" s="5">
        <v>45765</v>
      </c>
      <c r="Z371" t="s">
        <v>52</v>
      </c>
      <c r="AA371" t="s">
        <v>55</v>
      </c>
      <c r="AB371">
        <v>11073</v>
      </c>
      <c r="AC371">
        <v>377</v>
      </c>
      <c r="AD371">
        <v>127</v>
      </c>
      <c r="AE371">
        <v>5711.46527218747</v>
      </c>
    </row>
    <row r="372" spans="25:31">
      <c r="Y372" s="5">
        <v>45765</v>
      </c>
      <c r="Z372" t="s">
        <v>52</v>
      </c>
      <c r="AA372" t="s">
        <v>55</v>
      </c>
      <c r="AB372">
        <v>11072</v>
      </c>
      <c r="AC372">
        <v>453</v>
      </c>
      <c r="AD372">
        <v>149</v>
      </c>
      <c r="AE372">
        <v>6106.4634063469202</v>
      </c>
    </row>
    <row r="373" spans="25:31">
      <c r="Y373" s="5">
        <v>45765</v>
      </c>
      <c r="Z373" t="s">
        <v>52</v>
      </c>
      <c r="AA373" t="s">
        <v>55</v>
      </c>
      <c r="AB373">
        <v>11074</v>
      </c>
      <c r="AC373">
        <v>425</v>
      </c>
      <c r="AD373">
        <v>136</v>
      </c>
      <c r="AE373">
        <v>5639.4719791286097</v>
      </c>
    </row>
    <row r="374" spans="25:31">
      <c r="Y374" s="5">
        <v>45765</v>
      </c>
      <c r="Z374" t="s">
        <v>53</v>
      </c>
      <c r="AA374" t="s">
        <v>49</v>
      </c>
      <c r="AB374">
        <v>11077</v>
      </c>
      <c r="AC374">
        <v>7</v>
      </c>
      <c r="AD374">
        <v>6</v>
      </c>
      <c r="AE374">
        <v>69.275477797188302</v>
      </c>
    </row>
    <row r="375" spans="25:31">
      <c r="Y375" s="5">
        <v>45765</v>
      </c>
      <c r="Z375" t="s">
        <v>53</v>
      </c>
      <c r="AA375" t="s">
        <v>49</v>
      </c>
      <c r="AB375">
        <v>11076</v>
      </c>
      <c r="AC375">
        <v>6</v>
      </c>
      <c r="AD375">
        <v>3</v>
      </c>
      <c r="AE375">
        <v>35.098319362404702</v>
      </c>
    </row>
    <row r="376" spans="25:31">
      <c r="Y376" s="5">
        <v>45765</v>
      </c>
      <c r="Z376" t="s">
        <v>53</v>
      </c>
      <c r="AA376" t="s">
        <v>49</v>
      </c>
      <c r="AB376">
        <v>11075</v>
      </c>
      <c r="AC376">
        <v>4</v>
      </c>
      <c r="AD376">
        <v>1</v>
      </c>
      <c r="AE376">
        <v>11.996275031118699</v>
      </c>
    </row>
    <row r="377" spans="25:31">
      <c r="Y377" s="5">
        <v>45765</v>
      </c>
      <c r="Z377" t="s">
        <v>53</v>
      </c>
      <c r="AA377" t="s">
        <v>55</v>
      </c>
      <c r="AB377">
        <v>11073</v>
      </c>
      <c r="AC377">
        <v>51</v>
      </c>
      <c r="AD377">
        <v>5</v>
      </c>
      <c r="AE377">
        <v>181.22366230941901</v>
      </c>
    </row>
    <row r="378" spans="25:31">
      <c r="Y378" s="5">
        <v>45765</v>
      </c>
      <c r="Z378" t="s">
        <v>53</v>
      </c>
      <c r="AA378" t="s">
        <v>55</v>
      </c>
      <c r="AB378">
        <v>11074</v>
      </c>
      <c r="AC378">
        <v>60</v>
      </c>
      <c r="AD378">
        <v>15</v>
      </c>
      <c r="AE378">
        <v>300.121600501464</v>
      </c>
    </row>
    <row r="379" spans="25:31">
      <c r="Y379" s="5">
        <v>45765</v>
      </c>
      <c r="Z379" t="s">
        <v>53</v>
      </c>
      <c r="AA379" t="s">
        <v>55</v>
      </c>
      <c r="AB379">
        <v>11072</v>
      </c>
      <c r="AC379">
        <v>72</v>
      </c>
      <c r="AD379">
        <v>20</v>
      </c>
      <c r="AE379">
        <v>501.85236050505699</v>
      </c>
    </row>
    <row r="380" spans="25:31">
      <c r="Y380" s="5">
        <v>45765</v>
      </c>
      <c r="Z380" t="s">
        <v>54</v>
      </c>
      <c r="AA380" t="s">
        <v>49</v>
      </c>
      <c r="AB380">
        <v>11077</v>
      </c>
      <c r="AC380">
        <v>48</v>
      </c>
      <c r="AD380">
        <v>14</v>
      </c>
      <c r="AE380">
        <v>75.429086985811097</v>
      </c>
    </row>
    <row r="381" spans="25:31">
      <c r="Y381" s="5">
        <v>45765</v>
      </c>
      <c r="Z381" t="s">
        <v>54</v>
      </c>
      <c r="AA381" t="s">
        <v>49</v>
      </c>
      <c r="AB381">
        <v>11076</v>
      </c>
      <c r="AC381">
        <v>36</v>
      </c>
      <c r="AD381">
        <v>14</v>
      </c>
      <c r="AE381">
        <v>64.698343864439494</v>
      </c>
    </row>
    <row r="382" spans="25:31">
      <c r="Y382" s="5">
        <v>45765</v>
      </c>
      <c r="Z382" t="s">
        <v>54</v>
      </c>
      <c r="AA382" t="s">
        <v>49</v>
      </c>
      <c r="AB382">
        <v>11075</v>
      </c>
      <c r="AC382">
        <v>59</v>
      </c>
      <c r="AD382">
        <v>24</v>
      </c>
      <c r="AE382">
        <v>133.43902566973</v>
      </c>
    </row>
    <row r="383" spans="25:31">
      <c r="Y383" s="5">
        <v>45765</v>
      </c>
      <c r="Z383" t="s">
        <v>54</v>
      </c>
      <c r="AA383" t="s">
        <v>55</v>
      </c>
      <c r="AB383">
        <v>11072</v>
      </c>
      <c r="AC383">
        <v>154</v>
      </c>
      <c r="AD383">
        <v>52</v>
      </c>
      <c r="AE383">
        <v>877.57704826005204</v>
      </c>
    </row>
    <row r="384" spans="25:31">
      <c r="Y384" s="5">
        <v>45765</v>
      </c>
      <c r="Z384" t="s">
        <v>54</v>
      </c>
      <c r="AA384" t="s">
        <v>55</v>
      </c>
      <c r="AB384">
        <v>11073</v>
      </c>
      <c r="AC384">
        <v>99</v>
      </c>
      <c r="AD384">
        <v>32</v>
      </c>
      <c r="AE384">
        <v>531.48157196965496</v>
      </c>
    </row>
    <row r="385" spans="25:31">
      <c r="Y385" s="5">
        <v>45765</v>
      </c>
      <c r="Z385" t="s">
        <v>54</v>
      </c>
      <c r="AA385" t="s">
        <v>55</v>
      </c>
      <c r="AB385">
        <v>11074</v>
      </c>
      <c r="AC385">
        <v>139</v>
      </c>
      <c r="AD385">
        <v>42</v>
      </c>
      <c r="AE385">
        <v>801.89227040512696</v>
      </c>
    </row>
    <row r="386" spans="25:31">
      <c r="Y386" s="5">
        <v>45766</v>
      </c>
      <c r="AA386" t="s">
        <v>49</v>
      </c>
      <c r="AB386">
        <v>11075</v>
      </c>
      <c r="AC386">
        <v>2</v>
      </c>
      <c r="AD386">
        <v>1</v>
      </c>
      <c r="AE386">
        <v>2.5773181640751899</v>
      </c>
    </row>
    <row r="387" spans="25:31">
      <c r="Y387" s="5">
        <v>45766</v>
      </c>
      <c r="AA387" t="s">
        <v>49</v>
      </c>
      <c r="AB387">
        <v>11077</v>
      </c>
      <c r="AC387">
        <v>1</v>
      </c>
      <c r="AD387">
        <v>0</v>
      </c>
      <c r="AE387">
        <v>0</v>
      </c>
    </row>
    <row r="388" spans="25:31">
      <c r="Y388" s="5">
        <v>45766</v>
      </c>
      <c r="AA388" t="s">
        <v>49</v>
      </c>
      <c r="AB388">
        <v>11076</v>
      </c>
      <c r="AC388">
        <v>0</v>
      </c>
      <c r="AD388">
        <v>0</v>
      </c>
      <c r="AE388">
        <v>0</v>
      </c>
    </row>
    <row r="389" spans="25:31">
      <c r="Y389" s="5">
        <v>45766</v>
      </c>
      <c r="AA389" t="s">
        <v>55</v>
      </c>
      <c r="AB389">
        <v>11072</v>
      </c>
      <c r="AC389">
        <v>10</v>
      </c>
      <c r="AD389">
        <v>4</v>
      </c>
      <c r="AE389">
        <v>156.222080764503</v>
      </c>
    </row>
    <row r="390" spans="25:31">
      <c r="Y390" s="5">
        <v>45766</v>
      </c>
      <c r="AA390" t="s">
        <v>55</v>
      </c>
      <c r="AB390">
        <v>11074</v>
      </c>
      <c r="AC390">
        <v>15</v>
      </c>
      <c r="AD390">
        <v>4</v>
      </c>
      <c r="AE390">
        <v>119.86021182771999</v>
      </c>
    </row>
    <row r="391" spans="25:31">
      <c r="Y391" s="5">
        <v>45766</v>
      </c>
      <c r="AA391" t="s">
        <v>55</v>
      </c>
      <c r="AB391">
        <v>11073</v>
      </c>
      <c r="AC391">
        <v>13</v>
      </c>
      <c r="AD391">
        <v>6</v>
      </c>
      <c r="AE391">
        <v>222.67683026579499</v>
      </c>
    </row>
    <row r="392" spans="25:31">
      <c r="Y392" s="5">
        <v>45766</v>
      </c>
      <c r="Z392" t="s">
        <v>52</v>
      </c>
      <c r="AA392" t="s">
        <v>49</v>
      </c>
      <c r="AB392">
        <v>11076</v>
      </c>
      <c r="AC392">
        <v>8</v>
      </c>
      <c r="AD392">
        <v>7</v>
      </c>
      <c r="AE392">
        <v>127.32862825882</v>
      </c>
    </row>
    <row r="393" spans="25:31">
      <c r="Y393" s="5">
        <v>45766</v>
      </c>
      <c r="Z393" t="s">
        <v>52</v>
      </c>
      <c r="AA393" t="s">
        <v>49</v>
      </c>
      <c r="AB393">
        <v>11077</v>
      </c>
      <c r="AC393">
        <v>16</v>
      </c>
      <c r="AD393">
        <v>11</v>
      </c>
      <c r="AE393">
        <v>187.10184038826301</v>
      </c>
    </row>
    <row r="394" spans="25:31">
      <c r="Y394" s="5">
        <v>45766</v>
      </c>
      <c r="Z394" t="s">
        <v>52</v>
      </c>
      <c r="AA394" t="s">
        <v>49</v>
      </c>
      <c r="AB394">
        <v>11075</v>
      </c>
      <c r="AC394">
        <v>16</v>
      </c>
      <c r="AD394">
        <v>7</v>
      </c>
      <c r="AE394">
        <v>103.265738332767</v>
      </c>
    </row>
    <row r="395" spans="25:31">
      <c r="Y395" s="5">
        <v>45766</v>
      </c>
      <c r="Z395" t="s">
        <v>52</v>
      </c>
      <c r="AA395" t="s">
        <v>55</v>
      </c>
      <c r="AB395">
        <v>11072</v>
      </c>
      <c r="AC395">
        <v>590</v>
      </c>
      <c r="AD395">
        <v>176</v>
      </c>
      <c r="AE395">
        <v>7003.8436191773799</v>
      </c>
    </row>
    <row r="396" spans="25:31">
      <c r="Y396" s="5">
        <v>45766</v>
      </c>
      <c r="Z396" t="s">
        <v>52</v>
      </c>
      <c r="AA396" t="s">
        <v>55</v>
      </c>
      <c r="AB396">
        <v>11074</v>
      </c>
      <c r="AC396">
        <v>487</v>
      </c>
      <c r="AD396">
        <v>133</v>
      </c>
      <c r="AE396">
        <v>5303.4078826596897</v>
      </c>
    </row>
    <row r="397" spans="25:31">
      <c r="Y397" s="5">
        <v>45766</v>
      </c>
      <c r="Z397" t="s">
        <v>52</v>
      </c>
      <c r="AA397" t="s">
        <v>55</v>
      </c>
      <c r="AB397">
        <v>11073</v>
      </c>
      <c r="AC397">
        <v>513</v>
      </c>
      <c r="AD397">
        <v>155</v>
      </c>
      <c r="AE397">
        <v>6088.2283501668499</v>
      </c>
    </row>
    <row r="398" spans="25:31">
      <c r="Y398" s="5">
        <v>45766</v>
      </c>
      <c r="Z398" t="s">
        <v>53</v>
      </c>
      <c r="AA398" t="s">
        <v>49</v>
      </c>
      <c r="AB398">
        <v>11075</v>
      </c>
      <c r="AC398">
        <v>10</v>
      </c>
      <c r="AD398">
        <v>3</v>
      </c>
      <c r="AE398">
        <v>21.628586777187099</v>
      </c>
    </row>
    <row r="399" spans="25:31">
      <c r="Y399" s="5">
        <v>45766</v>
      </c>
      <c r="Z399" t="s">
        <v>53</v>
      </c>
      <c r="AA399" t="s">
        <v>49</v>
      </c>
      <c r="AB399">
        <v>11076</v>
      </c>
      <c r="AC399">
        <v>8</v>
      </c>
      <c r="AD399">
        <v>3</v>
      </c>
      <c r="AE399">
        <v>14.2558858047936</v>
      </c>
    </row>
    <row r="400" spans="25:31">
      <c r="Y400" s="5">
        <v>45766</v>
      </c>
      <c r="Z400" t="s">
        <v>53</v>
      </c>
      <c r="AA400" t="s">
        <v>49</v>
      </c>
      <c r="AB400">
        <v>11077</v>
      </c>
      <c r="AC400">
        <v>6</v>
      </c>
      <c r="AD400">
        <v>3</v>
      </c>
      <c r="AE400">
        <v>30.594913439890998</v>
      </c>
    </row>
    <row r="401" spans="25:31">
      <c r="Y401" s="5">
        <v>45766</v>
      </c>
      <c r="Z401" t="s">
        <v>53</v>
      </c>
      <c r="AA401" t="s">
        <v>55</v>
      </c>
      <c r="AB401">
        <v>11072</v>
      </c>
      <c r="AC401">
        <v>73</v>
      </c>
      <c r="AD401">
        <v>22</v>
      </c>
      <c r="AE401">
        <v>525.83690074873095</v>
      </c>
    </row>
    <row r="402" spans="25:31">
      <c r="Y402" s="5">
        <v>45766</v>
      </c>
      <c r="Z402" t="s">
        <v>53</v>
      </c>
      <c r="AA402" t="s">
        <v>55</v>
      </c>
      <c r="AB402">
        <v>11073</v>
      </c>
      <c r="AC402">
        <v>67</v>
      </c>
      <c r="AD402">
        <v>13</v>
      </c>
      <c r="AE402">
        <v>377.427910604472</v>
      </c>
    </row>
    <row r="403" spans="25:31">
      <c r="Y403" s="5">
        <v>45766</v>
      </c>
      <c r="Z403" t="s">
        <v>53</v>
      </c>
      <c r="AA403" t="s">
        <v>55</v>
      </c>
      <c r="AB403">
        <v>11074</v>
      </c>
      <c r="AC403">
        <v>54</v>
      </c>
      <c r="AD403">
        <v>13</v>
      </c>
      <c r="AE403">
        <v>318.96624511664902</v>
      </c>
    </row>
    <row r="404" spans="25:31">
      <c r="Y404" s="5">
        <v>45766</v>
      </c>
      <c r="Z404" t="s">
        <v>54</v>
      </c>
      <c r="AA404" t="s">
        <v>49</v>
      </c>
      <c r="AB404">
        <v>11075</v>
      </c>
      <c r="AC404">
        <v>55</v>
      </c>
      <c r="AD404">
        <v>25</v>
      </c>
      <c r="AE404">
        <v>161.87354397235299</v>
      </c>
    </row>
    <row r="405" spans="25:31">
      <c r="Y405" s="5">
        <v>45766</v>
      </c>
      <c r="Z405" t="s">
        <v>54</v>
      </c>
      <c r="AA405" t="s">
        <v>49</v>
      </c>
      <c r="AB405">
        <v>11076</v>
      </c>
      <c r="AC405">
        <v>48</v>
      </c>
      <c r="AD405">
        <v>19</v>
      </c>
      <c r="AE405">
        <v>97.493546283434497</v>
      </c>
    </row>
    <row r="406" spans="25:31">
      <c r="Y406" s="5">
        <v>45766</v>
      </c>
      <c r="Z406" t="s">
        <v>54</v>
      </c>
      <c r="AA406" t="s">
        <v>49</v>
      </c>
      <c r="AB406">
        <v>11077</v>
      </c>
      <c r="AC406">
        <v>58</v>
      </c>
      <c r="AD406">
        <v>24</v>
      </c>
      <c r="AE406">
        <v>114.77872697286701</v>
      </c>
    </row>
    <row r="407" spans="25:31">
      <c r="Y407" s="5">
        <v>45766</v>
      </c>
      <c r="Z407" t="s">
        <v>54</v>
      </c>
      <c r="AA407" t="s">
        <v>55</v>
      </c>
      <c r="AB407">
        <v>11072</v>
      </c>
      <c r="AC407">
        <v>236</v>
      </c>
      <c r="AD407">
        <v>85</v>
      </c>
      <c r="AE407">
        <v>1304.6703299047099</v>
      </c>
    </row>
    <row r="408" spans="25:31">
      <c r="Y408" s="5">
        <v>45766</v>
      </c>
      <c r="Z408" t="s">
        <v>54</v>
      </c>
      <c r="AA408" t="s">
        <v>55</v>
      </c>
      <c r="AB408">
        <v>11073</v>
      </c>
      <c r="AC408">
        <v>176</v>
      </c>
      <c r="AD408">
        <v>49</v>
      </c>
      <c r="AE408">
        <v>701.95088992118394</v>
      </c>
    </row>
    <row r="409" spans="25:31">
      <c r="Y409" s="5">
        <v>45766</v>
      </c>
      <c r="Z409" t="s">
        <v>54</v>
      </c>
      <c r="AA409" t="s">
        <v>55</v>
      </c>
      <c r="AB409">
        <v>11074</v>
      </c>
      <c r="AC409">
        <v>169</v>
      </c>
      <c r="AD409">
        <v>44</v>
      </c>
      <c r="AE409">
        <v>647.98966545399196</v>
      </c>
    </row>
    <row r="410" spans="25:31">
      <c r="Y410" s="5">
        <v>45767</v>
      </c>
      <c r="AA410" t="s">
        <v>49</v>
      </c>
      <c r="AB410">
        <v>11076</v>
      </c>
      <c r="AC410">
        <v>0</v>
      </c>
      <c r="AD410">
        <v>0</v>
      </c>
      <c r="AE410">
        <v>0</v>
      </c>
    </row>
    <row r="411" spans="25:31">
      <c r="Y411" s="5">
        <v>45767</v>
      </c>
      <c r="AA411" t="s">
        <v>49</v>
      </c>
      <c r="AB411">
        <v>11077</v>
      </c>
      <c r="AC411">
        <v>1</v>
      </c>
      <c r="AD411">
        <v>0</v>
      </c>
      <c r="AE411">
        <v>0</v>
      </c>
    </row>
    <row r="412" spans="25:31">
      <c r="Y412" s="5">
        <v>45767</v>
      </c>
      <c r="AA412" t="s">
        <v>49</v>
      </c>
      <c r="AB412">
        <v>11075</v>
      </c>
      <c r="AC412">
        <v>3</v>
      </c>
      <c r="AD412">
        <v>2</v>
      </c>
      <c r="AE412">
        <v>19.905004234203101</v>
      </c>
    </row>
    <row r="413" spans="25:31">
      <c r="Y413" s="5">
        <v>45767</v>
      </c>
      <c r="AA413" t="s">
        <v>55</v>
      </c>
      <c r="AB413">
        <v>11074</v>
      </c>
      <c r="AC413">
        <v>13</v>
      </c>
      <c r="AD413">
        <v>7</v>
      </c>
      <c r="AE413">
        <v>135.042615629392</v>
      </c>
    </row>
    <row r="414" spans="25:31">
      <c r="Y414" s="5">
        <v>45767</v>
      </c>
      <c r="AA414" t="s">
        <v>55</v>
      </c>
      <c r="AB414">
        <v>11072</v>
      </c>
      <c r="AC414">
        <v>22</v>
      </c>
      <c r="AD414">
        <v>6</v>
      </c>
      <c r="AE414">
        <v>324.44485395885999</v>
      </c>
    </row>
    <row r="415" spans="25:31">
      <c r="Y415" s="5">
        <v>45767</v>
      </c>
      <c r="AA415" t="s">
        <v>55</v>
      </c>
      <c r="AB415">
        <v>11073</v>
      </c>
      <c r="AC415">
        <v>9</v>
      </c>
      <c r="AD415">
        <v>4</v>
      </c>
      <c r="AE415">
        <v>50.806439351451402</v>
      </c>
    </row>
    <row r="416" spans="25:31">
      <c r="Y416" s="5">
        <v>45767</v>
      </c>
      <c r="Z416" t="s">
        <v>52</v>
      </c>
      <c r="AA416" t="s">
        <v>49</v>
      </c>
      <c r="AB416">
        <v>11075</v>
      </c>
      <c r="AC416">
        <v>28</v>
      </c>
      <c r="AD416">
        <v>10</v>
      </c>
      <c r="AE416">
        <v>111.210290893888</v>
      </c>
    </row>
    <row r="417" spans="25:31">
      <c r="Y417" s="5">
        <v>45767</v>
      </c>
      <c r="Z417" t="s">
        <v>52</v>
      </c>
      <c r="AA417" t="s">
        <v>49</v>
      </c>
      <c r="AB417">
        <v>11077</v>
      </c>
      <c r="AC417">
        <v>13</v>
      </c>
      <c r="AD417">
        <v>5</v>
      </c>
      <c r="AE417">
        <v>72.588591064539898</v>
      </c>
    </row>
    <row r="418" spans="25:31">
      <c r="Y418" s="5">
        <v>45767</v>
      </c>
      <c r="Z418" t="s">
        <v>52</v>
      </c>
      <c r="AA418" t="s">
        <v>49</v>
      </c>
      <c r="AB418">
        <v>11076</v>
      </c>
      <c r="AC418">
        <v>13</v>
      </c>
      <c r="AD418">
        <v>6</v>
      </c>
      <c r="AE418">
        <v>128.78414206495401</v>
      </c>
    </row>
    <row r="419" spans="25:31">
      <c r="Y419" s="5">
        <v>45767</v>
      </c>
      <c r="Z419" t="s">
        <v>52</v>
      </c>
      <c r="AA419" t="s">
        <v>55</v>
      </c>
      <c r="AB419">
        <v>11072</v>
      </c>
      <c r="AC419">
        <v>813</v>
      </c>
      <c r="AD419">
        <v>242</v>
      </c>
      <c r="AE419">
        <v>9857.0574221001207</v>
      </c>
    </row>
    <row r="420" spans="25:31">
      <c r="Y420" s="5">
        <v>45767</v>
      </c>
      <c r="Z420" t="s">
        <v>52</v>
      </c>
      <c r="AA420" t="s">
        <v>55</v>
      </c>
      <c r="AB420">
        <v>11074</v>
      </c>
      <c r="AC420">
        <v>626</v>
      </c>
      <c r="AD420">
        <v>177</v>
      </c>
      <c r="AE420">
        <v>6599.7645979663703</v>
      </c>
    </row>
    <row r="421" spans="25:31">
      <c r="Y421" s="5">
        <v>45767</v>
      </c>
      <c r="Z421" t="s">
        <v>52</v>
      </c>
      <c r="AA421" t="s">
        <v>55</v>
      </c>
      <c r="AB421">
        <v>11073</v>
      </c>
      <c r="AC421">
        <v>609</v>
      </c>
      <c r="AD421">
        <v>182</v>
      </c>
      <c r="AE421">
        <v>7151.4666951017998</v>
      </c>
    </row>
    <row r="422" spans="25:31">
      <c r="Y422" s="5">
        <v>45767</v>
      </c>
      <c r="Z422" t="s">
        <v>53</v>
      </c>
      <c r="AA422" t="s">
        <v>49</v>
      </c>
      <c r="AB422">
        <v>11075</v>
      </c>
      <c r="AC422">
        <v>16</v>
      </c>
      <c r="AD422">
        <v>6</v>
      </c>
      <c r="AE422">
        <v>47.278367586804997</v>
      </c>
    </row>
    <row r="423" spans="25:31">
      <c r="Y423" s="5">
        <v>45767</v>
      </c>
      <c r="Z423" t="s">
        <v>53</v>
      </c>
      <c r="AA423" t="s">
        <v>49</v>
      </c>
      <c r="AB423">
        <v>11077</v>
      </c>
      <c r="AC423">
        <v>10</v>
      </c>
      <c r="AD423">
        <v>5</v>
      </c>
      <c r="AE423">
        <v>59.7743799283488</v>
      </c>
    </row>
    <row r="424" spans="25:31">
      <c r="Y424" s="5">
        <v>45767</v>
      </c>
      <c r="Z424" t="s">
        <v>53</v>
      </c>
      <c r="AA424" t="s">
        <v>49</v>
      </c>
      <c r="AB424">
        <v>11076</v>
      </c>
      <c r="AC424">
        <v>8</v>
      </c>
      <c r="AD424">
        <v>2</v>
      </c>
      <c r="AE424">
        <v>9.1124286590203791</v>
      </c>
    </row>
    <row r="425" spans="25:31">
      <c r="Y425" s="5">
        <v>45767</v>
      </c>
      <c r="Z425" t="s">
        <v>53</v>
      </c>
      <c r="AA425" t="s">
        <v>55</v>
      </c>
      <c r="AB425">
        <v>11073</v>
      </c>
      <c r="AC425">
        <v>86</v>
      </c>
      <c r="AD425">
        <v>17</v>
      </c>
      <c r="AE425">
        <v>479.44049562554898</v>
      </c>
    </row>
    <row r="426" spans="25:31">
      <c r="Y426" s="5">
        <v>45767</v>
      </c>
      <c r="Z426" t="s">
        <v>53</v>
      </c>
      <c r="AA426" t="s">
        <v>55</v>
      </c>
      <c r="AB426">
        <v>11074</v>
      </c>
      <c r="AC426">
        <v>62</v>
      </c>
      <c r="AD426">
        <v>14</v>
      </c>
      <c r="AE426">
        <v>290.45294638290699</v>
      </c>
    </row>
    <row r="427" spans="25:31">
      <c r="Y427" s="5">
        <v>45767</v>
      </c>
      <c r="Z427" t="s">
        <v>53</v>
      </c>
      <c r="AA427" t="s">
        <v>55</v>
      </c>
      <c r="AB427">
        <v>11072</v>
      </c>
      <c r="AC427">
        <v>72</v>
      </c>
      <c r="AD427">
        <v>21</v>
      </c>
      <c r="AE427">
        <v>626.70336079987396</v>
      </c>
    </row>
    <row r="428" spans="25:31">
      <c r="Y428" s="5">
        <v>45767</v>
      </c>
      <c r="Z428" t="s">
        <v>54</v>
      </c>
      <c r="AA428" t="s">
        <v>49</v>
      </c>
      <c r="AB428">
        <v>11076</v>
      </c>
      <c r="AC428">
        <v>49</v>
      </c>
      <c r="AD428">
        <v>19</v>
      </c>
      <c r="AE428">
        <v>83.809591789201306</v>
      </c>
    </row>
    <row r="429" spans="25:31">
      <c r="Y429" s="5">
        <v>45767</v>
      </c>
      <c r="Z429" t="s">
        <v>54</v>
      </c>
      <c r="AA429" t="s">
        <v>49</v>
      </c>
      <c r="AB429">
        <v>11075</v>
      </c>
      <c r="AC429">
        <v>80</v>
      </c>
      <c r="AD429">
        <v>21</v>
      </c>
      <c r="AE429">
        <v>108.018399832189</v>
      </c>
    </row>
    <row r="430" spans="25:31">
      <c r="Y430" s="5">
        <v>45767</v>
      </c>
      <c r="Z430" t="s">
        <v>54</v>
      </c>
      <c r="AA430" t="s">
        <v>49</v>
      </c>
      <c r="AB430">
        <v>11077</v>
      </c>
      <c r="AC430">
        <v>68</v>
      </c>
      <c r="AD430">
        <v>25</v>
      </c>
      <c r="AE430">
        <v>147.20393506551699</v>
      </c>
    </row>
    <row r="431" spans="25:31">
      <c r="Y431" s="5">
        <v>45767</v>
      </c>
      <c r="Z431" t="s">
        <v>54</v>
      </c>
      <c r="AA431" t="s">
        <v>55</v>
      </c>
      <c r="AB431">
        <v>11074</v>
      </c>
      <c r="AC431">
        <v>226</v>
      </c>
      <c r="AD431">
        <v>54</v>
      </c>
      <c r="AE431">
        <v>745.66464415050905</v>
      </c>
    </row>
    <row r="432" spans="25:31">
      <c r="Y432" s="5">
        <v>45767</v>
      </c>
      <c r="Z432" t="s">
        <v>54</v>
      </c>
      <c r="AA432" t="s">
        <v>55</v>
      </c>
      <c r="AB432">
        <v>11072</v>
      </c>
      <c r="AC432">
        <v>231</v>
      </c>
      <c r="AD432">
        <v>58</v>
      </c>
      <c r="AE432">
        <v>802.21162768296699</v>
      </c>
    </row>
    <row r="433" spans="25:31">
      <c r="Y433" s="5">
        <v>45767</v>
      </c>
      <c r="Z433" t="s">
        <v>54</v>
      </c>
      <c r="AA433" t="s">
        <v>55</v>
      </c>
      <c r="AB433">
        <v>11073</v>
      </c>
      <c r="AC433">
        <v>223</v>
      </c>
      <c r="AD433">
        <v>64</v>
      </c>
      <c r="AE433">
        <v>897.06358998193605</v>
      </c>
    </row>
  </sheetData>
  <sortState ref="H2:M25">
    <sortCondition ref="H1"/>
  </sortState>
  <mergeCells count="3">
    <mergeCell ref="D1:D1048576"/>
    <mergeCell ref="AN17:AQ17"/>
    <mergeCell ref="Q1:Q1048576"/>
  </mergeCells>
  <phoneticPr fontId="8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AFB4-DFEF-5647-8A72-FB34A2472F0D}">
  <dimension ref="B1:N15"/>
  <sheetViews>
    <sheetView workbookViewId="0">
      <selection activeCell="N12" sqref="N12:N15"/>
    </sheetView>
  </sheetViews>
  <sheetFormatPr baseColWidth="10" defaultRowHeight="16"/>
  <sheetData>
    <row r="1" spans="2:14">
      <c r="B1" s="20" t="s">
        <v>77</v>
      </c>
      <c r="I1" t="s">
        <v>41</v>
      </c>
      <c r="J1" t="s">
        <v>43</v>
      </c>
      <c r="K1" t="s">
        <v>239</v>
      </c>
      <c r="L1" t="s">
        <v>240</v>
      </c>
      <c r="M1" t="s">
        <v>241</v>
      </c>
    </row>
    <row r="2" spans="2:14">
      <c r="B2" s="22" t="s">
        <v>230</v>
      </c>
      <c r="I2" t="s">
        <v>49</v>
      </c>
    </row>
    <row r="3" spans="2:14">
      <c r="B3" s="20" t="s">
        <v>231</v>
      </c>
      <c r="I3" t="s">
        <v>49</v>
      </c>
      <c r="J3" t="s">
        <v>52</v>
      </c>
      <c r="K3">
        <v>48214</v>
      </c>
      <c r="L3">
        <v>51482.806854999901</v>
      </c>
      <c r="M3" s="42">
        <f t="shared" ref="M3:M5" si="0">L3/K3</f>
        <v>1.0677978772763077</v>
      </c>
      <c r="N3">
        <v>1.0677978772763077</v>
      </c>
    </row>
    <row r="4" spans="2:14">
      <c r="B4" s="20" t="s">
        <v>232</v>
      </c>
      <c r="I4" t="s">
        <v>49</v>
      </c>
      <c r="J4" t="s">
        <v>53</v>
      </c>
      <c r="K4">
        <v>72916</v>
      </c>
      <c r="L4">
        <v>15886.946952999901</v>
      </c>
      <c r="M4" s="42">
        <f t="shared" si="0"/>
        <v>0.21788012168796836</v>
      </c>
      <c r="N4">
        <v>0.21788012168796836</v>
      </c>
    </row>
    <row r="5" spans="2:14">
      <c r="B5" s="20" t="s">
        <v>233</v>
      </c>
      <c r="I5" t="s">
        <v>49</v>
      </c>
      <c r="J5" t="s">
        <v>54</v>
      </c>
      <c r="K5">
        <v>399620</v>
      </c>
      <c r="L5">
        <v>92209.155675999995</v>
      </c>
      <c r="M5" s="42">
        <f t="shared" si="0"/>
        <v>0.23074209417947047</v>
      </c>
      <c r="N5">
        <v>0.23074209417947047</v>
      </c>
    </row>
    <row r="6" spans="2:14">
      <c r="B6" s="20" t="s">
        <v>234</v>
      </c>
      <c r="J6" t="s">
        <v>210</v>
      </c>
      <c r="K6">
        <v>10977</v>
      </c>
      <c r="L6">
        <v>9.1641049999999993</v>
      </c>
      <c r="M6" s="42">
        <f>L6/K6</f>
        <v>8.3484604172360383E-4</v>
      </c>
      <c r="N6">
        <v>8.3484604172360383E-4</v>
      </c>
    </row>
    <row r="7" spans="2:14">
      <c r="B7" s="20" t="s">
        <v>235</v>
      </c>
    </row>
    <row r="8" spans="2:14">
      <c r="B8" s="20" t="s">
        <v>236</v>
      </c>
    </row>
    <row r="9" spans="2:14">
      <c r="B9" s="20" t="s">
        <v>237</v>
      </c>
    </row>
    <row r="10" spans="2:14">
      <c r="B10" s="20" t="s">
        <v>180</v>
      </c>
    </row>
    <row r="11" spans="2:14">
      <c r="B11" s="20" t="s">
        <v>238</v>
      </c>
      <c r="I11" t="s">
        <v>55</v>
      </c>
    </row>
    <row r="12" spans="2:14">
      <c r="I12" t="s">
        <v>55</v>
      </c>
      <c r="J12" t="s">
        <v>52</v>
      </c>
      <c r="K12">
        <v>146971</v>
      </c>
      <c r="L12">
        <v>339741.30318899901</v>
      </c>
      <c r="M12" s="42">
        <f>L12/K12</f>
        <v>2.3116213619625574</v>
      </c>
      <c r="N12">
        <v>2.3116213619625574</v>
      </c>
    </row>
    <row r="13" spans="2:14">
      <c r="I13" t="s">
        <v>55</v>
      </c>
      <c r="J13" t="s">
        <v>53</v>
      </c>
      <c r="K13">
        <v>40495</v>
      </c>
      <c r="L13">
        <v>1014.950061</v>
      </c>
      <c r="M13" s="42">
        <f>L13/K13</f>
        <v>2.5063589603654773E-2</v>
      </c>
      <c r="N13">
        <v>2.5063589603654773E-2</v>
      </c>
    </row>
    <row r="14" spans="2:14">
      <c r="I14" t="s">
        <v>55</v>
      </c>
      <c r="J14" t="s">
        <v>54</v>
      </c>
      <c r="K14">
        <v>93128</v>
      </c>
      <c r="L14">
        <v>2839.4007390000002</v>
      </c>
      <c r="M14" s="42">
        <f>L14/K14</f>
        <v>3.0489227074564043E-2</v>
      </c>
      <c r="N14">
        <v>3.0489227074564043E-2</v>
      </c>
    </row>
    <row r="15" spans="2:14">
      <c r="J15" t="s">
        <v>210</v>
      </c>
      <c r="K15">
        <v>8012</v>
      </c>
      <c r="L15">
        <v>320.59104100000002</v>
      </c>
      <c r="M15" s="42">
        <f>L15/K15</f>
        <v>4.0013859335996008E-2</v>
      </c>
      <c r="N15">
        <v>4.0013859335996008E-2</v>
      </c>
    </row>
  </sheetData>
  <phoneticPr fontId="8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99CA-D407-B74C-AB79-77A446D54A55}">
  <dimension ref="A2:Q41"/>
  <sheetViews>
    <sheetView topLeftCell="D2" workbookViewId="0">
      <selection activeCell="N17" sqref="N17"/>
    </sheetView>
  </sheetViews>
  <sheetFormatPr baseColWidth="10" defaultRowHeight="16"/>
  <cols>
    <col min="4" max="4" width="10.83203125" style="43"/>
    <col min="11" max="11" width="13" customWidth="1"/>
    <col min="12" max="12" width="15.33203125" customWidth="1"/>
    <col min="13" max="14" width="14.83203125" customWidth="1"/>
    <col min="16" max="16" width="14.83203125" customWidth="1"/>
    <col min="17" max="17" width="18.6640625" customWidth="1"/>
  </cols>
  <sheetData>
    <row r="2" spans="1:17">
      <c r="A2" t="s">
        <v>182</v>
      </c>
    </row>
    <row r="3" spans="1:17" ht="17">
      <c r="A3" s="20" t="s">
        <v>77</v>
      </c>
      <c r="K3" s="24" t="s">
        <v>186</v>
      </c>
      <c r="L3" s="24" t="s">
        <v>183</v>
      </c>
    </row>
    <row r="4" spans="1:17" ht="34">
      <c r="A4" s="20" t="s">
        <v>199</v>
      </c>
      <c r="F4" t="s">
        <v>43</v>
      </c>
      <c r="G4" s="24" t="s">
        <v>41</v>
      </c>
      <c r="H4" s="24" t="s">
        <v>167</v>
      </c>
      <c r="I4" s="24" t="s">
        <v>43</v>
      </c>
      <c r="J4" s="24" t="s">
        <v>41</v>
      </c>
      <c r="K4" s="24" t="s">
        <v>173</v>
      </c>
      <c r="L4" s="24" t="s">
        <v>174</v>
      </c>
      <c r="M4" s="24" t="s">
        <v>188</v>
      </c>
      <c r="N4" s="24" t="s">
        <v>43</v>
      </c>
      <c r="O4" s="24" t="s">
        <v>41</v>
      </c>
      <c r="P4" s="24" t="s">
        <v>184</v>
      </c>
      <c r="Q4" s="24" t="s">
        <v>185</v>
      </c>
    </row>
    <row r="5" spans="1:17">
      <c r="A5" s="20" t="s">
        <v>169</v>
      </c>
      <c r="F5" t="s">
        <v>52</v>
      </c>
      <c r="G5" t="s">
        <v>49</v>
      </c>
      <c r="H5">
        <v>3843017.6900000102</v>
      </c>
      <c r="I5" t="s">
        <v>52</v>
      </c>
      <c r="J5" t="s">
        <v>49</v>
      </c>
      <c r="K5">
        <v>15692199</v>
      </c>
      <c r="L5">
        <v>2396252</v>
      </c>
      <c r="M5">
        <f>K5/L5</f>
        <v>6.5486430475592714</v>
      </c>
      <c r="N5" t="s">
        <v>52</v>
      </c>
      <c r="O5" t="s">
        <v>49</v>
      </c>
      <c r="P5">
        <v>93271.427670000005</v>
      </c>
      <c r="Q5">
        <f>(H5+P5)/K5</f>
        <v>0.25084369103845866</v>
      </c>
    </row>
    <row r="6" spans="1:17">
      <c r="A6" s="20" t="s">
        <v>170</v>
      </c>
      <c r="F6" t="s">
        <v>53</v>
      </c>
      <c r="G6" t="s">
        <v>49</v>
      </c>
      <c r="H6">
        <v>696875.48</v>
      </c>
      <c r="I6" t="s">
        <v>53</v>
      </c>
      <c r="J6" t="s">
        <v>49</v>
      </c>
      <c r="K6">
        <v>16215667</v>
      </c>
      <c r="L6">
        <v>2650847</v>
      </c>
      <c r="M6">
        <f t="shared" ref="M6" si="0">K6/L6</f>
        <v>6.1171644383851653</v>
      </c>
      <c r="N6" t="s">
        <v>53</v>
      </c>
      <c r="O6" t="s">
        <v>49</v>
      </c>
      <c r="P6">
        <v>52080.049444999997</v>
      </c>
      <c r="Q6">
        <f t="shared" ref="Q6:Q11" si="1">(H6+P6)/K6</f>
        <v>4.6187155264411882E-2</v>
      </c>
    </row>
    <row r="7" spans="1:17">
      <c r="A7" s="20" t="s">
        <v>171</v>
      </c>
      <c r="F7" t="s">
        <v>54</v>
      </c>
      <c r="G7" t="s">
        <v>49</v>
      </c>
      <c r="H7">
        <v>1367334.1099999901</v>
      </c>
      <c r="I7" t="s">
        <v>54</v>
      </c>
      <c r="J7" t="s">
        <v>49</v>
      </c>
      <c r="K7">
        <v>78848041</v>
      </c>
      <c r="L7">
        <v>13979250</v>
      </c>
      <c r="M7">
        <f>K7/L7</f>
        <v>5.6403627519359052</v>
      </c>
      <c r="N7" t="s">
        <v>54</v>
      </c>
      <c r="O7" t="s">
        <v>49</v>
      </c>
      <c r="P7">
        <v>173173.53509700001</v>
      </c>
      <c r="Q7">
        <f t="shared" si="1"/>
        <v>1.953767811551577E-2</v>
      </c>
    </row>
    <row r="8" spans="1:17">
      <c r="A8" s="20" t="s">
        <v>172</v>
      </c>
      <c r="F8" t="s">
        <v>168</v>
      </c>
      <c r="G8" t="s">
        <v>49</v>
      </c>
      <c r="H8">
        <v>50256.87</v>
      </c>
      <c r="I8" t="s">
        <v>168</v>
      </c>
      <c r="J8" t="s">
        <v>49</v>
      </c>
      <c r="K8">
        <v>3559072</v>
      </c>
      <c r="L8">
        <v>826063</v>
      </c>
      <c r="M8">
        <f>K8/L8</f>
        <v>4.3084752615720596</v>
      </c>
      <c r="N8" t="s">
        <v>168</v>
      </c>
      <c r="O8" t="s">
        <v>49</v>
      </c>
      <c r="P8">
        <v>1138.9009779999999</v>
      </c>
      <c r="Q8">
        <f t="shared" si="1"/>
        <v>1.4440778657470262E-2</v>
      </c>
    </row>
    <row r="9" spans="1:17">
      <c r="A9" s="20" t="s">
        <v>200</v>
      </c>
      <c r="F9" t="s">
        <v>52</v>
      </c>
      <c r="G9" t="s">
        <v>55</v>
      </c>
      <c r="H9">
        <v>39526509.069999203</v>
      </c>
      <c r="I9" t="s">
        <v>52</v>
      </c>
      <c r="J9" t="s">
        <v>55</v>
      </c>
      <c r="K9">
        <v>81579669</v>
      </c>
      <c r="L9">
        <v>8468093</v>
      </c>
      <c r="M9">
        <f t="shared" ref="M9:M12" si="2">K9/L9</f>
        <v>9.6337710273139425</v>
      </c>
      <c r="N9" t="s">
        <v>52</v>
      </c>
      <c r="O9" t="s">
        <v>55</v>
      </c>
      <c r="P9">
        <v>789424.14022900001</v>
      </c>
      <c r="Q9">
        <f t="shared" si="1"/>
        <v>0.49419093880153159</v>
      </c>
    </row>
    <row r="10" spans="1:17">
      <c r="A10" s="20" t="s">
        <v>180</v>
      </c>
      <c r="F10" t="s">
        <v>53</v>
      </c>
      <c r="G10" t="s">
        <v>55</v>
      </c>
      <c r="H10">
        <v>2866626.36</v>
      </c>
      <c r="I10" t="s">
        <v>53</v>
      </c>
      <c r="J10" t="s">
        <v>55</v>
      </c>
      <c r="K10">
        <v>26053568</v>
      </c>
      <c r="L10">
        <v>2602901</v>
      </c>
      <c r="M10">
        <f t="shared" si="2"/>
        <v>10.009434857491698</v>
      </c>
      <c r="N10" t="s">
        <v>53</v>
      </c>
      <c r="O10" t="s">
        <v>55</v>
      </c>
      <c r="P10">
        <v>204179.211369</v>
      </c>
      <c r="Q10">
        <f t="shared" si="1"/>
        <v>0.11786506828427491</v>
      </c>
    </row>
    <row r="11" spans="1:17">
      <c r="A11" s="20" t="s">
        <v>195</v>
      </c>
      <c r="F11" t="s">
        <v>54</v>
      </c>
      <c r="G11" t="s">
        <v>55</v>
      </c>
      <c r="H11">
        <v>6399662.2900000503</v>
      </c>
      <c r="I11" t="s">
        <v>54</v>
      </c>
      <c r="J11" t="s">
        <v>55</v>
      </c>
      <c r="K11">
        <v>85845912</v>
      </c>
      <c r="L11">
        <v>7523659</v>
      </c>
      <c r="M11">
        <f t="shared" si="2"/>
        <v>11.410127970977952</v>
      </c>
      <c r="N11" t="s">
        <v>54</v>
      </c>
      <c r="O11" t="s">
        <v>55</v>
      </c>
      <c r="P11">
        <v>368455.90071299998</v>
      </c>
      <c r="Q11">
        <f t="shared" si="1"/>
        <v>7.8840308560214845E-2</v>
      </c>
    </row>
    <row r="12" spans="1:17">
      <c r="F12" t="s">
        <v>168</v>
      </c>
      <c r="G12" t="s">
        <v>55</v>
      </c>
      <c r="H12">
        <v>231994</v>
      </c>
      <c r="I12" t="s">
        <v>168</v>
      </c>
      <c r="J12" t="s">
        <v>55</v>
      </c>
      <c r="K12">
        <v>2608137</v>
      </c>
      <c r="L12">
        <v>410648</v>
      </c>
      <c r="M12">
        <f t="shared" si="2"/>
        <v>6.3512716487113048</v>
      </c>
      <c r="N12" t="s">
        <v>168</v>
      </c>
      <c r="O12" t="s">
        <v>55</v>
      </c>
      <c r="P12">
        <v>5041.5160779999997</v>
      </c>
      <c r="Q12">
        <f>(H12+P12)/K12</f>
        <v>9.0883077107529242E-2</v>
      </c>
    </row>
    <row r="13" spans="1:17">
      <c r="A13" s="29"/>
    </row>
    <row r="14" spans="1:17">
      <c r="A14" s="20" t="s">
        <v>181</v>
      </c>
    </row>
    <row r="15" spans="1:17">
      <c r="A15" s="20" t="s">
        <v>77</v>
      </c>
    </row>
    <row r="16" spans="1:17">
      <c r="A16" s="22" t="s">
        <v>197</v>
      </c>
    </row>
    <row r="17" spans="1:17">
      <c r="A17" s="20" t="s">
        <v>148</v>
      </c>
    </row>
    <row r="18" spans="1:17">
      <c r="A18" s="23" t="s">
        <v>175</v>
      </c>
    </row>
    <row r="19" spans="1:17">
      <c r="A19" s="22" t="s">
        <v>198</v>
      </c>
    </row>
    <row r="20" spans="1:17">
      <c r="A20" s="21" t="s">
        <v>176</v>
      </c>
    </row>
    <row r="21" spans="1:17">
      <c r="A21" s="20" t="s">
        <v>118</v>
      </c>
    </row>
    <row r="22" spans="1:17">
      <c r="A22" s="28" t="s">
        <v>177</v>
      </c>
    </row>
    <row r="23" spans="1:17" ht="34">
      <c r="A23" s="20" t="s">
        <v>170</v>
      </c>
      <c r="I23" t="s">
        <v>226</v>
      </c>
      <c r="K23" s="24" t="s">
        <v>189</v>
      </c>
      <c r="L23" s="24" t="s">
        <v>190</v>
      </c>
      <c r="M23" s="24" t="s">
        <v>204</v>
      </c>
      <c r="N23" s="24" t="s">
        <v>205</v>
      </c>
      <c r="P23" s="24" t="s">
        <v>227</v>
      </c>
      <c r="Q23" s="24" t="s">
        <v>228</v>
      </c>
    </row>
    <row r="24" spans="1:17">
      <c r="A24" s="20" t="s">
        <v>178</v>
      </c>
      <c r="I24" t="s">
        <v>52</v>
      </c>
      <c r="J24" t="s">
        <v>49</v>
      </c>
      <c r="K24" s="37">
        <f>Q5*M24*M5</f>
        <v>5.3437421860756915</v>
      </c>
      <c r="L24" s="37">
        <f>Q5*N24*M5</f>
        <v>1.9460626368665987</v>
      </c>
      <c r="M24" s="35">
        <v>3.2530519273563492</v>
      </c>
      <c r="N24" s="35">
        <v>1.1846834280499097</v>
      </c>
      <c r="P24" s="37">
        <v>-45.670629178006365</v>
      </c>
      <c r="Q24" s="37">
        <v>-25.557709382535545</v>
      </c>
    </row>
    <row r="25" spans="1:17">
      <c r="A25" s="20" t="s">
        <v>179</v>
      </c>
      <c r="I25" t="s">
        <v>53</v>
      </c>
      <c r="J25" t="s">
        <v>49</v>
      </c>
      <c r="K25" s="37">
        <f t="shared" ref="K25:K31" si="3">Q6*M25*M6</f>
        <v>2.3609528720291095</v>
      </c>
      <c r="L25" s="37">
        <f t="shared" ref="L25:L31" si="4">Q6*N25*M6</f>
        <v>2.6724716282195691</v>
      </c>
      <c r="M25" s="35">
        <v>8.3563370479386343</v>
      </c>
      <c r="N25" s="35">
        <v>9.4589239544044261</v>
      </c>
      <c r="P25" s="37">
        <v>-12.43329743694189</v>
      </c>
      <c r="Q25" s="37">
        <v>10.335440969964756</v>
      </c>
    </row>
    <row r="26" spans="1:17">
      <c r="A26" s="20" t="s">
        <v>156</v>
      </c>
      <c r="I26" t="s">
        <v>54</v>
      </c>
      <c r="J26" t="s">
        <v>49</v>
      </c>
      <c r="K26" s="37">
        <f t="shared" si="3"/>
        <v>11.318328181947024</v>
      </c>
      <c r="L26" s="37">
        <f t="shared" si="4"/>
        <v>6.2501251184918525</v>
      </c>
      <c r="M26" s="35">
        <v>102.70753263773727</v>
      </c>
      <c r="N26" s="35">
        <v>56.716408932314188</v>
      </c>
      <c r="P26" s="37">
        <v>-31.418017369424529</v>
      </c>
      <c r="Q26" s="37">
        <v>-17.350980397308003</v>
      </c>
    </row>
    <row r="27" spans="1:17">
      <c r="A27" s="23" t="s">
        <v>12</v>
      </c>
      <c r="I27" t="s">
        <v>168</v>
      </c>
      <c r="J27" t="s">
        <v>49</v>
      </c>
      <c r="K27" s="37">
        <f t="shared" si="3"/>
        <v>-1.0481443647381193E-3</v>
      </c>
      <c r="L27" s="37">
        <f t="shared" si="4"/>
        <v>-7.4232269527195645E-4</v>
      </c>
      <c r="M27" s="35">
        <v>-1.6846391481106209E-2</v>
      </c>
      <c r="N27" s="35">
        <v>-1.1931046094958302E-2</v>
      </c>
      <c r="P27" s="37">
        <v>0.8024475479536568</v>
      </c>
      <c r="Q27" s="37">
        <v>-0.99351883218398385</v>
      </c>
    </row>
    <row r="28" spans="1:17">
      <c r="A28" s="20" t="s">
        <v>180</v>
      </c>
      <c r="I28" t="s">
        <v>52</v>
      </c>
      <c r="J28" t="s">
        <v>55</v>
      </c>
      <c r="K28" s="37">
        <f t="shared" si="3"/>
        <v>223.25010829279785</v>
      </c>
      <c r="L28" s="37">
        <f t="shared" si="4"/>
        <v>106.06523245692283</v>
      </c>
      <c r="M28" s="35">
        <v>46.892196924362906</v>
      </c>
      <c r="N28" s="35">
        <v>22.278294981498135</v>
      </c>
      <c r="P28" s="37">
        <v>-1170.4837897132195</v>
      </c>
      <c r="Q28" s="37">
        <v>-1244.9838123700072</v>
      </c>
    </row>
    <row r="29" spans="1:17">
      <c r="A29" s="20" t="s">
        <v>195</v>
      </c>
      <c r="I29" t="s">
        <v>53</v>
      </c>
      <c r="J29" t="s">
        <v>55</v>
      </c>
      <c r="K29" s="37">
        <f t="shared" si="3"/>
        <v>26.629092795495225</v>
      </c>
      <c r="L29" s="37">
        <f t="shared" si="4"/>
        <v>25.15544615837549</v>
      </c>
      <c r="M29" s="35">
        <v>22.57156653378965</v>
      </c>
      <c r="N29" s="35">
        <v>21.322462278812164</v>
      </c>
      <c r="P29" s="37">
        <v>-77.844597684130505</v>
      </c>
      <c r="Q29" s="37">
        <v>-81.164301668144248</v>
      </c>
    </row>
    <row r="30" spans="1:17">
      <c r="I30" t="s">
        <v>54</v>
      </c>
      <c r="J30" t="s">
        <v>55</v>
      </c>
      <c r="K30" s="37">
        <f t="shared" si="3"/>
        <v>41.412162319420169</v>
      </c>
      <c r="L30" s="37">
        <f t="shared" si="4"/>
        <v>18.424189364978556</v>
      </c>
      <c r="M30" s="35">
        <v>46.035098525834272</v>
      </c>
      <c r="N30" s="35">
        <v>20.480924568328387</v>
      </c>
      <c r="P30" s="37">
        <v>-124.33141589993647</v>
      </c>
      <c r="Q30" s="37">
        <v>-149.06685603026489</v>
      </c>
    </row>
    <row r="31" spans="1:17">
      <c r="I31" t="s">
        <v>168</v>
      </c>
      <c r="J31" t="s">
        <v>55</v>
      </c>
      <c r="K31" s="37">
        <f t="shared" si="3"/>
        <v>1.0129984691904652</v>
      </c>
      <c r="L31" s="37">
        <f t="shared" si="4"/>
        <v>-2.0595796213869973E-2</v>
      </c>
      <c r="M31" s="35">
        <v>1.7549513349688912</v>
      </c>
      <c r="N31" s="35">
        <v>-3.5680823969223979E-2</v>
      </c>
      <c r="P31" s="37">
        <v>-24.800897610972804</v>
      </c>
      <c r="Q31" s="37">
        <v>-34.85401516866326</v>
      </c>
    </row>
    <row r="32" spans="1:17">
      <c r="A32" t="s">
        <v>196</v>
      </c>
    </row>
    <row r="33" spans="1:12">
      <c r="A33" s="20" t="s">
        <v>77</v>
      </c>
      <c r="K33">
        <f>SUM(K24:K31)</f>
        <v>311.32633697259081</v>
      </c>
      <c r="L33">
        <f>SUM(L24:L31)</f>
        <v>160.49218924494573</v>
      </c>
    </row>
    <row r="34" spans="1:12">
      <c r="A34" s="20" t="s">
        <v>191</v>
      </c>
    </row>
    <row r="35" spans="1:12">
      <c r="A35" s="20" t="s">
        <v>148</v>
      </c>
    </row>
    <row r="36" spans="1:12">
      <c r="A36" s="28" t="s">
        <v>192</v>
      </c>
    </row>
    <row r="37" spans="1:12">
      <c r="A37" s="20" t="s">
        <v>170</v>
      </c>
    </row>
    <row r="38" spans="1:12">
      <c r="A38" s="20" t="s">
        <v>193</v>
      </c>
    </row>
    <row r="39" spans="1:12">
      <c r="A39" s="20" t="s">
        <v>194</v>
      </c>
    </row>
    <row r="40" spans="1:12">
      <c r="A40" s="20" t="s">
        <v>180</v>
      </c>
    </row>
    <row r="41" spans="1:12">
      <c r="A41" s="20" t="s">
        <v>195</v>
      </c>
    </row>
  </sheetData>
  <mergeCells count="1">
    <mergeCell ref="D1:D1048576"/>
  </mergeCells>
  <phoneticPr fontId="8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83E1-66EF-E747-8460-8EDE99909BF5}">
  <dimension ref="A1:AE36"/>
  <sheetViews>
    <sheetView tabSelected="1" topLeftCell="M1" workbookViewId="0">
      <selection activeCell="S36" sqref="S36"/>
    </sheetView>
  </sheetViews>
  <sheetFormatPr baseColWidth="10" defaultRowHeight="16"/>
  <cols>
    <col min="19" max="19" width="11.33203125" style="37" bestFit="1" customWidth="1"/>
    <col min="20" max="20" width="17.6640625" customWidth="1"/>
    <col min="21" max="21" width="12" bestFit="1" customWidth="1"/>
  </cols>
  <sheetData>
    <row r="1" spans="1:31">
      <c r="C1" t="s">
        <v>253</v>
      </c>
      <c r="U1" t="s">
        <v>271</v>
      </c>
      <c r="AE1" t="s">
        <v>247</v>
      </c>
    </row>
    <row r="2" spans="1:31" ht="51">
      <c r="A2" s="52"/>
      <c r="B2" t="s">
        <v>245</v>
      </c>
      <c r="C2" t="s">
        <v>246</v>
      </c>
      <c r="H2" s="24"/>
      <c r="J2" s="24" t="s">
        <v>43</v>
      </c>
      <c r="K2" s="24" t="s">
        <v>41</v>
      </c>
      <c r="L2" s="24" t="s">
        <v>254</v>
      </c>
      <c r="P2" t="s">
        <v>44</v>
      </c>
      <c r="Q2" t="s">
        <v>41</v>
      </c>
      <c r="R2" t="s">
        <v>43</v>
      </c>
      <c r="S2" s="38" t="s">
        <v>255</v>
      </c>
      <c r="T2" s="4" t="s">
        <v>184</v>
      </c>
      <c r="U2" t="s">
        <v>264</v>
      </c>
      <c r="V2" t="s">
        <v>265</v>
      </c>
      <c r="W2" s="58" t="s">
        <v>254</v>
      </c>
      <c r="X2" s="58" t="s">
        <v>241</v>
      </c>
      <c r="Y2" s="38" t="s">
        <v>272</v>
      </c>
      <c r="Z2" s="38" t="s">
        <v>273</v>
      </c>
      <c r="AA2" s="37"/>
      <c r="AE2" s="20" t="s">
        <v>77</v>
      </c>
    </row>
    <row r="3" spans="1:31">
      <c r="A3" s="52"/>
      <c r="B3" t="s">
        <v>252</v>
      </c>
      <c r="C3" t="s">
        <v>251</v>
      </c>
      <c r="J3" t="s">
        <v>52</v>
      </c>
      <c r="K3" t="s">
        <v>49</v>
      </c>
      <c r="L3">
        <v>6.5486430475592714</v>
      </c>
      <c r="P3" s="62" t="s">
        <v>256</v>
      </c>
      <c r="Q3" s="62" t="s">
        <v>49</v>
      </c>
      <c r="R3" s="62" t="s">
        <v>52</v>
      </c>
      <c r="S3" s="63">
        <v>628.85118904478304</v>
      </c>
      <c r="T3" s="64">
        <v>11.392846970000001</v>
      </c>
      <c r="U3" s="64">
        <v>1555.29</v>
      </c>
      <c r="V3" s="65">
        <f>(S3+T3)/U3</f>
        <v>0.41165572723722466</v>
      </c>
      <c r="W3" s="66">
        <v>6.5486430475592714</v>
      </c>
      <c r="X3">
        <v>1.0677978772763077</v>
      </c>
      <c r="Y3">
        <v>5.9216735446095017</v>
      </c>
      <c r="Z3">
        <v>4.5216623971997594</v>
      </c>
      <c r="AA3" s="63"/>
      <c r="AB3" s="62"/>
      <c r="AE3" s="22" t="s">
        <v>259</v>
      </c>
    </row>
    <row r="4" spans="1:31">
      <c r="A4" s="52"/>
      <c r="B4" t="s">
        <v>247</v>
      </c>
      <c r="C4" t="s">
        <v>248</v>
      </c>
      <c r="J4" t="s">
        <v>53</v>
      </c>
      <c r="K4" t="s">
        <v>49</v>
      </c>
      <c r="L4">
        <v>6.1171644383851653</v>
      </c>
      <c r="P4" s="62" t="s">
        <v>256</v>
      </c>
      <c r="Q4" s="62" t="s">
        <v>49</v>
      </c>
      <c r="R4" s="62" t="s">
        <v>53</v>
      </c>
      <c r="S4" s="63">
        <v>87.886024377505393</v>
      </c>
      <c r="T4" s="64">
        <v>9.4736420320000008</v>
      </c>
      <c r="U4" s="64">
        <v>2309.39</v>
      </c>
      <c r="V4" s="65">
        <f t="shared" ref="V4:V18" si="0">(S4+T4)/U4</f>
        <v>4.2158174413808584E-2</v>
      </c>
      <c r="W4" s="66">
        <v>6.1171644383851653</v>
      </c>
      <c r="X4">
        <v>0.21788012168796836</v>
      </c>
      <c r="Y4">
        <v>3.6056467119100719</v>
      </c>
      <c r="Z4">
        <v>4.4397973820218644</v>
      </c>
      <c r="AA4" s="63"/>
      <c r="AB4" s="62"/>
      <c r="AE4" s="20" t="s">
        <v>260</v>
      </c>
    </row>
    <row r="5" spans="1:31">
      <c r="A5" s="52"/>
      <c r="B5" t="s">
        <v>250</v>
      </c>
      <c r="C5" t="s">
        <v>251</v>
      </c>
      <c r="J5" t="s">
        <v>54</v>
      </c>
      <c r="K5" t="s">
        <v>49</v>
      </c>
      <c r="L5">
        <v>5.6403627519359052</v>
      </c>
      <c r="P5" s="62" t="s">
        <v>256</v>
      </c>
      <c r="Q5" s="62" t="s">
        <v>49</v>
      </c>
      <c r="R5" s="62" t="s">
        <v>54</v>
      </c>
      <c r="S5" s="63">
        <v>382.92167752260201</v>
      </c>
      <c r="T5" s="64">
        <v>19.242463969999999</v>
      </c>
      <c r="U5" s="64">
        <v>12890.97</v>
      </c>
      <c r="V5" s="65">
        <f t="shared" si="0"/>
        <v>3.1197352991481794E-2</v>
      </c>
      <c r="W5" s="66">
        <v>5.6403627519359052</v>
      </c>
      <c r="X5">
        <v>0.23074209417947047</v>
      </c>
      <c r="Y5">
        <v>60.211048923054442</v>
      </c>
      <c r="Z5">
        <v>37.27300070666962</v>
      </c>
      <c r="AA5" s="63"/>
      <c r="AB5" s="62"/>
      <c r="AE5" s="20" t="s">
        <v>170</v>
      </c>
    </row>
    <row r="6" spans="1:31">
      <c r="A6" s="52"/>
      <c r="B6" t="s">
        <v>249</v>
      </c>
      <c r="J6" t="s">
        <v>168</v>
      </c>
      <c r="K6" t="s">
        <v>49</v>
      </c>
      <c r="L6">
        <v>4.3084752615720596</v>
      </c>
      <c r="P6" s="62" t="s">
        <v>256</v>
      </c>
      <c r="Q6" s="62" t="s">
        <v>49</v>
      </c>
      <c r="R6" s="62" t="s">
        <v>257</v>
      </c>
      <c r="S6" s="63">
        <v>42.287980658455801</v>
      </c>
      <c r="T6" s="64">
        <v>3.7190355000000001E-2</v>
      </c>
      <c r="U6" s="64">
        <v>396.83870969999998</v>
      </c>
      <c r="V6" s="65">
        <f t="shared" si="0"/>
        <v>0.10665585281600315</v>
      </c>
      <c r="W6" s="66">
        <v>4.3084752615720596</v>
      </c>
      <c r="X6">
        <v>8.3484604172360383E-4</v>
      </c>
      <c r="Y6" s="63"/>
      <c r="Z6" s="63"/>
      <c r="AA6" s="63"/>
      <c r="AB6" s="62"/>
      <c r="AE6" s="20" t="s">
        <v>111</v>
      </c>
    </row>
    <row r="7" spans="1:31">
      <c r="A7" s="52"/>
      <c r="J7" t="s">
        <v>52</v>
      </c>
      <c r="K7" t="s">
        <v>55</v>
      </c>
      <c r="L7">
        <v>9.6337710273139425</v>
      </c>
      <c r="P7" t="s">
        <v>256</v>
      </c>
      <c r="Q7" t="s">
        <v>55</v>
      </c>
      <c r="R7" t="s">
        <v>52</v>
      </c>
      <c r="S7" s="37">
        <v>7897.7039053649996</v>
      </c>
      <c r="T7" s="59">
        <v>28.06451852</v>
      </c>
      <c r="U7" s="59">
        <v>4741</v>
      </c>
      <c r="V7" s="61">
        <f t="shared" si="0"/>
        <v>1.6717503530658089</v>
      </c>
      <c r="W7" s="36">
        <v>9.6337710273139425</v>
      </c>
      <c r="X7">
        <v>2.3116213619625574</v>
      </c>
      <c r="Y7">
        <v>38.036765079324262</v>
      </c>
      <c r="Z7">
        <v>19.810364639285432</v>
      </c>
      <c r="AA7" s="37"/>
      <c r="AE7" s="22" t="s">
        <v>261</v>
      </c>
    </row>
    <row r="8" spans="1:31">
      <c r="A8" s="52"/>
      <c r="J8" t="s">
        <v>53</v>
      </c>
      <c r="K8" t="s">
        <v>55</v>
      </c>
      <c r="L8">
        <v>10.009434857491698</v>
      </c>
      <c r="P8" t="s">
        <v>256</v>
      </c>
      <c r="Q8" t="s">
        <v>55</v>
      </c>
      <c r="R8" t="s">
        <v>53</v>
      </c>
      <c r="S8" s="37">
        <v>398.22199445608697</v>
      </c>
      <c r="T8" s="59">
        <v>20.215575189999999</v>
      </c>
      <c r="U8" s="59">
        <v>1294.97</v>
      </c>
      <c r="V8" s="61">
        <f t="shared" si="0"/>
        <v>0.32312529992670636</v>
      </c>
      <c r="W8" s="36">
        <v>10.009434857491698</v>
      </c>
      <c r="X8">
        <v>2.5063589603654773E-2</v>
      </c>
      <c r="Y8">
        <v>11.725379152965884</v>
      </c>
      <c r="Z8">
        <v>11.161811717464692</v>
      </c>
      <c r="AA8" s="37"/>
      <c r="AE8" s="20" t="s">
        <v>156</v>
      </c>
    </row>
    <row r="9" spans="1:31">
      <c r="A9" s="52"/>
      <c r="J9" t="s">
        <v>54</v>
      </c>
      <c r="K9" t="s">
        <v>55</v>
      </c>
      <c r="L9">
        <v>11.410127970977952</v>
      </c>
      <c r="P9" t="s">
        <v>256</v>
      </c>
      <c r="Q9" t="s">
        <v>55</v>
      </c>
      <c r="R9" t="s">
        <v>54</v>
      </c>
      <c r="S9" s="37">
        <v>801.20215868505898</v>
      </c>
      <c r="T9" s="59">
        <v>4.2927681289999997</v>
      </c>
      <c r="U9" s="59">
        <v>3004.13</v>
      </c>
      <c r="V9" s="61">
        <f t="shared" si="0"/>
        <v>0.26812918442745787</v>
      </c>
      <c r="W9" s="36">
        <v>11.410127970977952</v>
      </c>
      <c r="X9">
        <v>3.0489227074564043E-2</v>
      </c>
      <c r="Y9">
        <v>32.468813716621732</v>
      </c>
      <c r="Z9">
        <v>21.906971569630155</v>
      </c>
      <c r="AA9" s="37"/>
      <c r="AE9" s="20" t="s">
        <v>157</v>
      </c>
    </row>
    <row r="10" spans="1:31">
      <c r="A10" s="52"/>
      <c r="J10" t="s">
        <v>168</v>
      </c>
      <c r="K10" t="s">
        <v>55</v>
      </c>
      <c r="L10">
        <v>6.3512716487113048</v>
      </c>
      <c r="P10" t="s">
        <v>256</v>
      </c>
      <c r="Q10" t="s">
        <v>55</v>
      </c>
      <c r="R10" t="s">
        <v>257</v>
      </c>
      <c r="S10" s="37">
        <v>101.707792944049</v>
      </c>
      <c r="T10" s="59">
        <v>0.22914748400000001</v>
      </c>
      <c r="U10" s="59">
        <v>269.77419350000002</v>
      </c>
      <c r="V10" s="61">
        <f t="shared" si="0"/>
        <v>0.37786023602012542</v>
      </c>
      <c r="W10" s="36">
        <v>6.3512716487113048</v>
      </c>
      <c r="X10">
        <v>4.0013859335996008E-2</v>
      </c>
      <c r="Y10" s="37"/>
      <c r="Z10" s="37"/>
      <c r="AA10" s="37"/>
    </row>
    <row r="11" spans="1:31">
      <c r="A11" s="52"/>
      <c r="P11" s="62" t="s">
        <v>258</v>
      </c>
      <c r="Q11" s="62" t="s">
        <v>49</v>
      </c>
      <c r="R11" s="62" t="s">
        <v>52</v>
      </c>
      <c r="S11" s="63">
        <v>2235.1478176280302</v>
      </c>
      <c r="T11" s="64">
        <v>143.89254980000001</v>
      </c>
      <c r="U11" s="64">
        <v>31520.84</v>
      </c>
      <c r="V11" s="65">
        <f t="shared" si="0"/>
        <v>7.5475157623592207E-2</v>
      </c>
      <c r="W11" s="66">
        <v>6.5486430475592714</v>
      </c>
      <c r="X11">
        <v>1.0677978772763077</v>
      </c>
      <c r="Y11">
        <v>-4.8058759983928807</v>
      </c>
      <c r="Z11">
        <v>-4.6594327537553264</v>
      </c>
      <c r="AA11" s="63"/>
      <c r="AB11" s="62"/>
    </row>
    <row r="12" spans="1:31">
      <c r="A12" s="52"/>
      <c r="P12" s="62" t="s">
        <v>258</v>
      </c>
      <c r="Q12" s="62" t="s">
        <v>49</v>
      </c>
      <c r="R12" s="62" t="s">
        <v>53</v>
      </c>
      <c r="S12" s="63">
        <v>441.49845318736402</v>
      </c>
      <c r="T12" s="64">
        <v>137.64784520000001</v>
      </c>
      <c r="U12" s="64">
        <v>30645.97</v>
      </c>
      <c r="V12" s="65">
        <f t="shared" si="0"/>
        <v>1.8897959450699848E-2</v>
      </c>
      <c r="W12" s="66">
        <v>6.1171644383851653</v>
      </c>
      <c r="X12">
        <v>0.21788012168796836</v>
      </c>
      <c r="Y12">
        <v>8.203998845491034E-2</v>
      </c>
      <c r="Z12">
        <v>2.0300212733666205</v>
      </c>
      <c r="AA12" s="63"/>
      <c r="AB12" s="62"/>
      <c r="AE12" t="s">
        <v>196</v>
      </c>
    </row>
    <row r="13" spans="1:31">
      <c r="A13" s="52"/>
      <c r="P13" s="62" t="s">
        <v>258</v>
      </c>
      <c r="Q13" s="62" t="s">
        <v>49</v>
      </c>
      <c r="R13" s="62" t="s">
        <v>54</v>
      </c>
      <c r="S13" s="63">
        <v>1671.2599133149399</v>
      </c>
      <c r="T13" s="64">
        <v>289.27933050000001</v>
      </c>
      <c r="U13" s="64">
        <v>144510.71</v>
      </c>
      <c r="V13" s="65">
        <f t="shared" si="0"/>
        <v>1.3566740097083047E-2</v>
      </c>
      <c r="W13" s="66">
        <v>5.6403627519359052</v>
      </c>
      <c r="X13">
        <v>0.23074209417947047</v>
      </c>
      <c r="Y13">
        <v>12.367696574238446</v>
      </c>
      <c r="Z13">
        <v>-0.15725475875377287</v>
      </c>
      <c r="AA13" s="63"/>
      <c r="AB13" s="62"/>
      <c r="AE13" s="20" t="s">
        <v>77</v>
      </c>
    </row>
    <row r="14" spans="1:31">
      <c r="A14" s="52"/>
      <c r="P14" s="62" t="s">
        <v>258</v>
      </c>
      <c r="Q14" s="62" t="s">
        <v>49</v>
      </c>
      <c r="R14" s="62" t="s">
        <v>257</v>
      </c>
      <c r="S14" s="63">
        <v>89.881966498764299</v>
      </c>
      <c r="T14" s="64">
        <v>2.022761129</v>
      </c>
      <c r="U14" s="64">
        <v>8498.06</v>
      </c>
      <c r="V14" s="65">
        <f t="shared" si="0"/>
        <v>1.0814789213981109E-2</v>
      </c>
      <c r="W14" s="66">
        <v>4.3084752615720596</v>
      </c>
      <c r="X14">
        <v>8.3484604172360383E-4</v>
      </c>
      <c r="Y14" s="63"/>
      <c r="Z14" s="63"/>
      <c r="AA14" s="63"/>
      <c r="AB14" s="62"/>
      <c r="AE14" s="22" t="s">
        <v>262</v>
      </c>
    </row>
    <row r="15" spans="1:31">
      <c r="A15" s="52"/>
      <c r="P15" t="s">
        <v>258</v>
      </c>
      <c r="Q15" t="s">
        <v>55</v>
      </c>
      <c r="R15" t="s">
        <v>52</v>
      </c>
      <c r="S15" s="37">
        <v>42529.484964976204</v>
      </c>
      <c r="T15" s="59">
        <v>1313.3282899999999</v>
      </c>
      <c r="U15" s="59">
        <v>190240.16</v>
      </c>
      <c r="V15" s="61">
        <f t="shared" si="0"/>
        <v>0.23046034683200539</v>
      </c>
      <c r="W15" s="36">
        <v>9.6337710273139425</v>
      </c>
      <c r="X15">
        <v>2.3116213619625574</v>
      </c>
      <c r="Y15">
        <v>7.7381225986295359</v>
      </c>
      <c r="Z15">
        <v>6.1086953317063798E-2</v>
      </c>
      <c r="AA15" s="37"/>
      <c r="AE15" s="20" t="s">
        <v>148</v>
      </c>
    </row>
    <row r="16" spans="1:31">
      <c r="A16" s="52"/>
      <c r="P16" t="s">
        <v>258</v>
      </c>
      <c r="Q16" t="s">
        <v>55</v>
      </c>
      <c r="R16" t="s">
        <v>53</v>
      </c>
      <c r="S16" s="37">
        <v>3558.04200836365</v>
      </c>
      <c r="T16" s="59">
        <v>634.24130449999996</v>
      </c>
      <c r="U16" s="59">
        <v>60433</v>
      </c>
      <c r="V16" s="61">
        <f t="shared" si="0"/>
        <v>6.9370762875641631E-2</v>
      </c>
      <c r="W16" s="36">
        <v>10.009434857491698</v>
      </c>
      <c r="X16">
        <v>2.5063589603654773E-2</v>
      </c>
      <c r="Y16">
        <v>11.026353012001906</v>
      </c>
      <c r="Z16">
        <v>9.7242468317383572</v>
      </c>
      <c r="AA16" s="37"/>
      <c r="AE16" s="28" t="s">
        <v>192</v>
      </c>
    </row>
    <row r="17" spans="1:31">
      <c r="A17" s="52"/>
      <c r="P17" t="s">
        <v>258</v>
      </c>
      <c r="Q17" t="s">
        <v>55</v>
      </c>
      <c r="R17" t="s">
        <v>54</v>
      </c>
      <c r="S17" s="37">
        <v>10322.3160647266</v>
      </c>
      <c r="T17" s="59">
        <v>612.53402940000001</v>
      </c>
      <c r="U17" s="59">
        <v>230808.16</v>
      </c>
      <c r="V17" s="61">
        <f t="shared" si="0"/>
        <v>4.7376358332073695E-2</v>
      </c>
      <c r="W17" s="36">
        <v>11.410127970977952</v>
      </c>
      <c r="X17">
        <v>3.0489227074564043E-2</v>
      </c>
      <c r="Y17">
        <v>16.321848593026793</v>
      </c>
      <c r="Z17">
        <v>-0.68282627847076727</v>
      </c>
      <c r="AA17" s="37"/>
      <c r="AE17" s="20" t="s">
        <v>170</v>
      </c>
    </row>
    <row r="18" spans="1:31">
      <c r="A18" s="53"/>
      <c r="P18" t="s">
        <v>258</v>
      </c>
      <c r="Q18" t="s">
        <v>55</v>
      </c>
      <c r="R18" t="s">
        <v>257</v>
      </c>
      <c r="S18" s="37">
        <v>697.38547284092203</v>
      </c>
      <c r="T18" s="59">
        <v>16.1832639</v>
      </c>
      <c r="U18" s="59">
        <v>7850.26</v>
      </c>
      <c r="V18" s="61">
        <f t="shared" si="0"/>
        <v>9.0897465401263408E-2</v>
      </c>
      <c r="W18" s="36">
        <v>6.3512716487113048</v>
      </c>
      <c r="X18">
        <v>4.0013859335996008E-2</v>
      </c>
      <c r="Y18" s="37"/>
      <c r="Z18" s="37"/>
      <c r="AA18" s="37"/>
      <c r="AE18" s="20" t="s">
        <v>193</v>
      </c>
    </row>
    <row r="19" spans="1:31">
      <c r="A19" s="54"/>
      <c r="T19" s="36"/>
      <c r="U19" s="36"/>
      <c r="AE19" s="20" t="s">
        <v>263</v>
      </c>
    </row>
    <row r="20" spans="1:31">
      <c r="A20" s="55"/>
      <c r="AE20" s="20" t="s">
        <v>156</v>
      </c>
    </row>
    <row r="21" spans="1:31">
      <c r="A21" s="56"/>
      <c r="AE21" s="20" t="s">
        <v>157</v>
      </c>
    </row>
    <row r="22" spans="1:31">
      <c r="A22" s="57"/>
    </row>
    <row r="23" spans="1:31">
      <c r="A23" s="52"/>
      <c r="S23" t="s">
        <v>50</v>
      </c>
      <c r="Y23" t="s">
        <v>51</v>
      </c>
    </row>
    <row r="24" spans="1:31">
      <c r="A24" s="52"/>
      <c r="S24" t="s">
        <v>69</v>
      </c>
      <c r="V24" t="s">
        <v>73</v>
      </c>
      <c r="Y24" t="s">
        <v>69</v>
      </c>
      <c r="AB24" t="s">
        <v>73</v>
      </c>
    </row>
    <row r="25" spans="1:31">
      <c r="A25" s="52"/>
      <c r="S25" t="s">
        <v>70</v>
      </c>
      <c r="T25" t="s">
        <v>71</v>
      </c>
      <c r="U25" t="s">
        <v>72</v>
      </c>
      <c r="V25" t="s">
        <v>70</v>
      </c>
      <c r="W25" t="s">
        <v>71</v>
      </c>
      <c r="X25" t="s">
        <v>72</v>
      </c>
      <c r="Y25" t="s">
        <v>70</v>
      </c>
      <c r="Z25" t="s">
        <v>71</v>
      </c>
      <c r="AA25" t="s">
        <v>72</v>
      </c>
      <c r="AB25" t="s">
        <v>70</v>
      </c>
      <c r="AC25" t="s">
        <v>71</v>
      </c>
      <c r="AD25" t="s">
        <v>72</v>
      </c>
      <c r="AE25" t="s">
        <v>270</v>
      </c>
    </row>
    <row r="26" spans="1:31">
      <c r="A26" s="52"/>
      <c r="R26" t="s">
        <v>52</v>
      </c>
      <c r="S26"/>
      <c r="T26">
        <v>38.036765079324262</v>
      </c>
      <c r="U26">
        <v>19.810364639285432</v>
      </c>
      <c r="W26">
        <v>5.9216735446095017</v>
      </c>
      <c r="X26">
        <v>4.5216623971997594</v>
      </c>
      <c r="Z26">
        <v>7.7381225986295359</v>
      </c>
      <c r="AA26">
        <v>6.1086953317063798E-2</v>
      </c>
      <c r="AC26">
        <v>-4.8058759983928807</v>
      </c>
      <c r="AD26">
        <v>-4.6594327537553264</v>
      </c>
      <c r="AE26" s="20" t="s">
        <v>77</v>
      </c>
    </row>
    <row r="27" spans="1:31">
      <c r="R27" t="s">
        <v>53</v>
      </c>
      <c r="S27"/>
      <c r="T27">
        <v>11.725379152965884</v>
      </c>
      <c r="U27">
        <v>11.161811717464692</v>
      </c>
      <c r="W27">
        <v>3.6056467119100719</v>
      </c>
      <c r="X27">
        <v>4.4397973820218644</v>
      </c>
      <c r="Z27">
        <v>11.026353012001906</v>
      </c>
      <c r="AA27">
        <v>9.7242468317383572</v>
      </c>
      <c r="AC27">
        <v>8.203998845491034E-2</v>
      </c>
      <c r="AD27">
        <v>2.0300212733666205</v>
      </c>
      <c r="AE27" s="22" t="s">
        <v>266</v>
      </c>
    </row>
    <row r="28" spans="1:31">
      <c r="R28" t="s">
        <v>54</v>
      </c>
      <c r="S28"/>
      <c r="T28">
        <v>32.468813716621732</v>
      </c>
      <c r="U28">
        <v>21.906971569630155</v>
      </c>
      <c r="W28">
        <v>60.211048923054442</v>
      </c>
      <c r="X28">
        <v>37.27300070666962</v>
      </c>
      <c r="Z28">
        <v>16.321848593026793</v>
      </c>
      <c r="AA28">
        <v>-0.68282627847076727</v>
      </c>
      <c r="AC28">
        <v>12.367696574238446</v>
      </c>
      <c r="AD28">
        <v>-0.15725475875377287</v>
      </c>
      <c r="AE28" s="20" t="s">
        <v>267</v>
      </c>
    </row>
    <row r="29" spans="1:31">
      <c r="AE29" s="20" t="s">
        <v>170</v>
      </c>
    </row>
    <row r="30" spans="1:31">
      <c r="S30"/>
      <c r="T30" s="37"/>
      <c r="V30" s="43"/>
      <c r="W30" s="43"/>
      <c r="AE30" s="20" t="s">
        <v>97</v>
      </c>
    </row>
    <row r="31" spans="1:31">
      <c r="S31"/>
      <c r="T31" s="37"/>
      <c r="V31" s="43"/>
      <c r="W31" s="43"/>
      <c r="AE31" s="20" t="s">
        <v>268</v>
      </c>
    </row>
    <row r="32" spans="1:31">
      <c r="S32"/>
      <c r="T32" s="37"/>
      <c r="V32" s="43"/>
      <c r="W32" s="43"/>
      <c r="AE32" s="20" t="s">
        <v>269</v>
      </c>
    </row>
    <row r="33" spans="19:31">
      <c r="S33"/>
      <c r="T33" s="37"/>
      <c r="V33" s="43"/>
      <c r="W33" s="43"/>
      <c r="AE33" s="20" t="s">
        <v>180</v>
      </c>
    </row>
    <row r="34" spans="19:31">
      <c r="S34"/>
      <c r="T34" s="37"/>
      <c r="V34" s="43"/>
      <c r="W34" s="43"/>
      <c r="AE34" s="20" t="s">
        <v>238</v>
      </c>
    </row>
    <row r="35" spans="19:31">
      <c r="S35"/>
      <c r="T35" s="37"/>
      <c r="V35" s="43"/>
      <c r="W35" s="43"/>
    </row>
    <row r="36" spans="19:31">
      <c r="T36" s="37"/>
    </row>
  </sheetData>
  <mergeCells count="3">
    <mergeCell ref="V30:V35"/>
    <mergeCell ref="W30:W32"/>
    <mergeCell ref="W33:W35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CF9F-FC17-5546-9157-56EAD9EAA7C7}">
  <dimension ref="A1"/>
  <sheetViews>
    <sheetView workbookViewId="0">
      <selection activeCell="H6" sqref="H6"/>
    </sheetView>
  </sheetViews>
  <sheetFormatPr baseColWidth="10" defaultRowHeight="16"/>
  <sheetData/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06A6-FCE1-6340-9B78-171B4A8C74D0}">
  <dimension ref="A1"/>
  <sheetViews>
    <sheetView workbookViewId="0">
      <selection activeCell="J30" sqref="J30"/>
    </sheetView>
  </sheetViews>
  <sheetFormatPr baseColWidth="10" defaultRowHeight="16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次日留存率</vt:lpstr>
      <vt:lpstr>收入</vt:lpstr>
      <vt:lpstr>cpi</vt:lpstr>
      <vt:lpstr>分t123 收入和活跃天数</vt:lpstr>
      <vt:lpstr>新增收入+广告计算</vt:lpstr>
      <vt:lpstr>sub to paid bookings </vt:lpstr>
      <vt:lpstr>ads 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2025-04-30T02:23:47Z</dcterms:created>
  <dcterms:modified xsi:type="dcterms:W3CDTF">2025-05-09T10:48:34Z</dcterms:modified>
</cp:coreProperties>
</file>