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man/Desktop/AirBrush-V7.6.0 - Android&amp;iOS 新用户限免实验分析/"/>
    </mc:Choice>
  </mc:AlternateContent>
  <xr:revisionPtr revIDLastSave="0" documentId="13_ncr:1_{7FD6B5AB-B1F1-984D-9512-3708691FC7D7}" xr6:coauthVersionLast="38" xr6:coauthVersionMax="38" xr10:uidLastSave="{00000000-0000-0000-0000-000000000000}"/>
  <bookViews>
    <workbookView xWindow="80" yWindow="820" windowWidth="28720" windowHeight="17940" firstSheet="2" activeTab="5" xr2:uid="{12280035-66F3-0944-B5DA-8932CDACB0EA}"/>
  </bookViews>
  <sheets>
    <sheet name="Sheet1" sheetId="1" r:id="rId1"/>
    <sheet name="new paying 续费率" sheetId="3" r:id="rId2"/>
    <sheet name="订阅收入和广告收入日均损失" sheetId="2" r:id="rId3"/>
    <sheet name="新用户次日留存率" sheetId="5" r:id="rId4"/>
    <sheet name="活跃天数 国内做法" sheetId="4" r:id="rId5"/>
    <sheet name="1年2年3年的活跃 价值预估" sheetId="6" r:id="rId6"/>
    <sheet name="新增N个月的付费收入" sheetId="7" r:id="rId7"/>
    <sheet name="新增n个月的广告收入" sheetId="8" r:id="rId8"/>
    <sheet name="新增n个月的活跃人数和活跃天数" sheetId="9" r:id="rId9"/>
  </sheets>
  <calcPr calcId="179021"/>
  <pivotCaches>
    <pivotCache cacheId="12" r:id="rId10"/>
    <pivotCache cacheId="13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4" i="6" l="1"/>
  <c r="I26" i="6"/>
  <c r="I25" i="6"/>
  <c r="I19" i="6"/>
  <c r="I20" i="6"/>
  <c r="N23" i="6"/>
  <c r="N17" i="6"/>
  <c r="H57" i="6"/>
  <c r="G57" i="6"/>
  <c r="F57" i="6"/>
  <c r="L20" i="6" l="1"/>
  <c r="L19" i="6"/>
  <c r="X18" i="6"/>
  <c r="L18" i="6"/>
  <c r="M17" i="6"/>
  <c r="L14" i="6"/>
  <c r="L12" i="6"/>
  <c r="X24" i="6"/>
  <c r="AI24" i="6"/>
  <c r="AI25" i="6" s="1"/>
  <c r="X25" i="6"/>
  <c r="X26" i="6"/>
  <c r="AI26" i="6"/>
  <c r="P24" i="6"/>
  <c r="P25" i="6" s="1"/>
  <c r="Q24" i="6"/>
  <c r="Q26" i="6" s="1"/>
  <c r="L24" i="6"/>
  <c r="L26" i="6"/>
  <c r="L25" i="6"/>
  <c r="P18" i="6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BD25" i="9"/>
  <c r="BE25" i="9"/>
  <c r="BF25" i="9"/>
  <c r="BG25" i="9"/>
  <c r="BH25" i="9"/>
  <c r="BI25" i="9"/>
  <c r="AL25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BD2" i="9"/>
  <c r="BE2" i="9"/>
  <c r="BF2" i="9"/>
  <c r="BG2" i="9"/>
  <c r="BH2" i="9"/>
  <c r="BI2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BF8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M17" i="9"/>
  <c r="AN17" i="9"/>
  <c r="AO17" i="9"/>
  <c r="AP17" i="9"/>
  <c r="AQ17" i="9"/>
  <c r="AR17" i="9"/>
  <c r="AM18" i="9"/>
  <c r="AN18" i="9"/>
  <c r="AO18" i="9"/>
  <c r="AP18" i="9"/>
  <c r="AQ18" i="9"/>
  <c r="AM19" i="9"/>
  <c r="AN19" i="9"/>
  <c r="AO19" i="9"/>
  <c r="AP19" i="9"/>
  <c r="AM20" i="9"/>
  <c r="AN20" i="9"/>
  <c r="AM21" i="9"/>
  <c r="AL3" i="9"/>
  <c r="AL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" i="9"/>
  <c r="AI14" i="6"/>
  <c r="M14" i="6"/>
  <c r="M18" i="6" s="1"/>
  <c r="M19" i="6" s="1"/>
  <c r="N14" i="6"/>
  <c r="N18" i="6" s="1"/>
  <c r="N19" i="6" s="1"/>
  <c r="O14" i="6"/>
  <c r="O24" i="6" s="1"/>
  <c r="P14" i="6"/>
  <c r="Q14" i="6"/>
  <c r="R14" i="6"/>
  <c r="R24" i="6" s="1"/>
  <c r="S14" i="6"/>
  <c r="S24" i="6" s="1"/>
  <c r="S25" i="6" s="1"/>
  <c r="T14" i="6"/>
  <c r="T24" i="6" s="1"/>
  <c r="T25" i="6" s="1"/>
  <c r="U14" i="6"/>
  <c r="U24" i="6" s="1"/>
  <c r="V14" i="6"/>
  <c r="V24" i="6" s="1"/>
  <c r="W14" i="6"/>
  <c r="W24" i="6" s="1"/>
  <c r="Y14" i="6"/>
  <c r="Y24" i="6" s="1"/>
  <c r="Z14" i="6"/>
  <c r="Z24" i="6" s="1"/>
  <c r="AA14" i="6"/>
  <c r="AA24" i="6" s="1"/>
  <c r="AB14" i="6"/>
  <c r="AB24" i="6" s="1"/>
  <c r="AC14" i="6"/>
  <c r="AC24" i="6" s="1"/>
  <c r="AC26" i="6" s="1"/>
  <c r="AD14" i="6"/>
  <c r="AD24" i="6" s="1"/>
  <c r="AD26" i="6" s="1"/>
  <c r="AE14" i="6"/>
  <c r="AE24" i="6" s="1"/>
  <c r="AF14" i="6"/>
  <c r="AF24" i="6" s="1"/>
  <c r="AG14" i="6"/>
  <c r="AG24" i="6" s="1"/>
  <c r="AH14" i="6"/>
  <c r="AH24" i="6" s="1"/>
  <c r="O12" i="6"/>
  <c r="M23" i="6"/>
  <c r="K34" i="6"/>
  <c r="K35" i="6" s="1"/>
  <c r="L34" i="6"/>
  <c r="L35" i="6" s="1"/>
  <c r="AH25" i="6" l="1"/>
  <c r="AH26" i="6"/>
  <c r="AA25" i="6"/>
  <c r="AA26" i="6"/>
  <c r="Z25" i="6"/>
  <c r="Z26" i="6"/>
  <c r="Y25" i="6"/>
  <c r="Y26" i="6"/>
  <c r="AF26" i="6"/>
  <c r="AF25" i="6"/>
  <c r="O26" i="6"/>
  <c r="O25" i="6"/>
  <c r="V26" i="6"/>
  <c r="V25" i="6"/>
  <c r="R26" i="6"/>
  <c r="R25" i="6"/>
  <c r="AG25" i="6"/>
  <c r="AG26" i="6"/>
  <c r="W26" i="6"/>
  <c r="W25" i="6"/>
  <c r="AE26" i="6"/>
  <c r="AE25" i="6"/>
  <c r="U25" i="6"/>
  <c r="U26" i="6"/>
  <c r="AB25" i="6"/>
  <c r="AB26" i="6"/>
  <c r="N24" i="6"/>
  <c r="Q25" i="6"/>
  <c r="P26" i="6"/>
  <c r="M24" i="6"/>
  <c r="AD25" i="6"/>
  <c r="AC25" i="6"/>
  <c r="T26" i="6"/>
  <c r="S26" i="6"/>
  <c r="U18" i="6"/>
  <c r="M12" i="6"/>
  <c r="N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I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BD25" i="8"/>
  <c r="BC25" i="8"/>
  <c r="AY25" i="8"/>
  <c r="AQ25" i="8"/>
  <c r="AP25" i="8"/>
  <c r="AJ25" i="8"/>
  <c r="BH25" i="8"/>
  <c r="BG25" i="8"/>
  <c r="BF25" i="8"/>
  <c r="BE25" i="8"/>
  <c r="BB25" i="8"/>
  <c r="BA25" i="8"/>
  <c r="AZ25" i="8"/>
  <c r="AX25" i="8"/>
  <c r="AW25" i="8"/>
  <c r="AV25" i="8"/>
  <c r="AU25" i="8"/>
  <c r="AT25" i="8"/>
  <c r="AS25" i="8"/>
  <c r="AR25" i="8"/>
  <c r="AO25" i="8"/>
  <c r="AN25" i="8"/>
  <c r="AM25" i="8"/>
  <c r="AL25" i="8"/>
  <c r="AK25" i="8"/>
  <c r="Z18" i="6"/>
  <c r="AA18" i="6"/>
  <c r="AB18" i="6"/>
  <c r="AD18" i="6"/>
  <c r="AG18" i="6"/>
  <c r="AH18" i="6"/>
  <c r="O18" i="6"/>
  <c r="O19" i="6" s="1"/>
  <c r="R18" i="6"/>
  <c r="R19" i="6" s="1"/>
  <c r="S18" i="6"/>
  <c r="T18" i="6"/>
  <c r="Y18" i="6"/>
  <c r="AC18" i="6"/>
  <c r="AI18" i="6"/>
  <c r="V18" i="6"/>
  <c r="BA26" i="7"/>
  <c r="AQ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AZ26" i="7"/>
  <c r="AY26" i="7"/>
  <c r="AX26" i="7"/>
  <c r="AW26" i="7"/>
  <c r="AV26" i="7"/>
  <c r="AU26" i="7"/>
  <c r="AT26" i="7"/>
  <c r="AS26" i="7"/>
  <c r="AR26" i="7"/>
  <c r="AB25" i="9"/>
  <c r="AD25" i="9"/>
  <c r="AE25" i="9"/>
  <c r="AF25" i="9"/>
  <c r="AG25" i="9"/>
  <c r="AC25" i="9"/>
  <c r="Q25" i="9"/>
  <c r="R25" i="9"/>
  <c r="S25" i="9"/>
  <c r="T25" i="9"/>
  <c r="U25" i="9"/>
  <c r="V25" i="9"/>
  <c r="W25" i="9"/>
  <c r="X25" i="9"/>
  <c r="Y25" i="9"/>
  <c r="Z25" i="9"/>
  <c r="AA25" i="9"/>
  <c r="P25" i="9"/>
  <c r="J25" i="9"/>
  <c r="K25" i="9"/>
  <c r="L25" i="9"/>
  <c r="M25" i="9"/>
  <c r="N25" i="9"/>
  <c r="O25" i="9"/>
  <c r="I25" i="9"/>
  <c r="N26" i="6" l="1"/>
  <c r="N25" i="6"/>
  <c r="M25" i="6"/>
  <c r="J25" i="6" s="1"/>
  <c r="M26" i="6"/>
  <c r="J26" i="6" s="1"/>
  <c r="V20" i="6"/>
  <c r="V19" i="6"/>
  <c r="AC20" i="6"/>
  <c r="AC19" i="6"/>
  <c r="AD20" i="6"/>
  <c r="AD19" i="6"/>
  <c r="AI19" i="6"/>
  <c r="AI20" i="6"/>
  <c r="O20" i="6"/>
  <c r="AB20" i="6"/>
  <c r="AB19" i="6"/>
  <c r="AA19" i="6"/>
  <c r="AA20" i="6"/>
  <c r="T20" i="6"/>
  <c r="T19" i="6"/>
  <c r="N20" i="6"/>
  <c r="AH20" i="6"/>
  <c r="AH19" i="6"/>
  <c r="S19" i="6"/>
  <c r="S20" i="6"/>
  <c r="AG20" i="6"/>
  <c r="AG19" i="6"/>
  <c r="U20" i="6"/>
  <c r="U19" i="6"/>
  <c r="R20" i="6"/>
  <c r="Y19" i="6"/>
  <c r="Y20" i="6"/>
  <c r="AE18" i="6"/>
  <c r="W18" i="6"/>
  <c r="Z19" i="6"/>
  <c r="Z20" i="6"/>
  <c r="M20" i="6"/>
  <c r="AF18" i="6"/>
  <c r="Q18" i="6"/>
  <c r="E77" i="2"/>
  <c r="E75" i="2"/>
  <c r="E76" i="2"/>
  <c r="F76" i="2" s="1"/>
  <c r="H76" i="2" s="1"/>
  <c r="O43" i="2"/>
  <c r="O48" i="2" s="1"/>
  <c r="E54" i="2"/>
  <c r="H43" i="2"/>
  <c r="G43" i="2"/>
  <c r="G46" i="2" s="1"/>
  <c r="F43" i="2"/>
  <c r="F47" i="2" s="1"/>
  <c r="E50" i="2"/>
  <c r="E58" i="2" s="1"/>
  <c r="E46" i="2"/>
  <c r="E47" i="2"/>
  <c r="D46" i="2"/>
  <c r="D50" i="2" s="1"/>
  <c r="E79" i="2"/>
  <c r="Q43" i="2"/>
  <c r="R43" i="2"/>
  <c r="S43" i="2"/>
  <c r="T43" i="2"/>
  <c r="U43" i="2"/>
  <c r="V43" i="2"/>
  <c r="W43" i="2"/>
  <c r="X43" i="2"/>
  <c r="Y43" i="2"/>
  <c r="Z43" i="2"/>
  <c r="AA43" i="2"/>
  <c r="AA47" i="2" s="1"/>
  <c r="I43" i="2"/>
  <c r="J43" i="2"/>
  <c r="K43" i="2"/>
  <c r="L43" i="2"/>
  <c r="M43" i="2"/>
  <c r="N43" i="2"/>
  <c r="N47" i="2" s="1"/>
  <c r="P43" i="2"/>
  <c r="J46" i="2"/>
  <c r="D47" i="2"/>
  <c r="D48" i="2"/>
  <c r="D51" i="2" s="1"/>
  <c r="R47" i="1"/>
  <c r="R46" i="1"/>
  <c r="R43" i="1"/>
  <c r="R42" i="1"/>
  <c r="O44" i="2"/>
  <c r="M45" i="4"/>
  <c r="M46" i="4"/>
  <c r="M47" i="4"/>
  <c r="M48" i="4"/>
  <c r="M44" i="4"/>
  <c r="E81" i="2"/>
  <c r="F81" i="2" s="1"/>
  <c r="E80" i="2"/>
  <c r="F80" i="2" s="1"/>
  <c r="H80" i="2" s="1"/>
  <c r="I80" i="2" s="1"/>
  <c r="J80" i="2" s="1"/>
  <c r="F77" i="2"/>
  <c r="H77" i="2" s="1"/>
  <c r="E48" i="2"/>
  <c r="E51" i="2" s="1"/>
  <c r="E59" i="2" s="1"/>
  <c r="N5" i="4"/>
  <c r="L36" i="4"/>
  <c r="L35" i="4"/>
  <c r="J31" i="5"/>
  <c r="AF20" i="6" l="1"/>
  <c r="AF19" i="6"/>
  <c r="X20" i="6"/>
  <c r="X19" i="6"/>
  <c r="AE19" i="6"/>
  <c r="AE20" i="6"/>
  <c r="W19" i="6"/>
  <c r="W20" i="6"/>
  <c r="Q20" i="6"/>
  <c r="Q19" i="6"/>
  <c r="P20" i="6"/>
  <c r="J20" i="6" s="1"/>
  <c r="P19" i="6"/>
  <c r="J19" i="6" s="1"/>
  <c r="H81" i="2"/>
  <c r="I81" i="2" s="1"/>
  <c r="J81" i="2" s="1"/>
  <c r="G77" i="2"/>
  <c r="O51" i="2"/>
  <c r="O63" i="2" s="1"/>
  <c r="F48" i="2"/>
  <c r="O46" i="2"/>
  <c r="F46" i="2"/>
  <c r="F50" i="2" s="1"/>
  <c r="AA46" i="2"/>
  <c r="AA50" i="2" s="1"/>
  <c r="AA44" i="2"/>
  <c r="I76" i="2"/>
  <c r="G76" i="2"/>
  <c r="F62" i="2" l="1"/>
  <c r="F58" i="2"/>
  <c r="B58" i="2" s="1"/>
  <c r="I77" i="2"/>
  <c r="F51" i="2"/>
  <c r="F59" i="2" s="1"/>
  <c r="B59" i="2" s="1"/>
  <c r="K25" i="4"/>
  <c r="K24" i="4"/>
  <c r="K20" i="4"/>
  <c r="K19" i="4"/>
  <c r="J15" i="4"/>
  <c r="J4" i="4"/>
  <c r="J6" i="4" s="1"/>
  <c r="M6" i="2"/>
  <c r="L6" i="2"/>
  <c r="L7" i="2"/>
  <c r="AA66" i="2"/>
  <c r="M51" i="2"/>
  <c r="M63" i="2" s="1"/>
  <c r="T46" i="2"/>
  <c r="U46" i="2"/>
  <c r="V46" i="2"/>
  <c r="V50" i="2" s="1"/>
  <c r="V66" i="2" s="1"/>
  <c r="W46" i="2"/>
  <c r="X46" i="2"/>
  <c r="Y46" i="2"/>
  <c r="Z46" i="2"/>
  <c r="T47" i="2"/>
  <c r="U47" i="2"/>
  <c r="V47" i="2"/>
  <c r="W47" i="2"/>
  <c r="X47" i="2"/>
  <c r="Y47" i="2"/>
  <c r="Z47" i="2"/>
  <c r="T48" i="2"/>
  <c r="U48" i="2"/>
  <c r="V48" i="2"/>
  <c r="W48" i="2"/>
  <c r="X48" i="2"/>
  <c r="Y48" i="2"/>
  <c r="Z48" i="2"/>
  <c r="AA48" i="2"/>
  <c r="AA51" i="2" s="1"/>
  <c r="AA67" i="2" s="1"/>
  <c r="S46" i="2"/>
  <c r="H46" i="2"/>
  <c r="I46" i="2"/>
  <c r="K46" i="2"/>
  <c r="L46" i="2"/>
  <c r="M46" i="2"/>
  <c r="N46" i="2"/>
  <c r="N50" i="2" s="1"/>
  <c r="P46" i="2"/>
  <c r="Q46" i="2"/>
  <c r="R46" i="2"/>
  <c r="G47" i="2"/>
  <c r="G50" i="2" s="1"/>
  <c r="H47" i="2"/>
  <c r="I47" i="2"/>
  <c r="I50" i="2" s="1"/>
  <c r="J47" i="2"/>
  <c r="J50" i="2" s="1"/>
  <c r="K47" i="2"/>
  <c r="K50" i="2" s="1"/>
  <c r="L47" i="2"/>
  <c r="L50" i="2" s="1"/>
  <c r="M47" i="2"/>
  <c r="M50" i="2" s="1"/>
  <c r="M62" i="2" s="1"/>
  <c r="O47" i="2"/>
  <c r="O50" i="2" s="1"/>
  <c r="O62" i="2" s="1"/>
  <c r="P47" i="2"/>
  <c r="Q47" i="2"/>
  <c r="R47" i="2"/>
  <c r="S47" i="2"/>
  <c r="G48" i="2"/>
  <c r="G51" i="2" s="1"/>
  <c r="H48" i="2"/>
  <c r="I48" i="2"/>
  <c r="I51" i="2" s="1"/>
  <c r="I63" i="2" s="1"/>
  <c r="J48" i="2"/>
  <c r="J51" i="2" s="1"/>
  <c r="K48" i="2"/>
  <c r="L48" i="2"/>
  <c r="M48" i="2"/>
  <c r="N48" i="2"/>
  <c r="P48" i="2"/>
  <c r="Q48" i="2"/>
  <c r="Q51" i="2" s="1"/>
  <c r="Q67" i="2" s="1"/>
  <c r="R48" i="2"/>
  <c r="R51" i="2" s="1"/>
  <c r="R67" i="2" s="1"/>
  <c r="S48" i="2"/>
  <c r="E63" i="2"/>
  <c r="Z43" i="3"/>
  <c r="Y43" i="3"/>
  <c r="X43" i="3"/>
  <c r="W43" i="3"/>
  <c r="V43" i="3"/>
  <c r="U43" i="3"/>
  <c r="T43" i="3"/>
  <c r="S43" i="3"/>
  <c r="R43" i="3"/>
  <c r="Q43" i="3"/>
  <c r="P43" i="3"/>
  <c r="O43" i="3"/>
  <c r="I65" i="3"/>
  <c r="I64" i="3"/>
  <c r="H64" i="3"/>
  <c r="Y33" i="1"/>
  <c r="P31" i="1"/>
  <c r="X31" i="1" s="1"/>
  <c r="Q31" i="1"/>
  <c r="Y31" i="1" s="1"/>
  <c r="R31" i="1"/>
  <c r="Z31" i="1" s="1"/>
  <c r="P32" i="1"/>
  <c r="Q32" i="1"/>
  <c r="Y32" i="1" s="1"/>
  <c r="R32" i="1"/>
  <c r="Z32" i="1" s="1"/>
  <c r="V33" i="1"/>
  <c r="Z33" i="1" s="1"/>
  <c r="U33" i="1"/>
  <c r="T33" i="1"/>
  <c r="V32" i="1"/>
  <c r="U32" i="1"/>
  <c r="T32" i="1"/>
  <c r="X32" i="1" s="1"/>
  <c r="V31" i="1"/>
  <c r="U31" i="1"/>
  <c r="T31" i="1"/>
  <c r="N43" i="3"/>
  <c r="M43" i="3"/>
  <c r="L43" i="3"/>
  <c r="K43" i="3"/>
  <c r="J43" i="3"/>
  <c r="I43" i="3"/>
  <c r="H43" i="3"/>
  <c r="G43" i="3"/>
  <c r="F43" i="3"/>
  <c r="E43" i="3"/>
  <c r="D43" i="3"/>
  <c r="S45" i="3" s="1"/>
  <c r="Q33" i="1"/>
  <c r="R33" i="1"/>
  <c r="P33" i="1"/>
  <c r="P7" i="2"/>
  <c r="M10" i="2" s="1"/>
  <c r="O7" i="2"/>
  <c r="L10" i="2" s="1"/>
  <c r="M7" i="2"/>
  <c r="J7" i="2"/>
  <c r="I7" i="2"/>
  <c r="G7" i="2"/>
  <c r="F7" i="2"/>
  <c r="F10" i="2" s="1"/>
  <c r="O6" i="2"/>
  <c r="P6" i="2"/>
  <c r="G6" i="2"/>
  <c r="G9" i="2" s="1"/>
  <c r="F6" i="2"/>
  <c r="J6" i="2"/>
  <c r="I6" i="2"/>
  <c r="X45" i="3" l="1"/>
  <c r="P45" i="3"/>
  <c r="W45" i="3"/>
  <c r="O45" i="3"/>
  <c r="V45" i="3"/>
  <c r="H45" i="3"/>
  <c r="U45" i="3"/>
  <c r="I45" i="3"/>
  <c r="L9" i="2"/>
  <c r="G10" i="2"/>
  <c r="T45" i="3"/>
  <c r="D45" i="3"/>
  <c r="M9" i="2"/>
  <c r="N45" i="3"/>
  <c r="L45" i="3"/>
  <c r="G45" i="3"/>
  <c r="X33" i="1"/>
  <c r="Z45" i="3"/>
  <c r="R45" i="3"/>
  <c r="F67" i="2"/>
  <c r="K51" i="2"/>
  <c r="K63" i="2" s="1"/>
  <c r="F9" i="2"/>
  <c r="Y45" i="3"/>
  <c r="Q45" i="3"/>
  <c r="T50" i="2"/>
  <c r="T66" i="2" s="1"/>
  <c r="S50" i="2"/>
  <c r="S66" i="2" s="1"/>
  <c r="N51" i="2"/>
  <c r="N67" i="2" s="1"/>
  <c r="H50" i="2"/>
  <c r="H62" i="2" s="1"/>
  <c r="Z50" i="2"/>
  <c r="Z66" i="2" s="1"/>
  <c r="R50" i="2"/>
  <c r="R66" i="2" s="1"/>
  <c r="Q50" i="2"/>
  <c r="Q66" i="2" s="1"/>
  <c r="W51" i="2"/>
  <c r="W67" i="2" s="1"/>
  <c r="S51" i="2"/>
  <c r="S67" i="2" s="1"/>
  <c r="T51" i="2"/>
  <c r="T67" i="2" s="1"/>
  <c r="P51" i="2"/>
  <c r="P67" i="2" s="1"/>
  <c r="L51" i="2"/>
  <c r="L63" i="2" s="1"/>
  <c r="P50" i="2"/>
  <c r="P66" i="2" s="1"/>
  <c r="H51" i="2"/>
  <c r="H63" i="2" s="1"/>
  <c r="V51" i="2"/>
  <c r="V67" i="2" s="1"/>
  <c r="Y51" i="2"/>
  <c r="Y67" i="2" s="1"/>
  <c r="X50" i="2"/>
  <c r="X66" i="2" s="1"/>
  <c r="X51" i="2"/>
  <c r="X67" i="2" s="1"/>
  <c r="W50" i="2"/>
  <c r="W66" i="2" s="1"/>
  <c r="U50" i="2"/>
  <c r="U66" i="2" s="1"/>
  <c r="U51" i="2"/>
  <c r="U67" i="2" s="1"/>
  <c r="Z51" i="2"/>
  <c r="Z67" i="2" s="1"/>
  <c r="Y50" i="2"/>
  <c r="Y66" i="2" s="1"/>
  <c r="I62" i="2"/>
  <c r="J62" i="2"/>
  <c r="J67" i="2"/>
  <c r="J63" i="2"/>
  <c r="N66" i="2"/>
  <c r="N62" i="2"/>
  <c r="E62" i="2"/>
  <c r="O66" i="2"/>
  <c r="G62" i="2"/>
  <c r="O67" i="2"/>
  <c r="G63" i="2"/>
  <c r="G67" i="2"/>
  <c r="L62" i="2"/>
  <c r="K62" i="2"/>
  <c r="I67" i="2"/>
  <c r="E67" i="2"/>
  <c r="E55" i="2"/>
  <c r="F63" i="2"/>
  <c r="M67" i="2"/>
  <c r="K45" i="3"/>
  <c r="J45" i="3"/>
  <c r="M45" i="3"/>
  <c r="E45" i="3"/>
  <c r="F45" i="3"/>
  <c r="B63" i="2" l="1"/>
  <c r="A63" i="2" s="1"/>
  <c r="L67" i="2"/>
  <c r="K67" i="2"/>
  <c r="H67" i="2"/>
  <c r="N63" i="2"/>
  <c r="B62" i="2"/>
  <c r="A62" i="2" s="1"/>
  <c r="B67" i="2"/>
  <c r="L66" i="2"/>
  <c r="M66" i="2"/>
  <c r="A67" i="2" l="1"/>
  <c r="J77" i="2"/>
  <c r="K77" i="2" s="1"/>
  <c r="K66" i="2"/>
  <c r="J66" i="2" l="1"/>
  <c r="I66" i="2" l="1"/>
  <c r="G66" i="2" l="1"/>
  <c r="H66" i="2"/>
  <c r="E66" i="2" l="1"/>
  <c r="F66" i="2"/>
  <c r="B66" i="2" s="1"/>
  <c r="J76" i="2" s="1"/>
  <c r="K76" i="2" s="1"/>
  <c r="A66" i="2" l="1"/>
  <c r="A69" i="2" s="1"/>
</calcChain>
</file>

<file path=xl/sharedStrings.xml><?xml version="1.0" encoding="utf-8"?>
<sst xmlns="http://schemas.openxmlformats.org/spreadsheetml/2006/main" count="1870" uniqueCount="501">
  <si>
    <t xml:space="preserve">--天维度的收入 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</si>
  <si>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</si>
  <si>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</si>
  <si>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</si>
  <si>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</si>
  <si>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</si>
  <si>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'video_start_edit'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'enter'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</si>
  <si>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'camera_save'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'video_save'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'save'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</si>
  <si>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</si>
  <si>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</si>
  <si>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</si>
  <si>
    <t>-- ,event_timestamp</t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</si>
  <si>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'source_module'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source_module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</si>
  <si>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'source_0'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source_0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</si>
  <si>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'source_1'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source_1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</si>
  <si>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'duration'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duration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</si>
  <si>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'SKU'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sku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</si>
  <si>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'order_id'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</si>
  <si>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</si>
  <si>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(*)</t>
    </r>
    <r>
      <rPr>
        <sz val="12"/>
        <color rgb="FF000000"/>
        <rFont val="Menlo"/>
        <family val="2"/>
      </rPr>
      <t>pv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</si>
  <si>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`airbrush-1324.analytics_152810936.events_*`</t>
    </r>
    <r>
      <rPr>
        <sz val="12"/>
        <color rgb="FF202124"/>
        <rFont val="Menlo"/>
        <family val="2"/>
      </rPr>
      <t xml:space="preserve"> </t>
    </r>
  </si>
  <si>
    <t xml:space="preserve">-- `dataintegration-265403.analytics.dwd_dzp_events_function`('2025-02-28','2025-03-16','airbrush',false) -- 这个表跑不动 </t>
  </si>
  <si>
    <r>
      <t>where</t>
    </r>
    <r>
      <rPr>
        <sz val="12"/>
        <color rgb="FF202124"/>
        <rFont val="Menlo"/>
        <family val="2"/>
      </rPr>
      <t xml:space="preserve"> </t>
    </r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</si>
  <si>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'w_subscription_enter'</t>
    </r>
  </si>
  <si>
    <r>
      <t>,</t>
    </r>
    <r>
      <rPr>
        <sz val="12"/>
        <color rgb="FF188038"/>
        <rFont val="Menlo"/>
        <family val="2"/>
      </rPr>
      <t>'w_subscription_click'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</si>
  <si>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</si>
  <si>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'2025-04-20'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</si>
  <si>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8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9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13</t>
    </r>
  </si>
  <si>
    <t>)</t>
  </si>
  <si>
    <r>
      <t>,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</si>
  <si>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distinct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</si>
  <si>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</si>
  <si>
    <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</si>
  <si>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</si>
  <si>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</si>
  <si>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</si>
  <si>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t>--- `dataintegration-265403.analytics.dwd_dzp_events_function`('2025-02-28','2025-03-16','airbrush',false)</t>
  </si>
  <si>
    <t>where</t>
  </si>
  <si>
    <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</si>
  <si>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'11072'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'11073'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'11074'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'11075'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'11076'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'11077'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</si>
  <si>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</si>
  <si>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)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</si>
  <si>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限制进入实验的人,且实验触发日期在进入实验之后</t>
    </r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</si>
  <si>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  <r>
      <rPr>
        <sz val="12"/>
        <color rgb="FF1967D2"/>
        <rFont val="Menlo"/>
        <family val="2"/>
      </rPr>
      <t>except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ab_code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b.ab_code</t>
    </r>
  </si>
  <si>
    <t>from</t>
  </si>
  <si>
    <r>
      <t>(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</si>
  <si>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&lt;&gt;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</si>
  <si>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)</t>
    </r>
    <r>
      <rPr>
        <sz val="12"/>
        <color rgb="FF000000"/>
        <rFont val="Menlo"/>
        <family val="2"/>
      </rPr>
      <t>a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</si>
  <si>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b.user_pseudo_id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</si>
  <si>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b.date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a.date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事件发生的日期均 &gt;= 进入实验日期</t>
    </r>
  </si>
  <si>
    <r>
      <t>,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</si>
  <si>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select</t>
  </si>
  <si>
    <r>
      <t>standard_order_date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payment_price_usd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subscription_period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</si>
  <si>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next_standard_order_date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</si>
  <si>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payment_price_usd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next_payment_price_usd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</si>
  <si>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`dataintegration-265403.subscription.dwd_trial_subscription_retention_daily_temp`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</si>
  <si>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app_id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</si>
  <si>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'2025-04-02'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</si>
  <si>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</si>
  <si>
    <t>a.date</t>
  </si>
  <si>
    <r>
      <t>,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a.ab_code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a.duration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</si>
  <si>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</si>
  <si>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</si>
  <si>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</si>
  <si>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c.payment_price_usd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</si>
  <si>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c.next_payment_price_usd</t>
    </r>
    <r>
      <rPr>
        <sz val="12"/>
        <color rgb="FF202124"/>
        <rFont val="Menlo"/>
        <family val="2"/>
      </rPr>
      <t xml:space="preserve"> 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</si>
  <si>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sub_success_to_paid_gmv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</si>
  <si>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</si>
  <si>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</si>
  <si>
    <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</si>
  <si>
    <r>
      <t>a.device_id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b.standard_order_date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b.original_order_id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b.sku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b.order_status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</si>
  <si>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b.payment_price_usd</t>
    </r>
  </si>
  <si>
    <r>
      <t>,</t>
    </r>
    <r>
      <rPr>
        <sz val="12"/>
        <color rgb="FF000000"/>
        <rFont val="Menlo"/>
        <family val="2"/>
      </rPr>
      <t>next_standard_order_date</t>
    </r>
  </si>
  <si>
    <r>
      <t>,</t>
    </r>
    <r>
      <rPr>
        <sz val="12"/>
        <color rgb="FF000000"/>
        <rFont val="Menlo"/>
        <family val="2"/>
      </rPr>
      <t>next_payment_price_usd</t>
    </r>
  </si>
  <si>
    <r>
      <t>from</t>
    </r>
    <r>
      <rPr>
        <sz val="12"/>
        <color rgb="FF202124"/>
        <rFont val="Menlo"/>
        <family val="2"/>
      </rPr>
      <t xml:space="preserve"> </t>
    </r>
  </si>
  <si>
    <t>(</t>
  </si>
  <si>
    <t>*</t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</si>
  <si>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</si>
  <si>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</si>
  <si>
    <r>
      <t>)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</si>
  <si>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a.order_id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b.order_id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b.sku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</si>
  <si>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a.sku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</si>
  <si>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</si>
  <si>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</si>
  <si>
    <t>date</t>
  </si>
  <si>
    <t>platform</t>
  </si>
  <si>
    <t>ab_code</t>
  </si>
  <si>
    <t>duration</t>
  </si>
  <si>
    <t>sub_success_uv</t>
  </si>
  <si>
    <t>sub_success_to_paid_uv</t>
  </si>
  <si>
    <t>sub_success_to_paid_gmv</t>
  </si>
  <si>
    <t>ANDROID</t>
  </si>
  <si>
    <t>1month</t>
  </si>
  <si>
    <t>3month</t>
  </si>
  <si>
    <t>annual</t>
  </si>
  <si>
    <t>IOS</t>
  </si>
  <si>
    <t>times_1</t>
  </si>
  <si>
    <t>(全部)</t>
  </si>
  <si>
    <t>行标签</t>
  </si>
  <si>
    <t>总计</t>
  </si>
  <si>
    <t>求和项:sub_success_to_paid_gmv</t>
  </si>
  <si>
    <t>Sub Success to Paid Bookings</t>
  </si>
  <si>
    <t>广告收入</t>
  </si>
  <si>
    <t>iOS</t>
  </si>
  <si>
    <t>Android</t>
  </si>
  <si>
    <t>对照组</t>
  </si>
  <si>
    <t>实验组A</t>
  </si>
  <si>
    <t>实验组B</t>
  </si>
  <si>
    <t>日均值</t>
  </si>
  <si>
    <t>全量后一天 收入影响</t>
  </si>
  <si>
    <t>持续33%流量一天 收入影响</t>
  </si>
  <si>
    <t>新增订阅收入</t>
  </si>
  <si>
    <t>实验组</t>
    <phoneticPr fontId="11" type="noConversion"/>
  </si>
  <si>
    <t>对照组A</t>
    <phoneticPr fontId="11" type="noConversion"/>
  </si>
  <si>
    <t>对照组B</t>
    <phoneticPr fontId="11" type="noConversion"/>
  </si>
  <si>
    <t>平均值项:sub_success_to_paid_gmv</t>
  </si>
  <si>
    <t>Order month</t>
  </si>
  <si>
    <t>Order users(Total)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</si>
  <si>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</si>
  <si>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</si>
  <si>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</si>
  <si>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</si>
  <si>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</si>
  <si>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</si>
  <si>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</si>
  <si>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</si>
  <si>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</si>
  <si>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</si>
  <si>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</si>
  <si>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</si>
  <si>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</si>
  <si>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</si>
  <si>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</si>
  <si>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</si>
  <si>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</si>
  <si>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-</t>
  </si>
  <si>
    <t>求和项:sub_success_to_paid_uv</t>
  </si>
  <si>
    <t>ARPPU</t>
    <phoneticPr fontId="11" type="noConversion"/>
  </si>
  <si>
    <t>平均值项:sub_success_to_paid_uv</t>
  </si>
  <si>
    <t>1Month</t>
    <phoneticPr fontId="11" type="noConversion"/>
  </si>
  <si>
    <t>1year</t>
    <phoneticPr fontId="11" type="noConversion"/>
  </si>
  <si>
    <t>R1</t>
    <phoneticPr fontId="11" type="noConversion"/>
  </si>
  <si>
    <t>R2</t>
    <phoneticPr fontId="11" type="noConversion"/>
  </si>
  <si>
    <t>R18</t>
  </si>
  <si>
    <t>R19</t>
  </si>
  <si>
    <t>R20</t>
  </si>
  <si>
    <t>R21</t>
  </si>
  <si>
    <t>R22</t>
  </si>
  <si>
    <t>R23</t>
  </si>
  <si>
    <t>R24</t>
  </si>
  <si>
    <t>R25</t>
  </si>
  <si>
    <t>观测周期</t>
  </si>
  <si>
    <t>组别</t>
  </si>
  <si>
    <t>vs 对照组</t>
  </si>
  <si>
    <t>试验期间日均值</t>
  </si>
  <si>
    <t>预估日均续费收入</t>
  </si>
  <si>
    <t>1year 付费人数</t>
    <phoneticPr fontId="11" type="noConversion"/>
  </si>
  <si>
    <t>2个月 仅算次月留存</t>
    <phoneticPr fontId="11" type="noConversion"/>
  </si>
  <si>
    <t>1 year 仅算次月留存</t>
    <phoneticPr fontId="11" type="noConversion"/>
  </si>
  <si>
    <t>2 year 仅算次月留存</t>
    <phoneticPr fontId="11" type="noConversion"/>
  </si>
  <si>
    <t>365天的续费收入</t>
    <phoneticPr fontId="11" type="noConversion"/>
  </si>
  <si>
    <t>一天的续费收入</t>
    <phoneticPr fontId="11" type="noConversion"/>
  </si>
  <si>
    <t>加上月订阅</t>
    <phoneticPr fontId="11" type="noConversion"/>
  </si>
  <si>
    <r>
      <t>(</t>
    </r>
    <r>
      <rPr>
        <sz val="12"/>
        <color rgb="FF1967D2"/>
        <rFont val="Menlo"/>
        <family val="2"/>
      </rPr>
      <t>select</t>
    </r>
  </si>
  <si>
    <t>user_pseudo_id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</si>
  <si>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event_date_hk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days</t>
    </r>
  </si>
  <si>
    <r>
      <t>`dataintegration-265403.stat.stat_active_advice_detail_d`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</si>
  <si>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>=</t>
    </r>
    <r>
      <rPr>
        <sz val="12"/>
        <color rgb="FF188038"/>
        <rFont val="Menlo"/>
        <family val="2"/>
      </rPr>
      <t>'AirBrush'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</si>
  <si>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'2024-01-01'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'2024-12-31'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</si>
  <si>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</si>
  <si>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t>2024年YAU 的活跃天数</t>
  </si>
  <si>
    <t>单日单用户ARPU</t>
  </si>
  <si>
    <t>2024年全年订阅收入</t>
    <phoneticPr fontId="11" type="noConversion"/>
  </si>
  <si>
    <t>2024年全年广告收入</t>
    <phoneticPr fontId="11" type="noConversion"/>
  </si>
  <si>
    <t>Android 实验影响人数</t>
  </si>
  <si>
    <t>iOS 实验影响人数</t>
  </si>
  <si>
    <t>Android 价值</t>
  </si>
  <si>
    <t>iOS 价值</t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</si>
  <si>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days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  <r>
      <rPr>
        <sz val="12"/>
        <color rgb="FF3C4043"/>
        <rFont val="Menlo"/>
        <family val="2"/>
      </rPr>
      <t>)</t>
    </r>
  </si>
  <si>
    <t>短期</t>
    <phoneticPr fontId="11" type="noConversion"/>
  </si>
  <si>
    <t>Date</t>
  </si>
  <si>
    <t>retention_T</t>
  </si>
  <si>
    <t>Retention rate</t>
  </si>
  <si>
    <t>平均值项:Retention rate</t>
  </si>
  <si>
    <t>days</t>
  </si>
  <si>
    <t>uv</t>
  </si>
  <si>
    <r>
      <t>date_year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days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days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uv</t>
    </r>
  </si>
  <si>
    <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</si>
  <si>
    <r>
      <t>,</t>
    </r>
    <r>
      <rPr>
        <sz val="12"/>
        <color rgb="FF1967D2"/>
        <rFont val="Menlo"/>
        <family val="2"/>
      </rPr>
      <t>date_trunc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year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date_year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</si>
  <si>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'2023-01-01'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'2024-12-31'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</si>
  <si>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</si>
  <si>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</si>
  <si>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</si>
  <si>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t>天数</t>
    <phoneticPr fontId="11" type="noConversion"/>
  </si>
  <si>
    <t>人数</t>
    <phoneticPr fontId="11" type="noConversion"/>
  </si>
  <si>
    <t>33%的流量</t>
    <phoneticPr fontId="11" type="noConversion"/>
  </si>
  <si>
    <t>全量</t>
    <phoneticPr fontId="11" type="noConversion"/>
  </si>
  <si>
    <t>第3个月的续费累计</t>
    <phoneticPr fontId="11" type="noConversion"/>
  </si>
  <si>
    <t>第2个月的续费累计</t>
    <phoneticPr fontId="11" type="noConversion"/>
  </si>
  <si>
    <t>第1个月的续费累计</t>
    <phoneticPr fontId="11" type="noConversion"/>
  </si>
  <si>
    <t>第23个月的续费累计</t>
    <phoneticPr fontId="11" type="noConversion"/>
  </si>
  <si>
    <t>第11个月的续费累计</t>
    <phoneticPr fontId="11" type="noConversion"/>
  </si>
  <si>
    <t>25年4月在5月的续费</t>
    <phoneticPr fontId="11" type="noConversion"/>
  </si>
  <si>
    <t>25年5月在6月</t>
    <phoneticPr fontId="11" type="noConversion"/>
  </si>
  <si>
    <t>25年5月在26-3的续费累计</t>
    <phoneticPr fontId="11" type="noConversion"/>
  </si>
  <si>
    <t>25年4月在26年3月续费累计</t>
    <phoneticPr fontId="11" type="noConversion"/>
  </si>
  <si>
    <t>新增付费</t>
    <phoneticPr fontId="11" type="noConversion"/>
  </si>
  <si>
    <t>33%流量</t>
    <phoneticPr fontId="11" type="noConversion"/>
  </si>
  <si>
    <t>25年4月在27年3月续费累计</t>
    <phoneticPr fontId="11" type="noConversion"/>
  </si>
  <si>
    <t>date_year</t>
  </si>
  <si>
    <t>WEB</t>
  </si>
  <si>
    <t>新增用户的newpaying r1 可能不一致</t>
    <phoneticPr fontId="11" type="noConversion"/>
  </si>
  <si>
    <t>1month日均 付费人数</t>
    <phoneticPr fontId="11" type="noConversion"/>
  </si>
  <si>
    <t>收入日均</t>
    <phoneticPr fontId="11" type="noConversion"/>
  </si>
  <si>
    <t>实验组A vs 对照组</t>
    <phoneticPr fontId="11" type="noConversion"/>
  </si>
  <si>
    <t>实验组B vs 对照组</t>
    <phoneticPr fontId="11" type="noConversion"/>
  </si>
  <si>
    <t>25年4月在5月和6月的续费</t>
    <phoneticPr fontId="11" type="noConversion"/>
  </si>
  <si>
    <t>一天的续费 vs 对照组</t>
    <phoneticPr fontId="11" type="noConversion"/>
  </si>
  <si>
    <t>判断几年能打平</t>
    <phoneticPr fontId="11" type="noConversion"/>
  </si>
  <si>
    <t>新增用户在全年的订阅收入ARPPU</t>
    <phoneticPr fontId="11" type="noConversion"/>
  </si>
  <si>
    <t>周期</t>
  </si>
  <si>
    <t>指标</t>
  </si>
  <si>
    <t>全量实验组A</t>
  </si>
  <si>
    <t>全量实验组B</t>
  </si>
  <si>
    <t>1 day</t>
  </si>
  <si>
    <t>续费收入</t>
  </si>
  <si>
    <t>合计</t>
  </si>
  <si>
    <t>1 year</t>
  </si>
  <si>
    <t>2 year</t>
  </si>
  <si>
    <t>新增当月</t>
    <phoneticPr fontId="11" type="noConversion"/>
  </si>
  <si>
    <t>新增第二个月</t>
    <phoneticPr fontId="11" type="noConversion"/>
  </si>
  <si>
    <t>新增第3个月</t>
    <phoneticPr fontId="11" type="noConversion"/>
  </si>
  <si>
    <t xml:space="preserve">IAA 收入 </t>
    <phoneticPr fontId="11" type="noConversion"/>
  </si>
  <si>
    <t>新增第n月的活跃用户</t>
    <phoneticPr fontId="11" type="noConversion"/>
  </si>
  <si>
    <t>IAP 收入(包含续费)</t>
    <phoneticPr fontId="11" type="noConversion"/>
  </si>
  <si>
    <t>实验组A</t>
    <phoneticPr fontId="11" type="noConversion"/>
  </si>
  <si>
    <t>实验组B</t>
    <phoneticPr fontId="11" type="noConversion"/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</si>
  <si>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</si>
  <si>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,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3C4043"/>
        <rFont val="Menlo"/>
        <family val="2"/>
      </rPr>
      <t>(</t>
    </r>
  </si>
  <si>
    <r>
      <t>date_trunc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uuid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</si>
  <si>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`dataintegration-265403.stat.stat_active_advice_detail_d`</t>
    </r>
    <r>
      <rPr>
        <sz val="12"/>
        <color rgb="FF202124"/>
        <rFont val="Menlo"/>
        <family val="2"/>
      </rPr>
      <t xml:space="preserve"> </t>
    </r>
  </si>
  <si>
    <r>
      <t>app_name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</si>
  <si>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is_new</t>
    </r>
    <r>
      <rPr>
        <sz val="12"/>
        <color rgb="FF202124"/>
        <rFont val="Menlo"/>
        <family val="2"/>
      </rPr>
      <t xml:space="preserve"> = </t>
    </r>
    <r>
      <rPr>
        <sz val="12"/>
        <color rgb="FFB06000"/>
        <rFont val="Menlo"/>
        <family val="2"/>
      </rPr>
      <t>1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</si>
  <si>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'2023-01-01'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'2025-03-31'</t>
    </r>
  </si>
  <si>
    <t>active_m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</si>
  <si>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mnu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</si>
  <si>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</si>
  <si>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new_3m_bookings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</si>
  <si>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new_4m_bookings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</si>
  <si>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new_5m_bookings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</si>
  <si>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new_6m_bookings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</si>
  <si>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new_7m_bookings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</si>
  <si>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8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new_8m_bookings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</si>
  <si>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9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new_9m_bookings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</si>
  <si>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new_10m_bookings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</si>
  <si>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new_11m_bookings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</si>
  <si>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new_12m_bookings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</si>
  <si>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new_13m_bookings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</si>
  <si>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new_14m_bookings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</si>
  <si>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new_15m_bookings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</si>
  <si>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new_16m_bookings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</si>
  <si>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new_17m_bookings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</si>
  <si>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18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new_18m_bookings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</si>
  <si>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19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new_19m_bookings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</si>
  <si>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new_20m_bookings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</si>
  <si>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new_21m_bookings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</si>
  <si>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new_22m_bookings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</si>
  <si>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new_23m_bookings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</si>
  <si>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new_24m_bookings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</si>
  <si>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</si>
  <si>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</si>
  <si>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t>mnu</t>
  </si>
  <si>
    <t>new_2m_bookings</t>
  </si>
  <si>
    <t>new_3m_bookings</t>
  </si>
  <si>
    <t>new_4m_bookings</t>
  </si>
  <si>
    <t>new_5m_bookings</t>
  </si>
  <si>
    <t>new_6m_bookings</t>
  </si>
  <si>
    <t>new_7m_bookings</t>
  </si>
  <si>
    <t>new_8m_bookings</t>
  </si>
  <si>
    <t>new_9m_bookings</t>
  </si>
  <si>
    <t>new_10m_bookings</t>
  </si>
  <si>
    <t>new_11m_bookings</t>
  </si>
  <si>
    <t>new_12m_bookings</t>
  </si>
  <si>
    <t>new_13m_bookings</t>
  </si>
  <si>
    <t>new_14m_bookings</t>
  </si>
  <si>
    <t>new_15m_bookings</t>
  </si>
  <si>
    <t>new_16m_bookings</t>
  </si>
  <si>
    <t>new_17m_bookings</t>
  </si>
  <si>
    <t>new_18m_bookings</t>
  </si>
  <si>
    <t>new_19m_bookings</t>
  </si>
  <si>
    <t>new_20m_bookings</t>
  </si>
  <si>
    <t>new_21m_bookings</t>
  </si>
  <si>
    <t>new_22m_bookings</t>
  </si>
  <si>
    <t>new_23m_bookings</t>
  </si>
  <si>
    <t>new_24m_bookings</t>
  </si>
  <si>
    <r>
      <t>with</t>
    </r>
    <r>
      <rPr>
        <sz val="12"/>
        <color rgb="FFD4D4D4"/>
        <rFont val="Menlo"/>
        <family val="2"/>
      </rPr>
      <t xml:space="preserve"> p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(</t>
    </r>
  </si>
  <si>
    <r>
      <t>select</t>
    </r>
    <r>
      <rPr>
        <sz val="12"/>
        <color rgb="FFD4D4D4"/>
        <rFont val="Menlo"/>
        <family val="2"/>
      </rPr>
      <t xml:space="preserve"> </t>
    </r>
  </si>
  <si>
    <r>
      <t>date_trunc(standard_order_date,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 paid_m,standard_order_date,platform, uuid,sum(payment_price_usd) bookings</t>
    </r>
  </si>
  <si>
    <r>
      <t>from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`dataintegration-265403.subscription.dwd_trial_subscription_retention_daily_temp`</t>
    </r>
    <r>
      <rPr>
        <sz val="12"/>
        <color rgb="FFD4D4D4"/>
        <rFont val="Menlo"/>
        <family val="2"/>
      </rPr>
      <t xml:space="preserve"> </t>
    </r>
  </si>
  <si>
    <r>
      <t>where</t>
    </r>
    <r>
      <rPr>
        <sz val="12"/>
        <color rgb="FFD4D4D4"/>
        <rFont val="Menlo"/>
        <family val="2"/>
      </rPr>
      <t xml:space="preserve"> </t>
    </r>
  </si>
  <si>
    <r>
      <t xml:space="preserve">standard_order_date </t>
    </r>
    <r>
      <rPr>
        <sz val="12"/>
        <color rgb="FF569CD6"/>
        <rFont val="Menlo"/>
        <family val="2"/>
      </rPr>
      <t>between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'2023-01-01'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and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'2025-03-31'</t>
    </r>
  </si>
  <si>
    <r>
      <t>and</t>
    </r>
    <r>
      <rPr>
        <sz val="12"/>
        <color rgb="FFD4D4D4"/>
        <rFont val="Menlo"/>
        <family val="2"/>
      </rPr>
      <t xml:space="preserve"> order_status </t>
    </r>
    <r>
      <rPr>
        <sz val="12"/>
        <color rgb="FF569CD6"/>
        <rFont val="Menlo"/>
        <family val="2"/>
      </rPr>
      <t>in</t>
    </r>
    <r>
      <rPr>
        <sz val="12"/>
        <color rgb="FFD4D4D4"/>
        <rFont val="Menlo"/>
        <family val="2"/>
      </rPr>
      <t xml:space="preserve"> (</t>
    </r>
    <r>
      <rPr>
        <sz val="12"/>
        <color rgb="FFB5CEA8"/>
        <rFont val="Menlo"/>
        <family val="2"/>
      </rPr>
      <t>1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2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3</t>
    </r>
    <r>
      <rPr>
        <sz val="12"/>
        <color rgb="FFD4D4D4"/>
        <rFont val="Menlo"/>
        <family val="2"/>
      </rPr>
      <t>)</t>
    </r>
  </si>
  <si>
    <r>
      <t>and</t>
    </r>
    <r>
      <rPr>
        <sz val="12"/>
        <color rgb="FFD4D4D4"/>
        <rFont val="Menlo"/>
        <family val="2"/>
      </rPr>
      <t xml:space="preserve"> app_id =</t>
    </r>
    <r>
      <rPr>
        <sz val="12"/>
        <color rgb="FFCE9178"/>
        <rFont val="Menlo"/>
        <family val="2"/>
      </rPr>
      <t>'AirBrush'</t>
    </r>
  </si>
  <si>
    <r>
      <t>group by</t>
    </r>
    <r>
      <rPr>
        <sz val="12"/>
        <color rgb="FFD4D4D4"/>
        <rFont val="Menlo"/>
        <family val="2"/>
      </rPr>
      <t xml:space="preserve"> </t>
    </r>
    <r>
      <rPr>
        <sz val="12"/>
        <color rgb="FFB5CEA8"/>
        <rFont val="Menlo"/>
        <family val="2"/>
      </rPr>
      <t>1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2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3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4</t>
    </r>
  </si>
  <si>
    <r>
      <t xml:space="preserve">,a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>(</t>
    </r>
  </si>
  <si>
    <r>
      <t>date_trunc(event_date_hk,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 active_m, event_date_hk,uuid,user_pseudo_id,platform</t>
    </r>
  </si>
  <si>
    <r>
      <t>from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`dataintegration-265403.stat.stat_active_advice_detail_d`</t>
    </r>
    <r>
      <rPr>
        <sz val="12"/>
        <color rgb="FFD4D4D4"/>
        <rFont val="Menlo"/>
        <family val="2"/>
      </rPr>
      <t xml:space="preserve"> </t>
    </r>
  </si>
  <si>
    <r>
      <t>app_name =</t>
    </r>
    <r>
      <rPr>
        <sz val="12"/>
        <color rgb="FFCE9178"/>
        <rFont val="Menlo"/>
        <family val="2"/>
      </rPr>
      <t>'AirBrush'</t>
    </r>
  </si>
  <si>
    <r>
      <t>and</t>
    </r>
    <r>
      <rPr>
        <sz val="12"/>
        <color rgb="FFD4D4D4"/>
        <rFont val="Menlo"/>
        <family val="2"/>
      </rPr>
      <t xml:space="preserve"> is_new = </t>
    </r>
    <r>
      <rPr>
        <sz val="12"/>
        <color rgb="FFB5CEA8"/>
        <rFont val="Menlo"/>
        <family val="2"/>
      </rPr>
      <t>1</t>
    </r>
  </si>
  <si>
    <r>
      <t>and</t>
    </r>
    <r>
      <rPr>
        <sz val="12"/>
        <color rgb="FFD4D4D4"/>
        <rFont val="Menlo"/>
        <family val="2"/>
      </rPr>
      <t xml:space="preserve"> event_date_hk </t>
    </r>
    <r>
      <rPr>
        <sz val="12"/>
        <color rgb="FF569CD6"/>
        <rFont val="Menlo"/>
        <family val="2"/>
      </rPr>
      <t>between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'2023-01-01'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and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'2025-03-31'</t>
    </r>
  </si>
  <si>
    <r>
      <t>,count(</t>
    </r>
    <r>
      <rPr>
        <sz val="12"/>
        <color rgb="FF569CD6"/>
        <rFont val="Menlo"/>
        <family val="2"/>
      </rPr>
      <t>distinct</t>
    </r>
    <r>
      <rPr>
        <sz val="12"/>
        <color rgb="FFD4D4D4"/>
        <rFont val="Menlo"/>
        <family val="2"/>
      </rPr>
      <t xml:space="preserve"> a.user_pseudo_id) mnu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</si>
  <si>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active_m = paid_m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new_0m_bookings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</si>
  <si>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</si>
  <si>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2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new_2m_bookings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</si>
  <si>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3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new_3m_bookings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</si>
  <si>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4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new_4m_bookings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</si>
  <si>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5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new_5m_bookings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</si>
  <si>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6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new_6m_bookings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</si>
  <si>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7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new_7m_bookings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</si>
  <si>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8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new_8m_bookings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</si>
  <si>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9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new_9m_bookings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</si>
  <si>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10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new_10m_bookings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</si>
  <si>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11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new_11m_bookings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</si>
  <si>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12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new_12m_bookings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</si>
  <si>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13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new_13m_bookings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</si>
  <si>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14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new_14m_bookings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</si>
  <si>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15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new_15m_bookings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</si>
  <si>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16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new_16m_bookings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</si>
  <si>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17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new_17m_bookings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</si>
  <si>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18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new_18m_bookings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</si>
  <si>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19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new_19m_bookings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</si>
  <si>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20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new_20m_bookings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</si>
  <si>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21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new_21m_bookings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</si>
  <si>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22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new_22m_bookings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</si>
  <si>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23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new_23m_bookings</t>
    </r>
  </si>
  <si>
    <r>
      <t>,sum(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 paid_m,active_m ,</t>
    </r>
    <r>
      <rPr>
        <sz val="12"/>
        <color rgb="FF569CD6"/>
        <rFont val="Menlo"/>
        <family val="2"/>
      </rPr>
      <t>month</t>
    </r>
    <r>
      <rPr>
        <sz val="12"/>
        <color rgb="FFD4D4D4"/>
        <rFont val="Menlo"/>
        <family val="2"/>
      </rPr>
      <t>)=</t>
    </r>
    <r>
      <rPr>
        <sz val="12"/>
        <color rgb="FFB5CEA8"/>
        <rFont val="Menlo"/>
        <family val="2"/>
      </rPr>
      <t>24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bookings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>) new_24m_bookings</t>
    </r>
  </si>
  <si>
    <r>
      <t>from</t>
    </r>
    <r>
      <rPr>
        <sz val="12"/>
        <color rgb="FFD4D4D4"/>
        <rFont val="Menlo"/>
        <family val="2"/>
      </rPr>
      <t xml:space="preserve"> a </t>
    </r>
  </si>
  <si>
    <r>
      <t>left join</t>
    </r>
    <r>
      <rPr>
        <sz val="12"/>
        <color rgb="FFD4D4D4"/>
        <rFont val="Menlo"/>
        <family val="2"/>
      </rPr>
      <t xml:space="preserve"> p </t>
    </r>
    <r>
      <rPr>
        <sz val="12"/>
        <color rgb="FF569CD6"/>
        <rFont val="Menlo"/>
        <family val="2"/>
      </rPr>
      <t>on</t>
    </r>
    <r>
      <rPr>
        <sz val="12"/>
        <color rgb="FFD4D4D4"/>
        <rFont val="Menlo"/>
        <family val="2"/>
      </rPr>
      <t xml:space="preserve"> a.uuid = p.uuid </t>
    </r>
    <r>
      <rPr>
        <sz val="12"/>
        <color rgb="FF569CD6"/>
        <rFont val="Menlo"/>
        <family val="2"/>
      </rPr>
      <t>and</t>
    </r>
    <r>
      <rPr>
        <sz val="12"/>
        <color rgb="FFD4D4D4"/>
        <rFont val="Menlo"/>
        <family val="2"/>
      </rPr>
      <t xml:space="preserve"> a.platform= p.platform</t>
    </r>
  </si>
  <si>
    <r>
      <t>group by</t>
    </r>
    <r>
      <rPr>
        <sz val="12"/>
        <color rgb="FFD4D4D4"/>
        <rFont val="Menlo"/>
        <family val="2"/>
      </rPr>
      <t xml:space="preserve"> </t>
    </r>
    <r>
      <rPr>
        <sz val="12"/>
        <color rgb="FFB5CEA8"/>
        <rFont val="Menlo"/>
        <family val="2"/>
      </rPr>
      <t>1</t>
    </r>
  </si>
  <si>
    <r>
      <t>order by</t>
    </r>
    <r>
      <rPr>
        <sz val="12"/>
        <color rgb="FFD4D4D4"/>
        <rFont val="Menlo"/>
        <family val="2"/>
      </rPr>
      <t xml:space="preserve"> </t>
    </r>
    <r>
      <rPr>
        <sz val="12"/>
        <color rgb="FFB5CEA8"/>
        <rFont val="Menlo"/>
        <family val="2"/>
      </rPr>
      <t>1</t>
    </r>
  </si>
  <si>
    <t>new_0m_bookings</t>
  </si>
  <si>
    <t>new_0m_bookings</t>
    <phoneticPr fontId="11" type="noConversion"/>
  </si>
  <si>
    <t>new_1m_bookings</t>
    <phoneticPr fontId="11" type="noConversion"/>
  </si>
  <si>
    <t>新增当月收入</t>
    <phoneticPr fontId="11" type="noConversion"/>
  </si>
  <si>
    <t>扣退款</t>
    <phoneticPr fontId="11" type="noConversion"/>
  </si>
  <si>
    <t>new_m_bookings</t>
  </si>
  <si>
    <r>
      <t>date_trunc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</si>
  <si>
    <r>
      <t>,</t>
    </r>
    <r>
      <rPr>
        <sz val="12"/>
        <color rgb="FF000000"/>
        <rFont val="Menlo"/>
        <family val="2"/>
      </rPr>
      <t>user_pseudo_id</t>
    </r>
  </si>
  <si>
    <r>
      <t>,</t>
    </r>
    <r>
      <rPr>
        <sz val="12"/>
        <color rgb="FF000000"/>
        <rFont val="Menlo"/>
        <family val="2"/>
      </rPr>
      <t>platform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</si>
  <si>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max_impression_pv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max_impression_pv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</si>
  <si>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max_revenue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</si>
  <si>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`dataintegration-265403.advertisement.dws_dzp_ad_placement_user_info`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</si>
  <si>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</si>
  <si>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'2023-01-01'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'2025-03-31'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</si>
  <si>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new_0m_bookings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</si>
  <si>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new_m_bookings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</si>
  <si>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p.user_pseudo_id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p.platform</t>
    </r>
  </si>
  <si>
    <t>月均</t>
    <phoneticPr fontId="11" type="noConversion"/>
  </si>
  <si>
    <t>新增第n月的活跃累计活跃天数</t>
    <phoneticPr fontId="11" type="noConversion"/>
  </si>
  <si>
    <r>
      <t>date_trunc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uuid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</si>
  <si>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event_date_hk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活跃天数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</si>
  <si>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'2023-01-01'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'2024-03-31'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'2024-09-01'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'2024-11-30'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</si>
  <si>
    <r>
      <t>or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'2025-01-01'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'2025-03-31'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</si>
  <si>
    <t>a.active_m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</si>
  <si>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new_0m_uv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</si>
  <si>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</si>
  <si>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</si>
  <si>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new_3m_uv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</si>
  <si>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new_4m_uv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</si>
  <si>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new_5m_uv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</si>
  <si>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new_6m_uv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</si>
  <si>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new_7m_uv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</si>
  <si>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8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new_8m_uv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</si>
  <si>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9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new_9m_uv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</si>
  <si>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new_10m_uv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</si>
  <si>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new_11m_uv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</si>
  <si>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new_12m_uv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</si>
  <si>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new_13m_uv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</si>
  <si>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new_14m_uv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</si>
  <si>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new_15m_uv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</si>
  <si>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new_16m_uv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</si>
  <si>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new_17m_uv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</si>
  <si>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18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new_18m_uv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</si>
  <si>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19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new_19m_uv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</si>
  <si>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new_20m_uv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</si>
  <si>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new_21m_uv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</si>
  <si>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new_22m_uv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</si>
  <si>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new_23m_uv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</si>
  <si>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new_24m_uv</t>
    </r>
  </si>
  <si>
    <t>new_0m_uv</t>
  </si>
  <si>
    <t>new_1m_uv</t>
  </si>
  <si>
    <t>new_2m_uv</t>
  </si>
  <si>
    <t>new_3m_uv</t>
  </si>
  <si>
    <t>new_4m_uv</t>
  </si>
  <si>
    <t>new_5m_uv</t>
  </si>
  <si>
    <t>new_6m_uv</t>
  </si>
  <si>
    <t>new_7m_uv</t>
  </si>
  <si>
    <t>new_8m_uv</t>
  </si>
  <si>
    <t>new_9m_uv</t>
  </si>
  <si>
    <t>new_10m_uv</t>
  </si>
  <si>
    <t>new_11m_uv</t>
  </si>
  <si>
    <t>new_12m_uv</t>
  </si>
  <si>
    <t>new_13m_uv</t>
  </si>
  <si>
    <t>new_14m_uv</t>
  </si>
  <si>
    <t>new_15m_uv</t>
  </si>
  <si>
    <t>new_16m_uv</t>
  </si>
  <si>
    <t>new_17m_uv</t>
  </si>
  <si>
    <t>new_18m_uv</t>
  </si>
  <si>
    <t>new_19m_uv</t>
  </si>
  <si>
    <t>new_20m_uv</t>
  </si>
  <si>
    <t>new_21m_uv</t>
  </si>
  <si>
    <t>new_22m_uv</t>
  </si>
  <si>
    <t>new_23m_uv</t>
  </si>
  <si>
    <t>new_24m_uv</t>
  </si>
  <si>
    <t>活跃比例</t>
    <phoneticPr fontId="11" type="noConversion"/>
  </si>
  <si>
    <t>new_0m_das</t>
  </si>
  <si>
    <t>new_m_das</t>
  </si>
  <si>
    <t>new_2m_das</t>
  </si>
  <si>
    <t>new_3m_das</t>
  </si>
  <si>
    <t>new_4m_das</t>
  </si>
  <si>
    <t>new_5m_das</t>
  </si>
  <si>
    <t>new_6m_das</t>
  </si>
  <si>
    <t>new_7m_das</t>
  </si>
  <si>
    <t>new_8m_das</t>
  </si>
  <si>
    <t>new_9m_das</t>
  </si>
  <si>
    <t>new_10m_das</t>
  </si>
  <si>
    <t>new_11m_das</t>
  </si>
  <si>
    <t>new_12m_das</t>
  </si>
  <si>
    <t>new_13m_das</t>
  </si>
  <si>
    <t>new_14m_das</t>
  </si>
  <si>
    <t>new_15m_das</t>
  </si>
  <si>
    <t>new_16m_das</t>
  </si>
  <si>
    <t>new_17m_das</t>
  </si>
  <si>
    <t>new_18m_das</t>
  </si>
  <si>
    <t>new_19m_das</t>
  </si>
  <si>
    <t>new_20m_das</t>
  </si>
  <si>
    <t>new_21m_das</t>
  </si>
  <si>
    <t>new_22m_das</t>
  </si>
  <si>
    <t>new_23m_das</t>
  </si>
  <si>
    <t>new_24m_das</t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</si>
  <si>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new_0m_das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</si>
  <si>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</si>
  <si>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</si>
  <si>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new_3m_das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</si>
  <si>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new_4m_das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</si>
  <si>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new_5m_das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</si>
  <si>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new_6m_das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</si>
  <si>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new_7m_das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</si>
  <si>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8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new_8m_das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</si>
  <si>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9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new_9m_das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</si>
  <si>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new_10m_das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</si>
  <si>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new_11m_das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</si>
  <si>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new_12m_das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</si>
  <si>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new_13m_das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</si>
  <si>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new_14m_das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</si>
  <si>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15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new_15m_das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</si>
  <si>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16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new_16m_das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</si>
  <si>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17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new_17m_das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</si>
  <si>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18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new_18m_das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</si>
  <si>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19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new_19m_das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</si>
  <si>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new_20m_das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</si>
  <si>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new_21m_das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</si>
  <si>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22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new_22m_das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</si>
  <si>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23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new_23m_das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</si>
  <si>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paid_m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active_m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month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=</t>
    </r>
    <r>
      <rPr>
        <sz val="12"/>
        <color rgb="FFB06000"/>
        <rFont val="Menlo"/>
        <family val="2"/>
      </rPr>
      <t>24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new_24m_das</t>
    </r>
  </si>
  <si>
    <t>新增第N个月的活跃天数</t>
    <phoneticPr fontId="11" type="noConversion"/>
  </si>
  <si>
    <t>新增第N个月的活跃人数</t>
    <phoneticPr fontId="11" type="noConversion"/>
  </si>
  <si>
    <t>单用户活跃天数</t>
    <phoneticPr fontId="11" type="noConversion"/>
  </si>
  <si>
    <t xml:space="preserve">全量后上涨人数每天 </t>
    <phoneticPr fontId="11" type="noConversion"/>
  </si>
  <si>
    <t>实验组A 影响人数</t>
    <phoneticPr fontId="11" type="noConversion"/>
  </si>
  <si>
    <t>实验组B 影响人数</t>
    <phoneticPr fontId="11" type="noConversion"/>
  </si>
  <si>
    <t>Tier 1</t>
  </si>
  <si>
    <t>33% 流量</t>
    <phoneticPr fontId="11" type="noConversion"/>
  </si>
  <si>
    <t>Tier 2</t>
  </si>
  <si>
    <t>100%流量</t>
    <phoneticPr fontId="11" type="noConversion"/>
  </si>
  <si>
    <t>Tier 3</t>
  </si>
  <si>
    <t>others</t>
  </si>
  <si>
    <t>from t1 t2 t3 excel</t>
    <phoneticPr fontId="11" type="noConversion"/>
  </si>
  <si>
    <t>活跃价值 =新增第N个月的影响人数 * 单用户活跃价值* 人均活跃天数</t>
    <phoneticPr fontId="11" type="noConversion"/>
  </si>
  <si>
    <t>1年的活跃价值系数</t>
    <phoneticPr fontId="11" type="noConversion"/>
  </si>
  <si>
    <t>2年的活跃价值系数</t>
    <phoneticPr fontId="11" type="noConversion"/>
  </si>
  <si>
    <t>1年活跃价值</t>
    <phoneticPr fontId="11" type="noConversion"/>
  </si>
  <si>
    <t>2年活跃价值</t>
    <phoneticPr fontId="11" type="noConversion"/>
  </si>
  <si>
    <t>单用户单天活跃价值 =（ IAP 收入 + IAA 收入 ） * 新增第 N 月 活跃用户的活跃天数</t>
    <phoneticPr fontId="11" type="noConversion"/>
  </si>
  <si>
    <t>合计</t>
    <phoneticPr fontId="11" type="noConversion"/>
  </si>
  <si>
    <t>新增活跃比例</t>
    <phoneticPr fontId="11" type="noConversion"/>
  </si>
  <si>
    <t>6月</t>
    <phoneticPr fontId="11" type="noConversion"/>
  </si>
  <si>
    <t>7月</t>
    <phoneticPr fontId="11" type="noConversion"/>
  </si>
  <si>
    <t>5月</t>
    <phoneticPr fontId="11" type="noConversion"/>
  </si>
  <si>
    <t>6 月</t>
    <phoneticPr fontId="11" type="noConversion"/>
  </si>
  <si>
    <t xml:space="preserve">新增nyue </t>
    <phoneticPr fontId="11" type="noConversion"/>
  </si>
  <si>
    <t>合计 （加上成本）</t>
    <phoneticPr fontId="11" type="noConversion"/>
  </si>
  <si>
    <t>cost 全量后</t>
    <phoneticPr fontId="11" type="noConversion"/>
  </si>
  <si>
    <t>全量后上涨人数每月</t>
    <phoneticPr fontId="11" type="noConversion"/>
  </si>
  <si>
    <t>cost</t>
  </si>
  <si>
    <t>tier</t>
  </si>
  <si>
    <t>dnu</t>
  </si>
  <si>
    <t>other</t>
    <phoneticPr fontId="11" type="noConversion"/>
  </si>
  <si>
    <t>new cpi</t>
    <phoneticPr fontId="11" type="noConversion"/>
  </si>
  <si>
    <t>cost 一天</t>
    <phoneticPr fontId="11" type="noConversion"/>
  </si>
  <si>
    <t>因为续费所以arpu 上涨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</si>
</sst>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24" formatCode="\$#,##0_);[Red]\(\$#,##0\)"/>
    <numFmt numFmtId="26" formatCode="\$#,##0.00_);[Red]\(\$#,##0.00\)"/>
    <numFmt numFmtId="176" formatCode="0.0%"/>
    <numFmt numFmtId="177" formatCode="_(* #,##0.0_);_(* \(#,##0.0\);_(* &quot;-&quot;??_);_(@_)"/>
    <numFmt numFmtId="178" formatCode="_(* #,##0_);_(* \(#,##0\);_(* &quot;-&quot;??_);_(@_)"/>
    <numFmt numFmtId="179" formatCode="\$#,##0.00000_);[Red]\(\$#,##0.00000\)"/>
  </numFmts>
  <fonts count="3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rgb="FF202124"/>
      <name val="Menlo"/>
      <family val="2"/>
    </font>
    <font>
      <sz val="12"/>
      <color rgb="FFB80672"/>
      <name val="Menlo"/>
      <family val="2"/>
    </font>
    <font>
      <sz val="12"/>
      <color rgb="FF1967D2"/>
      <name val="Menlo"/>
      <family val="2"/>
    </font>
    <font>
      <sz val="12"/>
      <color rgb="FF000000"/>
      <name val="Menlo"/>
      <family val="2"/>
    </font>
    <font>
      <sz val="12"/>
      <color rgb="FF3C4043"/>
      <name val="Menlo"/>
      <family val="2"/>
    </font>
    <font>
      <sz val="12"/>
      <color rgb="FF188038"/>
      <name val="Menlo"/>
      <family val="2"/>
    </font>
    <font>
      <sz val="12"/>
      <color rgb="FFB06000"/>
      <name val="Menlo"/>
      <family val="2"/>
    </font>
    <font>
      <sz val="9"/>
      <name val="等线"/>
      <family val="2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b/>
      <sz val="9"/>
      <color rgb="FF00000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10"/>
      <color rgb="FF1F2329"/>
      <name val="等线"/>
      <family val="4"/>
      <charset val="134"/>
      <scheme val="minor"/>
    </font>
    <font>
      <sz val="9"/>
      <color rgb="FF000000"/>
      <name val="等线"/>
      <family val="4"/>
      <charset val="134"/>
      <scheme val="minor"/>
    </font>
    <font>
      <sz val="9"/>
      <color theme="1"/>
      <name val="等线"/>
      <family val="4"/>
      <charset val="134"/>
      <scheme val="minor"/>
    </font>
    <font>
      <sz val="10"/>
      <color theme="1"/>
      <name val="Arial"/>
      <family val="2"/>
    </font>
    <font>
      <b/>
      <sz val="10"/>
      <color theme="1"/>
      <name val="等线"/>
      <family val="4"/>
      <charset val="134"/>
      <scheme val="minor"/>
    </font>
    <font>
      <sz val="12"/>
      <color rgb="FF202124"/>
      <name val="Inherit"/>
    </font>
    <font>
      <b/>
      <sz val="12"/>
      <color rgb="FF000000"/>
      <name val="Roboto"/>
    </font>
    <font>
      <sz val="10"/>
      <color rgb="FF8F959E"/>
      <name val="等线"/>
      <family val="4"/>
      <charset val="134"/>
      <scheme val="minor"/>
    </font>
    <font>
      <sz val="10"/>
      <color rgb="FFFF0000"/>
      <name val="等线"/>
      <family val="4"/>
      <charset val="134"/>
      <scheme val="minor"/>
    </font>
    <font>
      <b/>
      <sz val="10"/>
      <color rgb="FF1F2329"/>
      <name val="等线"/>
      <family val="4"/>
      <charset val="134"/>
      <scheme val="minor"/>
    </font>
    <font>
      <sz val="12"/>
      <color rgb="FFD4D4D4"/>
      <name val="Menlo"/>
      <family val="2"/>
    </font>
    <font>
      <sz val="12"/>
      <color rgb="FF569CD6"/>
      <name val="Menlo"/>
      <family val="2"/>
    </font>
    <font>
      <sz val="12"/>
      <color rgb="FFCE9178"/>
      <name val="Menlo"/>
      <family val="2"/>
    </font>
    <font>
      <sz val="12"/>
      <color rgb="FFB5CEA8"/>
      <name val="Menlo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/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/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/>
      <right/>
      <top style="thin">
        <color rgb="FFDEE0E3"/>
      </top>
      <bottom/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medium">
        <color indexed="64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EE0E3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1F232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Border="1">
      <alignment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left" vertical="center"/>
    </xf>
    <xf numFmtId="24" fontId="0" fillId="0" borderId="0" xfId="0" applyNumberFormat="1">
      <alignment vertical="center"/>
    </xf>
    <xf numFmtId="24" fontId="14" fillId="0" borderId="10" xfId="0" applyNumberFormat="1" applyFont="1" applyBorder="1">
      <alignment vertical="center"/>
    </xf>
    <xf numFmtId="0" fontId="14" fillId="0" borderId="10" xfId="0" applyFont="1" applyBorder="1">
      <alignment vertical="center"/>
    </xf>
    <xf numFmtId="0" fontId="16" fillId="4" borderId="10" xfId="0" applyFont="1" applyFill="1" applyBorder="1" applyAlignment="1">
      <alignment horizontal="left" vertical="center"/>
    </xf>
    <xf numFmtId="0" fontId="17" fillId="4" borderId="11" xfId="0" applyFont="1" applyFill="1" applyBorder="1">
      <alignment vertical="center"/>
    </xf>
    <xf numFmtId="24" fontId="18" fillId="0" borderId="10" xfId="0" applyNumberFormat="1" applyFont="1" applyBorder="1">
      <alignment vertical="center"/>
    </xf>
    <xf numFmtId="0" fontId="18" fillId="0" borderId="10" xfId="0" applyFont="1" applyBorder="1">
      <alignment vertical="center"/>
    </xf>
    <xf numFmtId="0" fontId="16" fillId="0" borderId="10" xfId="0" applyFont="1" applyBorder="1" applyAlignment="1">
      <alignment horizontal="right" vertical="center"/>
    </xf>
    <xf numFmtId="0" fontId="19" fillId="0" borderId="0" xfId="0" applyFont="1">
      <alignment vertical="center"/>
    </xf>
    <xf numFmtId="17" fontId="19" fillId="0" borderId="0" xfId="0" applyNumberFormat="1" applyFont="1">
      <alignment vertical="center"/>
    </xf>
    <xf numFmtId="17" fontId="19" fillId="0" borderId="12" xfId="0" applyNumberFormat="1" applyFont="1" applyBorder="1">
      <alignment vertical="center"/>
    </xf>
    <xf numFmtId="0" fontId="19" fillId="0" borderId="12" xfId="0" applyFont="1" applyBorder="1">
      <alignment vertical="center"/>
    </xf>
    <xf numFmtId="17" fontId="19" fillId="0" borderId="0" xfId="0" applyNumberFormat="1" applyFont="1" applyBorder="1">
      <alignment vertical="center"/>
    </xf>
    <xf numFmtId="0" fontId="19" fillId="0" borderId="0" xfId="0" applyFont="1" applyBorder="1">
      <alignment vertical="center"/>
    </xf>
    <xf numFmtId="17" fontId="19" fillId="0" borderId="13" xfId="0" applyNumberFormat="1" applyFont="1" applyBorder="1">
      <alignment vertical="center"/>
    </xf>
    <xf numFmtId="0" fontId="19" fillId="0" borderId="13" xfId="0" applyFont="1" applyBorder="1">
      <alignment vertical="center"/>
    </xf>
    <xf numFmtId="9" fontId="0" fillId="0" borderId="0" xfId="2" applyFont="1">
      <alignment vertical="center"/>
    </xf>
    <xf numFmtId="0" fontId="19" fillId="5" borderId="12" xfId="0" applyFont="1" applyFill="1" applyBorder="1">
      <alignment vertical="center"/>
    </xf>
    <xf numFmtId="0" fontId="19" fillId="5" borderId="0" xfId="0" applyFont="1" applyFill="1" applyBorder="1">
      <alignment vertical="center"/>
    </xf>
    <xf numFmtId="0" fontId="19" fillId="5" borderId="13" xfId="0" applyFont="1" applyFill="1" applyBorder="1">
      <alignment vertical="center"/>
    </xf>
    <xf numFmtId="0" fontId="19" fillId="5" borderId="0" xfId="0" applyFont="1" applyFill="1">
      <alignment vertical="center"/>
    </xf>
    <xf numFmtId="176" fontId="0" fillId="0" borderId="0" xfId="2" applyNumberFormat="1" applyFont="1">
      <alignment vertical="center"/>
    </xf>
    <xf numFmtId="176" fontId="19" fillId="0" borderId="0" xfId="2" applyNumberFormat="1" applyFont="1">
      <alignment vertical="center"/>
    </xf>
    <xf numFmtId="176" fontId="0" fillId="0" borderId="0" xfId="0" applyNumberFormat="1">
      <alignment vertical="center"/>
    </xf>
    <xf numFmtId="43" fontId="0" fillId="0" borderId="0" xfId="1" applyFont="1">
      <alignment vertical="center"/>
    </xf>
    <xf numFmtId="177" fontId="3" fillId="0" borderId="1" xfId="1" applyNumberFormat="1" applyFont="1" applyBorder="1">
      <alignment vertical="center"/>
    </xf>
    <xf numFmtId="177" fontId="0" fillId="0" borderId="0" xfId="1" applyNumberFormat="1" applyFont="1">
      <alignment vertical="center"/>
    </xf>
    <xf numFmtId="178" fontId="0" fillId="0" borderId="0" xfId="1" applyNumberFormat="1" applyFont="1">
      <alignment vertical="center"/>
    </xf>
    <xf numFmtId="0" fontId="0" fillId="5" borderId="0" xfId="0" applyFill="1">
      <alignment vertical="center"/>
    </xf>
    <xf numFmtId="0" fontId="15" fillId="0" borderId="10" xfId="0" applyFont="1" applyBorder="1">
      <alignment vertical="center"/>
    </xf>
    <xf numFmtId="24" fontId="15" fillId="0" borderId="10" xfId="0" applyNumberFormat="1" applyFont="1" applyBorder="1">
      <alignment vertic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2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6" fillId="4" borderId="10" xfId="0" applyFont="1" applyFill="1" applyBorder="1" applyAlignment="1">
      <alignment horizontal="left" vertical="center" wrapText="1"/>
    </xf>
    <xf numFmtId="0" fontId="15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26" fontId="0" fillId="0" borderId="0" xfId="0" applyNumberFormat="1">
      <alignment vertical="center"/>
    </xf>
    <xf numFmtId="26" fontId="15" fillId="0" borderId="10" xfId="0" applyNumberFormat="1" applyFont="1" applyBorder="1">
      <alignment vertical="center"/>
    </xf>
    <xf numFmtId="43" fontId="0" fillId="0" borderId="0" xfId="0" applyNumberFormat="1">
      <alignment vertical="center"/>
    </xf>
    <xf numFmtId="43" fontId="2" fillId="0" borderId="0" xfId="0" applyNumberFormat="1" applyFont="1">
      <alignment vertical="center"/>
    </xf>
    <xf numFmtId="0" fontId="9" fillId="0" borderId="0" xfId="0" applyFont="1">
      <alignment vertical="center"/>
    </xf>
    <xf numFmtId="0" fontId="21" fillId="0" borderId="0" xfId="0" applyFont="1">
      <alignment vertical="center"/>
    </xf>
    <xf numFmtId="26" fontId="22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12" fillId="7" borderId="20" xfId="0" applyFont="1" applyFill="1" applyBorder="1" applyAlignment="1">
      <alignment horizontal="right" vertical="center"/>
    </xf>
    <xf numFmtId="0" fontId="15" fillId="7" borderId="10" xfId="0" applyFont="1" applyFill="1" applyBorder="1" applyAlignment="1">
      <alignment horizontal="right" vertical="center"/>
    </xf>
    <xf numFmtId="0" fontId="15" fillId="7" borderId="21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right" vertical="center"/>
    </xf>
    <xf numFmtId="0" fontId="15" fillId="8" borderId="10" xfId="0" applyFont="1" applyFill="1" applyBorder="1" applyAlignment="1">
      <alignment horizontal="right" vertical="center"/>
    </xf>
    <xf numFmtId="0" fontId="15" fillId="8" borderId="21" xfId="0" applyFont="1" applyFill="1" applyBorder="1" applyAlignment="1">
      <alignment horizontal="right" vertical="center"/>
    </xf>
    <xf numFmtId="0" fontId="15" fillId="0" borderId="21" xfId="0" applyFont="1" applyBorder="1">
      <alignment vertical="center"/>
    </xf>
    <xf numFmtId="24" fontId="15" fillId="7" borderId="11" xfId="0" applyNumberFormat="1" applyFont="1" applyFill="1" applyBorder="1" applyAlignment="1">
      <alignment horizontal="right" vertical="center"/>
    </xf>
    <xf numFmtId="24" fontId="15" fillId="7" borderId="22" xfId="0" applyNumberFormat="1" applyFont="1" applyFill="1" applyBorder="1" applyAlignment="1">
      <alignment horizontal="right" vertical="center"/>
    </xf>
    <xf numFmtId="0" fontId="12" fillId="7" borderId="2" xfId="0" applyFont="1" applyFill="1" applyBorder="1" applyAlignment="1">
      <alignment horizontal="right" vertical="center"/>
    </xf>
    <xf numFmtId="24" fontId="15" fillId="8" borderId="11" xfId="0" applyNumberFormat="1" applyFont="1" applyFill="1" applyBorder="1" applyAlignment="1">
      <alignment horizontal="right" vertical="center"/>
    </xf>
    <xf numFmtId="24" fontId="15" fillId="8" borderId="22" xfId="0" applyNumberFormat="1" applyFont="1" applyFill="1" applyBorder="1" applyAlignment="1">
      <alignment horizontal="right" vertical="center"/>
    </xf>
    <xf numFmtId="31" fontId="19" fillId="0" borderId="0" xfId="0" applyNumberFormat="1" applyFont="1">
      <alignment vertical="center"/>
    </xf>
    <xf numFmtId="24" fontId="23" fillId="0" borderId="21" xfId="0" applyNumberFormat="1" applyFont="1" applyBorder="1">
      <alignment vertical="center"/>
    </xf>
    <xf numFmtId="0" fontId="2" fillId="0" borderId="0" xfId="0" applyFont="1" applyAlignment="1">
      <alignment vertical="center" wrapText="1"/>
    </xf>
    <xf numFmtId="0" fontId="15" fillId="0" borderId="23" xfId="0" applyFont="1" applyBorder="1">
      <alignment vertical="center"/>
    </xf>
    <xf numFmtId="0" fontId="15" fillId="0" borderId="0" xfId="0" applyFont="1" applyBorder="1">
      <alignment vertical="center"/>
    </xf>
    <xf numFmtId="0" fontId="12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6" fillId="4" borderId="24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0" fillId="9" borderId="0" xfId="0" applyFill="1">
      <alignment vertical="center"/>
    </xf>
    <xf numFmtId="0" fontId="0" fillId="9" borderId="0" xfId="0" applyFill="1" applyAlignment="1">
      <alignment vertical="center" wrapText="1"/>
    </xf>
    <xf numFmtId="0" fontId="19" fillId="9" borderId="0" xfId="0" applyFont="1" applyFill="1">
      <alignment vertical="center"/>
    </xf>
    <xf numFmtId="176" fontId="0" fillId="9" borderId="0" xfId="2" applyNumberFormat="1" applyFont="1" applyFill="1">
      <alignment vertical="center"/>
    </xf>
    <xf numFmtId="176" fontId="19" fillId="9" borderId="0" xfId="2" applyNumberFormat="1" applyFont="1" applyFill="1">
      <alignment vertical="center"/>
    </xf>
    <xf numFmtId="9" fontId="0" fillId="9" borderId="0" xfId="2" applyFont="1" applyFill="1">
      <alignment vertical="center"/>
    </xf>
    <xf numFmtId="176" fontId="0" fillId="9" borderId="0" xfId="0" applyNumberFormat="1" applyFill="1">
      <alignment vertical="center"/>
    </xf>
    <xf numFmtId="43" fontId="0" fillId="9" borderId="0" xfId="1" applyFont="1" applyFill="1">
      <alignment vertical="center"/>
    </xf>
    <xf numFmtId="43" fontId="0" fillId="9" borderId="0" xfId="1" applyFont="1" applyFill="1" applyAlignment="1">
      <alignment vertical="center" wrapText="1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26" fontId="15" fillId="0" borderId="29" xfId="0" applyNumberFormat="1" applyFont="1" applyBorder="1">
      <alignment vertical="center"/>
    </xf>
    <xf numFmtId="26" fontId="15" fillId="0" borderId="30" xfId="0" applyNumberFormat="1" applyFont="1" applyBorder="1">
      <alignment vertical="center"/>
    </xf>
    <xf numFmtId="0" fontId="15" fillId="0" borderId="30" xfId="0" applyFont="1" applyBorder="1">
      <alignment vertical="center"/>
    </xf>
    <xf numFmtId="26" fontId="15" fillId="0" borderId="31" xfId="0" applyNumberFormat="1" applyFont="1" applyBorder="1">
      <alignment vertical="center"/>
    </xf>
    <xf numFmtId="0" fontId="24" fillId="0" borderId="0" xfId="0" applyFont="1" applyFill="1" applyBorder="1">
      <alignment vertical="center"/>
    </xf>
    <xf numFmtId="0" fontId="15" fillId="0" borderId="10" xfId="0" applyFont="1" applyBorder="1" applyAlignment="1">
      <alignment horizontal="left" vertical="center"/>
    </xf>
    <xf numFmtId="0" fontId="2" fillId="0" borderId="26" xfId="0" applyFont="1" applyBorder="1">
      <alignment vertical="center"/>
    </xf>
    <xf numFmtId="0" fontId="0" fillId="5" borderId="26" xfId="0" applyFill="1" applyBorder="1">
      <alignment vertical="center"/>
    </xf>
    <xf numFmtId="43" fontId="0" fillId="0" borderId="32" xfId="0" applyNumberFormat="1" applyBorder="1">
      <alignment vertical="center"/>
    </xf>
    <xf numFmtId="43" fontId="2" fillId="0" borderId="0" xfId="0" applyNumberFormat="1" applyFont="1" applyBorder="1">
      <alignment vertical="center"/>
    </xf>
    <xf numFmtId="43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0" fillId="0" borderId="33" xfId="0" applyBorder="1">
      <alignment vertical="center"/>
    </xf>
    <xf numFmtId="0" fontId="2" fillId="0" borderId="34" xfId="0" applyFont="1" applyBorder="1">
      <alignment vertical="center"/>
    </xf>
    <xf numFmtId="0" fontId="0" fillId="0" borderId="34" xfId="0" applyBorder="1" applyAlignment="1">
      <alignment vertical="center" wrapText="1"/>
    </xf>
    <xf numFmtId="0" fontId="0" fillId="0" borderId="34" xfId="0" applyBorder="1">
      <alignment vertical="center"/>
    </xf>
    <xf numFmtId="0" fontId="0" fillId="5" borderId="25" xfId="0" applyFill="1" applyBorder="1">
      <alignment vertical="center"/>
    </xf>
    <xf numFmtId="0" fontId="0" fillId="0" borderId="32" xfId="0" applyBorder="1">
      <alignment vertical="center"/>
    </xf>
    <xf numFmtId="0" fontId="0" fillId="0" borderId="0" xfId="0" applyBorder="1" applyAlignment="1">
      <alignment vertical="center" wrapText="1"/>
    </xf>
    <xf numFmtId="0" fontId="15" fillId="0" borderId="28" xfId="0" applyFont="1" applyBorder="1" applyAlignment="1">
      <alignment horizontal="left" vertical="center"/>
    </xf>
    <xf numFmtId="26" fontId="0" fillId="0" borderId="0" xfId="0" applyNumberFormat="1" applyBorder="1">
      <alignment vertical="center"/>
    </xf>
    <xf numFmtId="0" fontId="15" fillId="0" borderId="18" xfId="0" applyFont="1" applyBorder="1" applyAlignment="1">
      <alignment horizontal="left" vertical="center"/>
    </xf>
    <xf numFmtId="0" fontId="15" fillId="0" borderId="29" xfId="0" applyFont="1" applyBorder="1">
      <alignment vertical="center"/>
    </xf>
    <xf numFmtId="0" fontId="0" fillId="0" borderId="3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2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5" fillId="0" borderId="16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5" fillId="0" borderId="19" xfId="0" applyFont="1" applyBorder="1" applyAlignment="1">
      <alignment vertical="center" wrapText="1"/>
    </xf>
    <xf numFmtId="0" fontId="25" fillId="3" borderId="20" xfId="0" applyFont="1" applyFill="1" applyBorder="1" applyAlignment="1">
      <alignment horizontal="center" vertical="center"/>
    </xf>
    <xf numFmtId="0" fontId="25" fillId="3" borderId="20" xfId="0" applyFont="1" applyFill="1" applyBorder="1">
      <alignment vertical="center"/>
    </xf>
    <xf numFmtId="24" fontId="16" fillId="0" borderId="10" xfId="0" applyNumberFormat="1" applyFont="1" applyBorder="1">
      <alignment vertical="center"/>
    </xf>
    <xf numFmtId="0" fontId="23" fillId="0" borderId="21" xfId="0" applyFont="1" applyBorder="1" applyAlignment="1">
      <alignment horizontal="right" vertical="center"/>
    </xf>
    <xf numFmtId="0" fontId="25" fillId="0" borderId="10" xfId="0" applyFont="1" applyBorder="1" applyAlignment="1">
      <alignment horizontal="center" vertical="center"/>
    </xf>
    <xf numFmtId="0" fontId="16" fillId="0" borderId="10" xfId="0" applyFont="1" applyBorder="1">
      <alignment vertical="center"/>
    </xf>
    <xf numFmtId="0" fontId="16" fillId="0" borderId="37" xfId="0" applyFont="1" applyBorder="1" applyAlignment="1">
      <alignment horizontal="right" vertical="center"/>
    </xf>
    <xf numFmtId="24" fontId="16" fillId="0" borderId="37" xfId="0" applyNumberFormat="1" applyFont="1" applyBorder="1">
      <alignment vertical="center"/>
    </xf>
    <xf numFmtId="0" fontId="23" fillId="0" borderId="10" xfId="0" applyFont="1" applyBorder="1" applyAlignment="1">
      <alignment horizontal="right" vertical="center"/>
    </xf>
    <xf numFmtId="24" fontId="23" fillId="0" borderId="10" xfId="0" applyNumberFormat="1" applyFont="1" applyBorder="1">
      <alignment vertical="center"/>
    </xf>
    <xf numFmtId="0" fontId="25" fillId="0" borderId="20" xfId="0" applyFont="1" applyBorder="1" applyAlignment="1">
      <alignment horizontal="center" vertical="center"/>
    </xf>
    <xf numFmtId="0" fontId="23" fillId="0" borderId="20" xfId="0" applyFont="1" applyBorder="1" applyAlignment="1">
      <alignment horizontal="right" vertical="center"/>
    </xf>
    <xf numFmtId="0" fontId="23" fillId="0" borderId="20" xfId="0" applyFont="1" applyBorder="1">
      <alignment vertical="center"/>
    </xf>
    <xf numFmtId="0" fontId="25" fillId="3" borderId="35" xfId="0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25" fillId="3" borderId="36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3" borderId="0" xfId="0" applyFont="1" applyFill="1" applyBorder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 wrapText="1"/>
    </xf>
    <xf numFmtId="0" fontId="27" fillId="0" borderId="0" xfId="0" applyFont="1">
      <alignment vertical="center"/>
    </xf>
    <xf numFmtId="0" fontId="26" fillId="0" borderId="0" xfId="0" applyFont="1">
      <alignment vertical="center"/>
    </xf>
    <xf numFmtId="43" fontId="0" fillId="5" borderId="0" xfId="1" applyFont="1" applyFill="1">
      <alignment vertical="center"/>
    </xf>
    <xf numFmtId="14" fontId="2" fillId="0" borderId="0" xfId="0" applyNumberFormat="1" applyFont="1">
      <alignment vertical="center"/>
    </xf>
    <xf numFmtId="178" fontId="0" fillId="5" borderId="0" xfId="1" applyNumberFormat="1" applyFont="1" applyFill="1">
      <alignment vertical="center"/>
    </xf>
    <xf numFmtId="14" fontId="0" fillId="5" borderId="0" xfId="0" applyNumberFormat="1" applyFill="1">
      <alignment vertical="center"/>
    </xf>
    <xf numFmtId="178" fontId="0" fillId="0" borderId="0" xfId="1" applyNumberFormat="1" applyFont="1" applyAlignment="1">
      <alignment vertical="center" wrapText="1"/>
    </xf>
    <xf numFmtId="14" fontId="0" fillId="9" borderId="0" xfId="0" applyNumberFormat="1" applyFill="1">
      <alignment vertical="center"/>
    </xf>
    <xf numFmtId="14" fontId="0" fillId="0" borderId="12" xfId="0" applyNumberFormat="1" applyBorder="1">
      <alignment vertical="center"/>
    </xf>
    <xf numFmtId="0" fontId="0" fillId="0" borderId="12" xfId="0" applyBorder="1">
      <alignment vertical="center"/>
    </xf>
    <xf numFmtId="14" fontId="0" fillId="0" borderId="0" xfId="0" applyNumberFormat="1" applyBorder="1">
      <alignment vertical="center"/>
    </xf>
    <xf numFmtId="0" fontId="0" fillId="10" borderId="12" xfId="0" applyFill="1" applyBorder="1">
      <alignment vertical="center"/>
    </xf>
    <xf numFmtId="0" fontId="0" fillId="10" borderId="0" xfId="0" applyFill="1" applyBorder="1">
      <alignment vertical="center"/>
    </xf>
    <xf numFmtId="0" fontId="0" fillId="11" borderId="0" xfId="0" applyFill="1">
      <alignment vertical="center"/>
    </xf>
    <xf numFmtId="0" fontId="0" fillId="10" borderId="0" xfId="0" applyFill="1">
      <alignment vertical="center"/>
    </xf>
    <xf numFmtId="178" fontId="0" fillId="9" borderId="0" xfId="0" applyNumberFormat="1" applyFill="1">
      <alignment vertical="center"/>
    </xf>
    <xf numFmtId="178" fontId="0" fillId="9" borderId="0" xfId="1" applyNumberFormat="1" applyFont="1" applyFill="1">
      <alignment vertical="center"/>
    </xf>
    <xf numFmtId="178" fontId="0" fillId="10" borderId="0" xfId="0" applyNumberFormat="1" applyFill="1">
      <alignment vertical="center"/>
    </xf>
    <xf numFmtId="178" fontId="0" fillId="10" borderId="0" xfId="1" applyNumberFormat="1" applyFont="1" applyFill="1">
      <alignment vertical="center"/>
    </xf>
    <xf numFmtId="178" fontId="0" fillId="11" borderId="0" xfId="0" applyNumberFormat="1" applyFill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0" fontId="0" fillId="12" borderId="0" xfId="0" applyFill="1">
      <alignment vertical="center"/>
    </xf>
    <xf numFmtId="0" fontId="0" fillId="0" borderId="39" xfId="0" applyBorder="1">
      <alignment vertical="center"/>
    </xf>
    <xf numFmtId="0" fontId="0" fillId="12" borderId="40" xfId="0" applyFill="1" applyBorder="1">
      <alignment vertical="center"/>
    </xf>
    <xf numFmtId="0" fontId="0" fillId="0" borderId="41" xfId="0" applyBorder="1">
      <alignment vertical="center"/>
    </xf>
    <xf numFmtId="178" fontId="0" fillId="0" borderId="42" xfId="1" applyNumberFormat="1" applyFont="1" applyBorder="1">
      <alignment vertical="center"/>
    </xf>
    <xf numFmtId="0" fontId="0" fillId="0" borderId="42" xfId="0" applyBorder="1">
      <alignment vertical="center"/>
    </xf>
    <xf numFmtId="0" fontId="0" fillId="0" borderId="41" xfId="0" applyBorder="1" applyAlignment="1">
      <alignment horizontal="left" vertical="center"/>
    </xf>
    <xf numFmtId="10" fontId="0" fillId="0" borderId="42" xfId="2" applyNumberFormat="1" applyFont="1" applyBorder="1">
      <alignment vertical="center"/>
    </xf>
    <xf numFmtId="0" fontId="0" fillId="0" borderId="41" xfId="0" applyBorder="1" applyAlignment="1">
      <alignment horizontal="right" vertical="center"/>
    </xf>
    <xf numFmtId="43" fontId="0" fillId="0" borderId="42" xfId="1" applyFont="1" applyBorder="1">
      <alignment vertical="center"/>
    </xf>
    <xf numFmtId="0" fontId="25" fillId="3" borderId="43" xfId="0" applyFont="1" applyFill="1" applyBorder="1" applyAlignment="1">
      <alignment vertical="center" wrapText="1"/>
    </xf>
    <xf numFmtId="43" fontId="0" fillId="0" borderId="44" xfId="1" applyFont="1" applyBorder="1">
      <alignment vertical="center"/>
    </xf>
    <xf numFmtId="57" fontId="0" fillId="0" borderId="0" xfId="0" applyNumberFormat="1">
      <alignment vertical="center"/>
    </xf>
    <xf numFmtId="0" fontId="25" fillId="3" borderId="0" xfId="0" applyFont="1" applyFill="1" applyBorder="1" applyAlignment="1">
      <alignment horizontal="center" vertical="center"/>
    </xf>
    <xf numFmtId="24" fontId="16" fillId="0" borderId="0" xfId="0" applyNumberFormat="1" applyFont="1" applyBorder="1">
      <alignment vertical="center"/>
    </xf>
    <xf numFmtId="24" fontId="23" fillId="0" borderId="0" xfId="0" applyNumberFormat="1" applyFont="1" applyBorder="1">
      <alignment vertical="center"/>
    </xf>
    <xf numFmtId="0" fontId="16" fillId="0" borderId="0" xfId="0" applyFont="1" applyBorder="1">
      <alignment vertical="center"/>
    </xf>
    <xf numFmtId="0" fontId="23" fillId="0" borderId="0" xfId="0" applyFont="1" applyBorder="1">
      <alignment vertical="center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43" xfId="0" applyBorder="1">
      <alignment vertical="center"/>
    </xf>
    <xf numFmtId="0" fontId="0" fillId="12" borderId="44" xfId="0" applyFill="1" applyBorder="1">
      <alignment vertical="center"/>
    </xf>
    <xf numFmtId="0" fontId="0" fillId="0" borderId="40" xfId="0" applyBorder="1">
      <alignment vertical="center"/>
    </xf>
    <xf numFmtId="0" fontId="0" fillId="0" borderId="44" xfId="0" applyBorder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896325459317587E-2"/>
                  <c:y val="-0.115121026538349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新用户次日留存率!$J$3:$J$12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14</c:v>
                </c:pt>
                <c:pt idx="8">
                  <c:v>30</c:v>
                </c:pt>
                <c:pt idx="9">
                  <c:v>60</c:v>
                </c:pt>
              </c:numCache>
            </c:numRef>
          </c:xVal>
          <c:yVal>
            <c:numRef>
              <c:f>新用户次日留存率!$K$3:$K$12</c:f>
              <c:numCache>
                <c:formatCode>General</c:formatCode>
                <c:ptCount val="10"/>
                <c:pt idx="0">
                  <c:v>0.12756248689107139</c:v>
                </c:pt>
                <c:pt idx="1">
                  <c:v>7.258246139321424E-2</c:v>
                </c:pt>
                <c:pt idx="2">
                  <c:v>5.6052906579196461E-2</c:v>
                </c:pt>
                <c:pt idx="3">
                  <c:v>4.7998222843303566E-2</c:v>
                </c:pt>
                <c:pt idx="4">
                  <c:v>4.3029614422053573E-2</c:v>
                </c:pt>
                <c:pt idx="5">
                  <c:v>3.9660836126250008E-2</c:v>
                </c:pt>
                <c:pt idx="6">
                  <c:v>3.7387852941250001E-2</c:v>
                </c:pt>
                <c:pt idx="7">
                  <c:v>2.6543119252857135E-2</c:v>
                </c:pt>
                <c:pt idx="8">
                  <c:v>1.7748652707142858E-2</c:v>
                </c:pt>
                <c:pt idx="9">
                  <c:v>1.2207736061241073E-2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1-CC46-8C03-DFDF80952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132575"/>
        <c:axId val="543143071"/>
      </c:scatterChart>
      <c:valAx>
        <c:axId val="54213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143071"/>
        <c:crosses val="autoZero"/>
        <c:crossBetween val="midCat"/>
      </c:valAx>
      <c:valAx>
        <c:axId val="54314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213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527050</xdr:colOff>
      <xdr:row>13</xdr:row>
      <xdr:rowOff>0</xdr:rowOff>
    </xdr:from>
    <xdr:to>
      <xdr:col>11</xdr:col>
      <xdr:colOff>730250</xdr:colOff>
      <xdr:row>26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740A4F-766E-CE4B-868B-3484F4FD4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5.722672337964" createdVersion="6" refreshedVersion="6" minRefreshableVersion="3" recordCount="396" xr:uid="{0F36429A-E178-CA4A-B0F4-B4A38470CB5B}">
  <cacheSource type="worksheet">
    <worksheetSource ref="G1:M397" sheet="Sheet1"/>
  </cacheSource>
  <cacheFields count="7">
    <cacheField name="date" numFmtId="14">
      <sharedItems containsSemiMixedTypes="0" containsNonDate="0" containsDate="1" containsString="0" minDate="2025-04-03T00:00:00" maxDate="2025-04-21T00:00:00" count="18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</sharedItems>
    </cacheField>
    <cacheField name="platform" numFmtId="0">
      <sharedItems count="2">
        <s v="ANDROID"/>
        <s v="IOS"/>
      </sharedItems>
    </cacheField>
    <cacheField name="ab_code" numFmtId="0">
      <sharedItems containsSemiMixedTypes="0" containsString="0" containsNumber="1" containsInteger="1" minValue="11072" maxValue="11077" count="6">
        <n v="11075"/>
        <n v="11076"/>
        <n v="11077"/>
        <n v="11072"/>
        <n v="11073"/>
        <n v="11074"/>
      </sharedItems>
    </cacheField>
    <cacheField name="duration" numFmtId="0">
      <sharedItems containsBlank="1" count="5">
        <m/>
        <s v="1month"/>
        <s v="3month"/>
        <s v="annual"/>
        <s v="times_1"/>
      </sharedItems>
    </cacheField>
    <cacheField name="sub_success_uv" numFmtId="0">
      <sharedItems containsSemiMixedTypes="0" containsString="0" containsNumber="1" containsInteger="1" minValue="0" maxValue="1094"/>
    </cacheField>
    <cacheField name="sub_success_to_paid_uv" numFmtId="0">
      <sharedItems containsSemiMixedTypes="0" containsString="0" containsNumber="1" containsInteger="1" minValue="0" maxValue="261"/>
    </cacheField>
    <cacheField name="sub_success_to_paid_gmv" numFmtId="0">
      <sharedItems containsSemiMixedTypes="0" containsString="0" containsNumber="1" minValue="0" maxValue="10537.797572732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5.811674652781" createdVersion="6" refreshedVersion="6" minRefreshableVersion="3" recordCount="1120" xr:uid="{0A6BA8FF-B475-FB43-810A-4594DDC99C6A}">
  <cacheSource type="worksheet">
    <worksheetSource ref="C1:E1121" sheet="新用户次日留存率"/>
  </cacheSource>
  <cacheFields count="3">
    <cacheField name="Date" numFmtId="31">
      <sharedItems containsSemiMixedTypes="0" containsNonDate="0" containsDate="1" containsString="0" minDate="2024-05-01T00:00:00" maxDate="2024-08-21T00:00:00"/>
    </cacheField>
    <cacheField name="retention_T" numFmtId="0">
      <sharedItems containsSemiMixedTypes="0" containsString="0" containsNumber="1" containsInteger="1" minValue="1" maxValue="60" count="10">
        <n v="5"/>
        <n v="14"/>
        <n v="3"/>
        <n v="2"/>
        <n v="4"/>
        <n v="30"/>
        <n v="6"/>
        <n v="7"/>
        <n v="60"/>
        <n v="1"/>
      </sharedItems>
    </cacheField>
    <cacheField name="Retention rate" numFmtId="0">
      <sharedItems containsSemiMixedTypes="0" containsString="0" containsNumber="1" minValue="6.7095594900000001E-3" maxValue="0.1708162801" count="1119">
        <n v="6.3102416790000004E-2"/>
        <n v="3.7557570870000001E-2"/>
        <n v="7.4450405959999993E-2"/>
        <n v="9.3917667730000001E-2"/>
        <n v="7.1554057259999998E-2"/>
        <n v="2.844119463E-2"/>
        <n v="5.49831442E-2"/>
        <n v="4.9855182560000003E-2"/>
        <n v="2.3788044250000001E-2"/>
        <n v="0.14947058539999999"/>
        <n v="2.8547862350000001E-2"/>
        <n v="2.6256701649999999E-2"/>
        <n v="3.771250516E-2"/>
        <n v="5.127617651E-2"/>
        <n v="7.7395408509999999E-2"/>
        <n v="0.14159373140000001"/>
        <n v="9.2150483429999999E-2"/>
        <n v="4.8664253310000002E-2"/>
        <n v="5.7416487189999997E-2"/>
        <n v="6.6993538929999999E-2"/>
        <n v="1.9876196919999999E-2"/>
        <n v="3.9849114999999997E-2"/>
        <n v="5.5324499470000003E-2"/>
        <n v="3.0515523749999999E-2"/>
        <n v="7.6312989649999996E-2"/>
        <n v="0.15069155619999999"/>
        <n v="5.5663023499999999E-2"/>
        <n v="6.697939839E-2"/>
        <n v="5.7017119640000002E-2"/>
        <n v="9.6866234649999994E-2"/>
        <n v="7.528279182E-2"/>
        <n v="4.2599277980000003E-2"/>
        <n v="2.9939831529999999E-2"/>
        <n v="9.6750902530000002E-2"/>
        <n v="5.7858002409999998E-2"/>
        <n v="5.7328519860000003E-2"/>
        <n v="0.1579783394"/>
        <n v="6.0216606499999999E-2"/>
        <n v="1.9350180509999999E-2"/>
        <n v="6.4645006020000007E-2"/>
        <n v="0.1552755773"/>
        <n v="8.3515927860000005E-2"/>
        <n v="6.4301365250000006E-2"/>
        <n v="2.0984324959999998E-2"/>
        <n v="5.7348727459999999E-2"/>
        <n v="4.529748862E-2"/>
        <n v="2.7136355979999999E-2"/>
        <n v="5.8907803809999999E-2"/>
        <n v="6.034046857E-2"/>
        <n v="6.0972526550000003E-2"/>
        <n v="6.1393055270000003E-2"/>
        <n v="6.8091226630000001E-2"/>
        <n v="5.8680912270000003E-2"/>
        <n v="2.5354427780000001E-2"/>
        <n v="4.0476679680000002E-2"/>
        <n v="1.9190466409999999E-2"/>
        <n v="8.0460242449999997E-2"/>
        <n v="0.1389356893"/>
        <n v="5.8311074579999997E-2"/>
        <n v="5.8722005340000001E-2"/>
        <n v="2.0135844690000002E-2"/>
        <n v="8.8010019750000001E-2"/>
        <n v="6.9512018879999998E-2"/>
        <n v="2.4374969890000001E-2"/>
        <n v="3.747772051E-2"/>
        <n v="6.4261284259999996E-2"/>
        <n v="0.1428296161"/>
        <n v="5.0869502380000001E-2"/>
        <n v="6.243075293E-2"/>
        <n v="5.9058721520000003E-2"/>
        <n v="0.14131457720000001"/>
        <n v="2.8629451680000001E-2"/>
        <n v="5.0968349099999997E-2"/>
        <n v="5.5822477590000003E-2"/>
        <n v="3.8040517109999998E-2"/>
        <n v="2.2190301650000001E-2"/>
        <n v="6.5084947249999997E-2"/>
        <n v="9.0544355839999993E-2"/>
        <n v="7.2762395359999996E-2"/>
        <n v="7.7963247309999997E-2"/>
        <n v="7.2568940489999997E-2"/>
        <n v="2.4238026119999999E-2"/>
        <n v="4.6117561680000002E-2"/>
        <n v="4.3976777940000003E-2"/>
        <n v="5.9869375910000001E-2"/>
        <n v="5.1560232220000002E-2"/>
        <n v="0.15863570390000001"/>
        <n v="8.5595065309999996E-2"/>
        <n v="1.8069666179999999E-2"/>
        <n v="3.301886792E-2"/>
        <n v="3.9590955999999997E-2"/>
        <n v="0.12156393660000001"/>
        <n v="5.98320668E-2"/>
        <n v="1.2032085559999999E-2"/>
        <n v="4.0224223660000002E-2"/>
        <n v="2.7723050940000001E-2"/>
        <n v="4.195984614E-2"/>
        <n v="2.0030021580000001E-2"/>
        <n v="7.6695750069999999E-2"/>
        <n v="4.8011070459999999E-2"/>
        <n v="2.9949826320000001E-2"/>
        <n v="1.968351988E-2"/>
        <n v="4.0036022130000001E-2"/>
        <n v="4.8629872640000002E-2"/>
        <n v="4.4513058020000003E-2"/>
        <n v="4.3149363179999997E-2"/>
        <n v="0.1291393284"/>
        <n v="5.784124534E-2"/>
        <n v="7.9608902610000004E-2"/>
        <n v="1.361121832E-2"/>
        <n v="4.6424711819999999E-2"/>
        <n v="4.6357168589999997E-2"/>
        <n v="3.2263148409999998E-2"/>
        <n v="5.4439841500000002E-2"/>
        <n v="1.380133285E-2"/>
        <n v="0.1295028818"/>
        <n v="4.4240814119999999E-2"/>
        <n v="4.3115093659999999E-2"/>
        <n v="1.9069704610000002E-2"/>
        <n v="6.95920389E-2"/>
        <n v="4.4195321760000003E-2"/>
        <n v="4.5876899860000001E-2"/>
        <n v="3.0354640509999999E-2"/>
        <n v="4.033631562E-2"/>
        <n v="1.409938558E-2"/>
        <n v="0.1217203837"/>
        <n v="4.8420825700000003E-2"/>
        <n v="2.0114261080000001E-2"/>
        <n v="5.6203514070000002E-2"/>
        <n v="7.0346017029999999E-2"/>
        <n v="0.1239803535"/>
        <n v="2.284873531E-2"/>
        <n v="3.896834498E-2"/>
        <n v="1.1402730599999999E-2"/>
        <n v="4.4637254690000003E-2"/>
        <n v="3.4922214770000001E-2"/>
        <n v="7.1553757280000005E-2"/>
        <n v="5.591016293E-2"/>
        <n v="4.8077547220000003E-2"/>
        <n v="1.709327737E-2"/>
        <n v="3.631628445E-2"/>
        <n v="5.1001953269999997E-2"/>
        <n v="1.360052087E-2"/>
        <n v="1.668716391E-2"/>
        <n v="2.601943621E-2"/>
        <n v="4.3767633649999999E-2"/>
        <n v="3.976464347E-2"/>
        <n v="5.9490221609999998E-2"/>
        <n v="7.8902312569999994E-2"/>
        <n v="0.1283368299"/>
        <n v="3.76794108E-2"/>
        <n v="1.8626046300000001E-2"/>
        <n v="0.13116155139999999"/>
        <n v="2.7650001260000001E-2"/>
        <n v="1.302063696E-2"/>
        <n v="5.939722997E-2"/>
        <n v="7.7696503530000002E-2"/>
        <n v="4.7055274869999997E-2"/>
        <n v="4.0167910920000001E-2"/>
        <n v="5.0951411410000001E-2"/>
        <n v="4.1048824589999998E-2"/>
        <n v="3.707052441E-2"/>
        <n v="1.151295961E-2"/>
        <n v="2.529636327E-2"/>
        <n v="7.5045207959999999E-2"/>
        <n v="5.4812135820000003E-2"/>
        <n v="3.7653204740000001E-2"/>
        <n v="1.9429375129999999E-2"/>
        <n v="4.687562789E-2"/>
        <n v="0.13331324089999999"/>
        <n v="2.430033379E-2"/>
        <n v="2.0228881630000001E-2"/>
        <n v="4.1062979130000003E-2"/>
        <n v="3.6881487730000002E-2"/>
        <n v="0.1298646517"/>
        <n v="7.3011040599999993E-2"/>
        <n v="3.9155632179999997E-2"/>
        <n v="4.5024392029999999E-2"/>
        <n v="5.4341048310000001E-2"/>
        <n v="1.056376774E-2"/>
        <n v="4.2187934390000001E-2"/>
        <n v="4.5767306090000001E-2"/>
        <n v="1.8713511259999999E-2"/>
        <n v="7.0371142619999993E-2"/>
        <n v="1.124200723E-2"/>
        <n v="3.9147206009999998E-2"/>
        <n v="2.8704475949999999E-2"/>
        <n v="3.8486933559999999E-2"/>
        <n v="0.12710244649999999"/>
        <n v="5.3325688070000002E-2"/>
        <n v="1.043159594E-2"/>
        <n v="7.1769380090000001E-2"/>
        <n v="2.5815932220000001E-2"/>
        <n v="5.3573048380000002E-2"/>
        <n v="3.7444893960000003E-2"/>
        <n v="4.8094192780000003E-2"/>
        <n v="4.2506485730000002E-2"/>
        <n v="4.1073275159999999E-2"/>
        <n v="0.1229476969"/>
        <n v="1.7470655469999999E-2"/>
        <n v="4.0136870460000001E-2"/>
        <n v="4.9890857599999998E-2"/>
        <n v="0.1248746337"/>
        <n v="3.3784979649999998E-2"/>
        <n v="5.6911368509999997E-2"/>
        <n v="2.3657351869999999E-2"/>
        <n v="1.850504415E-2"/>
        <n v="1.1248549680000001E-2"/>
        <n v="7.1739002179999997E-2"/>
        <n v="4.3892942130000001E-2"/>
        <n v="3.6161397820000003E-2"/>
        <n v="5.009907232E-2"/>
        <n v="0.1223768351"/>
        <n v="3.7197153920000003E-2"/>
        <n v="7.4867153019999994E-2"/>
        <n v="2.3146897230000001E-2"/>
        <n v="1.875619202E-2"/>
        <n v="4.5303071239999999E-2"/>
        <n v="5.6336125369999997E-2"/>
        <n v="1.1213185630000001E-2"/>
        <n v="7.7977416379999998E-2"/>
        <n v="3.9651539899999998E-2"/>
        <n v="3.4727647180000001E-2"/>
        <n v="4.4457069809999999E-2"/>
        <n v="1.266482021E-2"/>
        <n v="5.0943351560000003E-2"/>
        <n v="6.0767464430000001E-2"/>
        <n v="0.1538006297"/>
        <n v="1.8630305610000002E-2"/>
        <n v="2.4832516629999999E-2"/>
        <n v="4.787689975E-2"/>
        <n v="1.1884745990000001E-2"/>
        <n v="1.7060627040000002E-2"/>
        <n v="2.8434378400000002E-2"/>
        <n v="3.7780634950000003E-2"/>
        <n v="0.12357828110000001"/>
        <n v="7.8462400689999993E-3"/>
        <n v="6.5324893679999996E-2"/>
        <n v="3.1854745660000003E-2"/>
        <n v="1.6480128819999999E-2"/>
        <n v="6.7095594900000001E-3"/>
        <n v="4.3992949519999998E-2"/>
        <n v="6.2395276469999997E-2"/>
        <n v="1.0633745090000001E-2"/>
        <n v="3.5738377949999997E-2"/>
        <n v="2.9413258090000002E-2"/>
        <n v="3.1009045209999999E-2"/>
        <n v="0.1194446661"/>
        <n v="2.7048591720000001E-2"/>
        <n v="4.5660505679999998E-2"/>
        <n v="1.9668575319999999E-2"/>
        <n v="1.170923596E-2"/>
        <n v="3.7508156940000002E-2"/>
        <n v="3.4484343260000001E-2"/>
        <n v="3.1699493580000002E-2"/>
        <n v="0.1138295819"/>
        <n v="7.72956628E-3"/>
        <n v="3.028409143E-2"/>
        <n v="5.9630708710000001E-2"/>
        <n v="1.282022243E-2"/>
        <n v="2.9728872680000001E-2"/>
        <n v="2.054406668E-2"/>
        <n v="4.625246325E-2"/>
        <n v="8.1089039389999999E-3"/>
        <n v="4.0533194410000001E-2"/>
        <n v="6.01032866E-2"/>
        <n v="3.5131033550000003E-2"/>
        <n v="3.3318987969999998E-2"/>
        <n v="0.1111123695"/>
        <n v="0.1135507186"/>
        <n v="4.8370799210000003E-2"/>
        <n v="2.7115702379999999E-2"/>
        <n v="1.8188086209999999E-2"/>
        <n v="3.8420846160000001E-2"/>
        <n v="3.115749932E-2"/>
        <n v="6.1245111210000001E-2"/>
        <n v="3.4402824499999998E-2"/>
        <n v="1.160233473E-2"/>
        <n v="8.2975713560000004E-3"/>
        <n v="6.167344592E-2"/>
        <n v="3.4531592729999998E-2"/>
        <n v="3.8492663500000003E-2"/>
        <n v="0.11532891789999999"/>
        <n v="7.9540856529999992E-3"/>
        <n v="1.783546649E-2"/>
        <n v="2.6662691400000001E-2"/>
        <n v="2.9558958199999999E-2"/>
        <n v="4.6446749150000001E-2"/>
        <n v="1.1553123070000001E-2"/>
        <n v="3.9295610809999999E-2"/>
        <n v="3.3611696949999999E-2"/>
        <n v="6.083017298E-2"/>
        <n v="2.9469343750000002E-2"/>
        <n v="7.3484210819999996E-3"/>
        <n v="4.6199532799999998E-2"/>
        <n v="0.11635472920000001"/>
        <n v="1.7136858429999999E-2"/>
        <n v="2.5705287649999999E-2"/>
        <n v="1.114084947E-2"/>
        <n v="3.7914407820000003E-2"/>
        <n v="2.800544693E-2"/>
        <n v="6.4155597240000001E-2"/>
        <n v="4.7240992439999997E-2"/>
        <n v="3.2604506560000003E-2"/>
        <n v="1.818212961E-2"/>
        <n v="2.8724852910000001E-2"/>
        <n v="7.4595548249999999E-3"/>
        <n v="1.202435703E-2"/>
        <n v="0.11521629279999999"/>
        <n v="4.458228828E-2"/>
        <n v="0.115289444"/>
        <n v="6.0826165270000003E-2"/>
        <n v="1.19346205E-2"/>
        <n v="3.6805426969999999E-2"/>
        <n v="3.2706583400000003E-2"/>
        <n v="6.968875722E-3"/>
        <n v="3.0240544040000001E-2"/>
        <n v="1.8390088709999999E-2"/>
        <n v="2.7126432910000001E-2"/>
        <n v="2.020209525E-2"/>
        <n v="5.7723456419999999E-2"/>
        <n v="3.3204547139999999E-2"/>
        <n v="4.4119176760000003E-2"/>
        <n v="3.6384575379999999E-2"/>
        <n v="7.311092949E-3"/>
        <n v="0.114592466"/>
        <n v="1.089976967E-2"/>
        <n v="2.945241103E-2"/>
        <n v="2.9132922209999999E-2"/>
        <n v="5.2056843679999999E-2"/>
        <n v="1.0088922130000001E-2"/>
        <n v="6.74644727E-2"/>
        <n v="1.527466135E-2"/>
        <n v="0.1209673398"/>
        <n v="4.0122995100000003E-2"/>
        <n v="3.9591124409999998E-2"/>
        <n v="3.6715698499999998E-2"/>
        <n v="2.9319371729999998E-2"/>
        <n v="4.5308734310000001E-2"/>
        <n v="1.1431670729999999E-2"/>
        <n v="2.8516594700000002E-2"/>
        <n v="4.8355132779999997E-2"/>
        <n v="3.9614494020000002E-2"/>
        <n v="3.565095855E-2"/>
        <n v="7.0342324299999995E-2"/>
        <n v="4.4871393699999998E-2"/>
        <n v="1.6792873980000001E-2"/>
        <n v="0.1249765317"/>
        <n v="5.6303064440000002E-2"/>
        <n v="1.683956377E-2"/>
        <n v="2.6190330040000001E-2"/>
        <n v="4.7613201559999999E-2"/>
        <n v="3.3310826020000003E-2"/>
        <n v="5.4099400489999998E-2"/>
        <n v="7.0877580669999996E-2"/>
        <n v="4.3132199779999998E-2"/>
        <n v="0.1244040677"/>
        <n v="1.1683342540000001E-2"/>
        <n v="3.7014302380000003E-2"/>
        <n v="1.127484917E-2"/>
        <n v="1.590347147E-2"/>
        <n v="3.325091485E-2"/>
        <n v="2.3538720209999999E-2"/>
        <n v="6.9983186629999999E-2"/>
        <n v="3.4556423699999998E-2"/>
        <n v="4.5277420630000002E-2"/>
        <n v="3.9303728609999998E-2"/>
        <n v="0.12645633470000001"/>
        <n v="5.4158836910000001E-2"/>
        <n v="3.434147085E-2"/>
        <n v="4.5451946719999997E-2"/>
        <n v="4.038267299E-2"/>
        <n v="2.507956473E-2"/>
        <n v="3.6285327690000001E-2"/>
        <n v="0.1207478132"/>
        <n v="5.3665694739999999E-2"/>
        <n v="1.5798601190000001E-2"/>
        <n v="1.053875326E-2"/>
        <n v="7.0855487580000001E-2"/>
        <n v="3.3919526489999997E-2"/>
        <n v="1.6428584980000001E-2"/>
        <n v="2.621744162E-2"/>
        <n v="3.9819399390000003E-2"/>
        <n v="3.6385711299999998E-2"/>
        <n v="0.12744484280000001"/>
        <n v="1.049077078E-2"/>
        <n v="4.4011913569999998E-2"/>
        <n v="7.0191413879999998E-2"/>
        <n v="5.2055470190000001E-2"/>
        <n v="3.8848920859999997E-2"/>
        <n v="1.070244928E-2"/>
        <n v="0.1241290114"/>
        <n v="3.6925066690000001E-2"/>
        <n v="3.8929755070000002E-2"/>
        <n v="5.0699215909999998E-2"/>
        <n v="1.66680139E-2"/>
        <n v="6.773906717E-2"/>
        <n v="2.7661466329999999E-2"/>
        <n v="4.3537304989999998E-2"/>
        <n v="3.7386267039999997E-2"/>
        <n v="1.0310738910000001E-2"/>
        <n v="4.1526304190000002E-2"/>
        <n v="2.5343953660000001E-2"/>
        <n v="1.45137424E-2"/>
        <n v="6.4178446619999996E-2"/>
        <n v="0.1176840978"/>
        <n v="3.6567704559999997E-2"/>
        <n v="3.7496458140000001E-2"/>
        <n v="5.1144413309999998E-2"/>
        <n v="6.7059237120000004E-2"/>
        <n v="5.0711900159999997E-2"/>
        <n v="0.118843382"/>
        <n v="1.4466514329999999E-2"/>
        <n v="3.4962207770000003E-2"/>
        <n v="3.99191422E-2"/>
        <n v="9.4216909830000008E-3"/>
        <n v="4.3311654069999997E-2"/>
        <n v="2.2411671649999999E-2"/>
        <n v="4.0130075580000001E-2"/>
        <n v="3.9825717480000002E-2"/>
        <n v="6.7354434480000003E-2"/>
        <n v="4.4272802559999998E-2"/>
        <n v="4.6307298980000001E-2"/>
        <n v="1.550178243E-2"/>
        <n v="2.3549746140000001E-2"/>
        <n v="1.17028555E-2"/>
        <n v="3.6404882790000002E-2"/>
        <n v="0.12205178060000001"/>
        <n v="5.1600590539999998E-2"/>
        <n v="3.5007304599999997E-2"/>
        <n v="6.8206720230000004E-2"/>
        <n v="5.0803506210000002E-2"/>
        <n v="1.3020452890000001E-2"/>
        <n v="1.6179693209999998E-2"/>
        <n v="3.8988312640000002E-2"/>
        <n v="4.2129291450000002E-2"/>
        <n v="2.289992695E-2"/>
        <n v="0.1198685172"/>
        <n v="5.2720964209999999E-2"/>
        <n v="3.7769655270000001E-2"/>
        <n v="2.3740414250000001E-2"/>
        <n v="1.0015767219999999E-2"/>
        <n v="0.11993836450000001"/>
        <n v="3.4419121339999997E-2"/>
        <n v="6.7673618579999997E-2"/>
        <n v="5.7299505479999999E-2"/>
        <n v="4.1299362139999997E-2"/>
        <n v="1.6089729810000002E-2"/>
        <n v="4.7803339780000002E-2"/>
        <n v="2.4191054770000001E-2"/>
        <n v="4.739991633E-2"/>
        <n v="3.5486276579999997E-2"/>
        <n v="1.0967824080000001E-2"/>
        <n v="5.5093763070000003E-2"/>
        <n v="4.1670455990000001E-2"/>
        <n v="7.3682678840000002E-2"/>
        <n v="0.1237927209"/>
        <n v="1.7443023700000001E-2"/>
        <n v="3.6868622560000001E-2"/>
        <n v="3.723151115E-2"/>
        <n v="5.1698975219999999E-2"/>
        <n v="7.0798565940000002E-2"/>
        <n v="1.602208192E-2"/>
        <n v="4.1546368860000002E-2"/>
        <n v="3.7057013229999998E-2"/>
        <n v="1.1326501480000001E-2"/>
        <n v="0.130080269"/>
        <n v="4.4957010059999997E-2"/>
        <n v="2.750721787E-2"/>
        <n v="4.5740520319999999E-2"/>
        <n v="3.8173779970000002E-2"/>
        <n v="2.469818058E-2"/>
        <n v="1.1491809780000001E-2"/>
        <n v="7.1501445329999996E-2"/>
        <n v="4.0030040240000002E-2"/>
        <n v="5.364733889E-2"/>
        <n v="3.5297285040000001E-2"/>
        <n v="0.12857790629999999"/>
        <n v="1.5331859660000001E-2"/>
        <n v="5.4786575329999997E-2"/>
        <n v="2.354490305E-2"/>
        <n v="4.2512501369999997E-2"/>
        <n v="3.3514648940000002E-2"/>
        <n v="1.1020017869999999E-2"/>
        <n v="7.2327684860000005E-2"/>
        <n v="3.7496277020000003E-2"/>
        <n v="4.5193046260000001E-2"/>
        <n v="1.376326556E-2"/>
        <n v="0.13037480600000001"/>
        <n v="4.2422352720000001E-2"/>
        <n v="1.3840530760000001E-2"/>
        <n v="0.1245647768"/>
        <n v="1.243742313E-2"/>
        <n v="4.813871711E-2"/>
        <n v="3.4973756690000003E-2"/>
        <n v="7.4849728909999996E-2"/>
        <n v="2.3887474230000001E-2"/>
        <n v="5.5760536300000003E-2"/>
        <n v="3.6965823070000001E-2"/>
        <n v="7.2158253180000007E-2"/>
        <n v="1.393667065E-2"/>
        <n v="5.4904163450000001E-2"/>
        <n v="1.172505792E-2"/>
        <n v="0.12776451589999999"/>
        <n v="4.818156287E-2"/>
        <n v="3.9931896369999997E-2"/>
        <n v="3.6386295020000001E-2"/>
        <n v="2.257249175E-2"/>
        <n v="3.1734887310000001E-2"/>
        <n v="0.12561186290000001"/>
        <n v="4.5961704579999998E-2"/>
        <n v="7.2829686150000003E-2"/>
        <n v="3.5973941840000002E-2"/>
        <n v="2.371868701E-2"/>
        <n v="3.6423841060000003E-2"/>
        <n v="5.5895479409999997E-2"/>
        <n v="1.486467031E-2"/>
        <n v="1.0977541029999999E-2"/>
        <n v="4.0310970340000002E-2"/>
        <n v="4.5082117790000001E-2"/>
        <n v="5.2852996290000002E-2"/>
        <n v="1.1077635299999999E-2"/>
        <n v="3.6833596650000001E-2"/>
        <n v="1.6460300550000001E-2"/>
        <n v="3.8872763349999999E-2"/>
        <n v="3.468420472E-2"/>
        <n v="0.12624462650000001"/>
        <n v="2.4341404269999999E-2"/>
        <n v="7.2546570160000004E-2"/>
        <n v="4.2721979620000003E-2"/>
        <n v="6.9614264920000002E-2"/>
        <n v="4.4868995629999998E-2"/>
        <n v="5.4039301310000003E-2"/>
        <n v="2.7620087339999998E-2"/>
        <n v="3.9046579329999997E-2"/>
        <n v="1.2136098979999999E-2"/>
        <n v="1.8540756910000001E-2"/>
        <n v="3.9010189229999999E-2"/>
        <n v="0.12985807860000001"/>
        <n v="0.12548839349999999"/>
        <n v="4.054623458E-2"/>
        <n v="2.6277484100000002E-2"/>
        <n v="4.0029112079999998E-2"/>
        <n v="7.0405270820000004E-2"/>
        <n v="3.5758063280000002E-2"/>
        <n v="5.1750555429999998E-2"/>
        <n v="1.189381751E-2"/>
        <n v="1.706504252E-2"/>
        <n v="4.6215429400000001E-2"/>
        <n v="2.3595144299999999E-2"/>
        <n v="1.652062063E-2"/>
        <n v="7.0684942520000002E-2"/>
        <n v="1.139561058E-2"/>
        <n v="4.3431947909999997E-2"/>
        <n v="3.398585095E-2"/>
        <n v="3.7965270519999997E-2"/>
        <n v="4.600450197E-2"/>
        <n v="0.12587426639999999"/>
        <n v="5.4968245040000002E-2"/>
        <n v="2.377146179E-2"/>
        <n v="1.6546598289999999E-2"/>
        <n v="5.5535947850000003E-2"/>
        <n v="1.1501650509999999E-2"/>
        <n v="3.3238524300000002E-2"/>
        <n v="7.1708846310000005E-2"/>
        <n v="0.127826105"/>
        <n v="4.7210745950000001E-2"/>
        <n v="3.5709095439999998E-2"/>
        <n v="4.15844873E-2"/>
        <n v="1.2132781840000001E-2"/>
        <n v="4.0767843890000002E-2"/>
        <n v="4.723724679E-2"/>
        <n v="3.563474388E-2"/>
        <n v="1.7647682679999999E-2"/>
        <n v="5.5064163749999999E-2"/>
        <n v="2.3438328559999999E-2"/>
        <n v="3.3704528579999997E-2"/>
        <n v="7.1714922050000005E-2"/>
        <n v="0.1252730936"/>
        <n v="5.8021243200000003E-2"/>
        <n v="4.5340563899999999E-2"/>
        <n v="1.7695867569999999E-2"/>
        <n v="3.6044117350000002E-2"/>
        <n v="3.7145012329999998E-2"/>
        <n v="7.0966952759999993E-2"/>
        <n v="2.47701372E-2"/>
        <n v="1.070314571E-2"/>
        <n v="4.0875823120000002E-2"/>
        <n v="0.12819310510000001"/>
        <n v="2.5144991639999999E-2"/>
        <n v="4.4981814609999997E-2"/>
        <n v="7.4196402240000001E-2"/>
        <n v="1.0734296670000001E-2"/>
        <n v="5.3062026929999999E-2"/>
        <n v="3.8612012190000003E-2"/>
        <n v="3.5210852260000002E-2"/>
        <n v="1.8264032239999999E-2"/>
        <n v="0.12985353390000001"/>
        <n v="4.0990858149999997E-2"/>
        <n v="0.12864252809999999"/>
        <n v="3.69294529E-2"/>
        <n v="5.1601324720000001E-2"/>
        <n v="9.9169272330000002E-3"/>
        <n v="6.6902255359999996E-2"/>
        <n v="2.627245647E-2"/>
        <n v="1.6189013669999999E-2"/>
        <n v="3.9556698549999998E-2"/>
        <n v="4.5699272880000003E-2"/>
        <n v="3.6836944250000003E-2"/>
        <n v="4.3816907279999998E-2"/>
        <n v="5.0700092379999999E-2"/>
        <n v="6.4828735489999997E-2"/>
        <n v="3.9940587239999999E-2"/>
        <n v="3.6535221979999997E-2"/>
        <n v="2.5576466749999999E-2"/>
        <n v="0.12029271649999999"/>
        <n v="3.9433405179999999E-2"/>
        <n v="1.497998442E-2"/>
        <n v="1.0668936909999999E-2"/>
        <n v="3.255915342E-2"/>
        <n v="9.4526574450000001E-3"/>
        <n v="4.1496571679999997E-2"/>
        <n v="6.9081685229999995E-2"/>
        <n v="2.3681185840000001E-2"/>
        <n v="0.117712338"/>
        <n v="4.5539217630000003E-2"/>
        <n v="3.872220681E-2"/>
        <n v="1.6329118940000002E-2"/>
        <n v="5.2494946690000002E-2"/>
        <n v="4.6342883279999997E-2"/>
        <n v="6.9275229739999999E-2"/>
        <n v="3.301592582E-2"/>
        <n v="3.5947440640000002E-2"/>
        <n v="0.1216474697"/>
        <n v="5.2268285579999997E-2"/>
        <n v="1.162210487E-2"/>
        <n v="2.2495737870000001E-2"/>
        <n v="4.047985363E-2"/>
        <n v="1.488627386E-2"/>
        <n v="6.9284064670000006E-2"/>
        <n v="3.3029761650000003E-2"/>
        <n v="5.3727831279999999E-2"/>
        <n v="3.7060438360000003E-2"/>
        <n v="4.128720206E-2"/>
        <n v="4.7888796900000002E-2"/>
        <n v="1.209203015E-2"/>
        <n v="2.379188636E-2"/>
        <n v="0.1240576931"/>
        <n v="1.7538890580000001E-2"/>
        <n v="2.2469089309999999E-2"/>
        <n v="5.495930877E-2"/>
        <n v="4.5126467080000003E-2"/>
        <n v="3.7699533459999997E-2"/>
        <n v="0.12498169419999999"/>
        <n v="3.529362539E-2"/>
        <n v="1.123454466E-2"/>
        <n v="3.9896232140000001E-2"/>
        <n v="7.226092596E-2"/>
        <n v="1.8410427E-2"/>
        <n v="0.12993646710000001"/>
        <n v="3.6916647320000003E-2"/>
        <n v="2.2120438190000001E-2"/>
        <n v="1.7455727460000001E-2"/>
        <n v="3.9132912589999999E-2"/>
        <n v="4.0336028029999998E-2"/>
        <n v="1.0975789939999999E-2"/>
        <n v="4.761804251E-2"/>
        <n v="5.4414589360000001E-2"/>
        <n v="7.3748865479999995E-2"/>
        <n v="0.12964683099999999"/>
        <n v="5.2273760349999997E-2"/>
        <n v="1.640348623E-2"/>
        <n v="2.72337398E-2"/>
        <n v="4.1977114170000003E-2"/>
        <n v="4.5178758469999997E-2"/>
        <n v="3.867665369E-2"/>
        <n v="3.8933575759999998E-2"/>
        <n v="7.0258305500000007E-2"/>
        <n v="1.2193916880000001E-2"/>
        <n v="4.654603391E-2"/>
        <n v="2.7332043550000001E-2"/>
        <n v="5.4512347789999999E-2"/>
        <n v="0.12755585899999999"/>
        <n v="1.111490459E-2"/>
        <n v="4.0343689539999998E-2"/>
        <n v="3.727096848E-2"/>
        <n v="6.9894920530000001E-2"/>
        <n v="4.21835287E-2"/>
        <n v="1.523083343E-2"/>
        <n v="1.6012184879999999E-2"/>
        <n v="5.4168049830000002E-2"/>
        <n v="3.872214954E-2"/>
        <n v="4.6493917320000001E-2"/>
        <n v="2.505321122E-2"/>
        <n v="6.7407392940000005E-2"/>
        <n v="0.1228447013"/>
        <n v="1.023217668E-2"/>
        <n v="4.0284313920000002E-2"/>
        <n v="3.3645115310000001E-2"/>
        <n v="0.1242283631"/>
        <n v="4.5490326060000003E-2"/>
        <n v="1.5722749309999999E-2"/>
        <n v="4.153374487E-2"/>
        <n v="1.1206860839999999E-2"/>
        <n v="3.6251398269999999E-2"/>
        <n v="2.5458839130000001E-2"/>
        <n v="5.3237767739999997E-2"/>
        <n v="7.0576293659999997E-2"/>
        <n v="3.3869163520000002E-2"/>
        <n v="4.6297749460000003E-2"/>
        <n v="7.6650240120000004E-2"/>
        <n v="3.8827332940000001E-2"/>
        <n v="0.12712263409999999"/>
        <n v="1.6510248280000001E-2"/>
        <n v="5.3517059540000002E-2"/>
        <n v="2.900279356E-2"/>
        <n v="2.0779057720000001E-2"/>
        <n v="4.3692520169999999E-2"/>
        <n v="6.3121880790000001E-2"/>
        <n v="7.4714245890000003E-2"/>
        <n v="2.3027599669999999E-2"/>
        <n v="4.3992194030000001E-2"/>
        <n v="6.72985782E-2"/>
        <n v="3.6632283250000001E-2"/>
        <n v="0.1571787009"/>
        <n v="5.8712015610000001E-2"/>
        <n v="5.4753275720000001E-2"/>
        <n v="0.10359632000000001"/>
        <n v="8.720379147E-2"/>
        <n v="8.1931193989999998E-2"/>
        <n v="0.1111882047"/>
        <n v="7.0367158139999997E-2"/>
        <n v="0.16970222609999999"/>
        <n v="5.7704538880000003E-2"/>
        <n v="6.5625903439999994E-2"/>
        <n v="2.5267418329999999E-2"/>
        <n v="5.0072275219999997E-2"/>
        <n v="3.7814397219999997E-2"/>
        <n v="5.6895056370000002E-2"/>
        <n v="0.1019781719"/>
        <n v="7.2874033650000003E-2"/>
        <n v="8.4697589810000001E-2"/>
        <n v="3.6095952709999997E-2"/>
        <n v="6.7473851749999994E-2"/>
        <n v="5.4456571170000002E-2"/>
        <n v="5.9060936789999997E-2"/>
        <n v="2.4215552519999999E-2"/>
        <n v="6.4120054570000001E-2"/>
        <n v="0.1708162801"/>
        <n v="4.0933711630000001E-2"/>
        <n v="2.9172040239999999E-2"/>
        <n v="1.7977817900000002E-2"/>
        <n v="5.4810420429999999E-2"/>
        <n v="1.32834666E-2"/>
        <n v="3.9953572350000001E-2"/>
        <n v="0.1453701315"/>
        <n v="4.5370131549999998E-2"/>
        <n v="7.5857621870000003E-2"/>
        <n v="4.088212535E-2"/>
        <n v="6.5929589760000004E-2"/>
        <n v="3.5263311030000001E-2"/>
        <n v="1.028028319E-2"/>
        <n v="3.2392590440000001E-2"/>
        <n v="2.3198525849999999E-2"/>
        <n v="3.8677140919999999E-2"/>
        <n v="4.3080205609999998E-2"/>
        <n v="0.1208806129"/>
        <n v="1.5362234509999999E-2"/>
        <n v="3.6136165259999999E-2"/>
        <n v="3.5666716000000001E-2"/>
        <n v="1.2050994739999999E-2"/>
        <n v="4.2728176069999999E-2"/>
        <n v="4.6364616589999998E-2"/>
        <n v="1.6998245209999999E-2"/>
        <n v="3.7210089010000003E-2"/>
        <n v="0.1205945157"/>
        <n v="4.04659718E-2"/>
        <n v="2.3277447730000001E-2"/>
        <n v="6.0783526079999997E-2"/>
        <n v="1.7671449969999999E-2"/>
        <n v="1.1375724550000001E-2"/>
        <n v="4.2507001279999998E-2"/>
        <n v="4.88461455E-2"/>
        <n v="0.114603912"/>
        <n v="2.3381021639999999E-2"/>
        <n v="6.2718450819999993E-2"/>
        <n v="3.6037600679999997E-2"/>
        <n v="5.2970931120000002E-2"/>
        <n v="3.8447343859999997E-2"/>
        <n v="1.875057166E-2"/>
        <n v="0.12894448"/>
        <n v="3.5900484769999998E-2"/>
        <n v="3.8347205709999999E-2"/>
        <n v="1.141040885E-2"/>
        <n v="5.4879721940000001E-2"/>
        <n v="7.0474709590000004E-2"/>
        <n v="2.405561145E-2"/>
        <n v="4.854568737E-2"/>
        <n v="4.0976859050000002E-2"/>
        <n v="7.3295953519999998E-2"/>
        <n v="1.092120966E-2"/>
        <n v="1.7766668919999999E-2"/>
        <n v="4.008196537E-2"/>
        <n v="5.5619356440000003E-2"/>
        <n v="3.8258010760000002E-2"/>
        <n v="4.6612173210000003E-2"/>
        <n v="3.548830192E-2"/>
        <n v="2.645860073E-2"/>
        <n v="0.12925307929999999"/>
        <n v="3.997648442E-2"/>
        <n v="7.1890484589999998E-2"/>
        <n v="5.2658100280000002E-2"/>
        <n v="3.9115646259999998E-2"/>
        <n v="4.0018476529999999E-2"/>
        <n v="0.13214915599999999"/>
        <n v="2.9268497519999999E-2"/>
        <n v="1.1967750060000001E-2"/>
        <n v="4.5015537080000001E-2"/>
        <n v="1.6712857979999999E-2"/>
        <n v="1.579673035E-2"/>
        <n v="2.617687611E-2"/>
        <n v="4.4278116999999999E-2"/>
        <n v="0.12657080949999999"/>
        <n v="3.5257041560000001E-2"/>
        <n v="1.1483159349999999E-2"/>
        <n v="4.049635612E-2"/>
        <n v="3.9728185940000001E-2"/>
        <n v="6.9785306280000001E-2"/>
        <n v="5.1408311999999998E-2"/>
        <n v="4.5503621840000001E-2"/>
        <n v="2.2889224789999999E-2"/>
        <n v="5.3826976310000003E-2"/>
        <n v="1.6175575670000001E-2"/>
        <n v="7.0159596399999996E-2"/>
        <n v="3.41179011E-2"/>
        <n v="1.087532636E-2"/>
        <n v="4.2401994460000002E-2"/>
        <n v="0.1233780256"/>
        <n v="3.6807286860000003E-2"/>
        <n v="1.6021255920000001E-2"/>
        <n v="2.2346479490000001E-2"/>
        <n v="0.1233914302"/>
        <n v="1.179783079E-2"/>
        <n v="6.8903297439999997E-2"/>
        <n v="5.3179465830000001E-2"/>
        <n v="3.5413320640000003E-2"/>
        <n v="4.023159439E-2"/>
        <n v="3.1804572400000002E-2"/>
        <n v="4.4871413559999997E-2"/>
        <n v="9.1241456049999999E-3"/>
        <n v="4.0947385150000001E-2"/>
        <n v="2.0521379749999999E-2"/>
        <n v="0.12942298520000001"/>
        <n v="2.956604673E-2"/>
        <n v="6.6491813699999999E-2"/>
        <n v="3.4604991260000002E-2"/>
        <n v="1.2716579239999999E-2"/>
        <n v="3.2220632649999997E-2"/>
        <n v="5.1963121920000001E-2"/>
        <n v="0.1226258813"/>
        <n v="3.9257233119999999E-2"/>
        <n v="4.7989623869999998E-2"/>
        <n v="6.6533112460000002E-2"/>
        <n v="3.4659886219999998E-2"/>
        <n v="1.9121367390000001E-2"/>
        <n v="7.8206264209999994E-3"/>
        <n v="2.926635076E-2"/>
        <n v="3.1295347430000002E-2"/>
        <n v="1.263628308E-2"/>
        <n v="8.1838253760000007E-3"/>
        <n v="1.478112564E-2"/>
        <n v="0.12380184299999999"/>
        <n v="6.3884077900000003E-2"/>
        <n v="4.0945568969999999E-2"/>
        <n v="3.1320649950000001E-2"/>
        <n v="3.5273741689999999E-2"/>
        <n v="2.029430041E-2"/>
        <n v="4.8428679090000003E-2"/>
        <n v="3.0408398010000001E-2"/>
        <n v="3.2806619609999997E-2"/>
        <n v="6.4814932140000003E-2"/>
        <n v="2.2821445320000001E-2"/>
        <n v="4.7378891749999999E-2"/>
        <n v="1.2494139410000001E-2"/>
        <n v="3.3161422760000003E-2"/>
        <n v="4.0206799549999998E-2"/>
        <n v="0.12148206340000001"/>
        <n v="8.718020198E-3"/>
        <n v="3.6418008789999998E-2"/>
        <n v="3.5751344210000001E-2"/>
        <n v="6.4451466839999999E-2"/>
        <n v="4.0585793789999998E-2"/>
        <n v="1.1649844350000001E-2"/>
        <n v="4.8261956420000002E-2"/>
        <n v="0.12292472409999999"/>
        <n v="8.2303556270000005E-3"/>
        <n v="3.3581737569999999E-2"/>
        <n v="2.2721913029999999E-2"/>
        <n v="3.2202150739999998E-2"/>
        <n v="3.9461840349999999E-2"/>
        <n v="3.3941023270000002E-2"/>
        <n v="4.8943243599999998E-2"/>
        <n v="1.959890064E-2"/>
        <n v="1.1677728300000001E-2"/>
        <n v="3.7097490429999998E-2"/>
        <n v="6.5325668200000006E-2"/>
        <n v="7.8491616759999994E-3"/>
        <n v="0.1184455299"/>
        <n v="2.8900277240000001E-2"/>
        <n v="2.1232744689999999E-2"/>
        <n v="2.9699153360000001E-2"/>
        <n v="4.9790193199999999E-2"/>
        <n v="0.1092922913"/>
        <n v="3.871417345E-2"/>
        <n v="6.5892679740000001E-2"/>
        <n v="1.3833904189999999E-2"/>
        <n v="3.113740492E-2"/>
        <n v="4.293996412E-2"/>
        <n v="8.9853654200000004E-3"/>
        <n v="1.1759100850000001E-2"/>
        <n v="3.3609805749999999E-2"/>
        <n v="6.8194122620000006E-2"/>
        <n v="5.7366221279999997E-2"/>
        <n v="4.1297615699999998E-2"/>
        <n v="4.7296273040000003E-2"/>
        <n v="1.6718279660000002E-2"/>
        <n v="2.529397752E-2"/>
        <n v="0.11544708400000001"/>
        <n v="3.7659440850000003E-2"/>
        <n v="1.1922221699999999E-2"/>
        <n v="7.3378435919999999E-2"/>
        <n v="4.347826087E-2"/>
        <n v="2.6966930029999999E-2"/>
        <n v="0.1217060132"/>
        <n v="3.8841841320000001E-2"/>
        <n v="1.9302644649999999E-2"/>
        <n v="5.9421866869999999E-2"/>
        <n v="4.6340540280000002E-2"/>
        <n v="3.6499976339999997E-2"/>
        <n v="3.8167414599999998E-2"/>
        <n v="2.7887169149999998E-2"/>
        <n v="5.5659858960000003E-2"/>
        <n v="4.6135177210000003E-2"/>
        <n v="3.8030039379999998E-2"/>
        <n v="4.283817199E-2"/>
        <n v="1.2203498490000001E-2"/>
        <n v="0.12917849619999999"/>
        <n v="7.4548951370000005E-2"/>
        <n v="1.9782031320000001E-2"/>
        <n v="4.0522415950000001E-2"/>
        <n v="4.7096589780000003E-2"/>
        <n v="0.1316153998"/>
        <n v="1.7501813939999999E-2"/>
        <n v="1.180712825E-2"/>
        <n v="3.2167278639999998E-2"/>
        <n v="4.0786262400000002E-2"/>
        <n v="5.3890635649999998E-2"/>
        <n v="4.2809085109999999E-2"/>
        <n v="6.9677447729999994E-2"/>
        <n v="0.12308089279999999"/>
        <n v="1.156839978E-2"/>
        <n v="1.595493055E-2"/>
        <n v="4.4639401369999998E-2"/>
        <n v="2.662022105E-2"/>
        <n v="4.225261257E-2"/>
        <n v="3.9693802950000003E-2"/>
        <n v="4.1435513700000003E-2"/>
        <n v="5.3670494130000003E-2"/>
        <n v="6.8722315399999997E-2"/>
        <n v="4.04841217E-2"/>
        <n v="4.8389962250000002E-2"/>
        <n v="4.5858316679999997E-2"/>
        <n v="1.1792138569999999E-2"/>
        <n v="1.6855429710000001E-2"/>
        <n v="2.5471907620000001E-2"/>
        <n v="5.5407506109999997E-2"/>
        <n v="7.1530091049999994E-2"/>
        <n v="3.3755274260000002E-2"/>
        <n v="0.12647124139999999"/>
        <n v="2.4126924519999999E-2"/>
        <n v="5.0788584300000002E-2"/>
        <n v="5.77356365E-2"/>
        <n v="3.860777319E-2"/>
        <n v="3.5110777320000001E-2"/>
        <n v="1.279102516E-2"/>
        <n v="4.4850732259999998E-2"/>
        <n v="0.1251877582"/>
        <n v="1.586556515E-2"/>
        <n v="7.3178745779999999E-2"/>
        <n v="1.7355332599999999E-2"/>
        <n v="3.9370453139999997E-2"/>
        <n v="2.61994199E-2"/>
        <n v="5.9721363700000002E-2"/>
        <n v="4.2865294089999999E-2"/>
        <n v="7.2321810659999999E-2"/>
        <n v="5.1352764969999999E-2"/>
        <n v="1.176834197E-2"/>
        <n v="0.12785887500000001"/>
        <n v="3.6921687029999997E-2"/>
        <n v="4.2537906969999997E-2"/>
        <n v="4.025450907E-2"/>
        <n v="7.6301408520000003E-2"/>
        <n v="4.5616645710000001E-2"/>
        <n v="0.12548425990000001"/>
        <n v="2.79395541E-2"/>
        <n v="4.9926879950000003E-2"/>
        <n v="6.1318213310000001E-2"/>
        <n v="2.0191394929999999E-2"/>
        <n v="1.157092644E-2"/>
        <n v="4.421674976E-2"/>
        <n v="7.7435679029999996E-2"/>
        <n v="4.0208432500000002E-2"/>
        <n v="1.9264974819999999E-2"/>
        <n v="4.113535586E-2"/>
        <n v="1.237567954E-2"/>
        <n v="5.6016233679999999E-2"/>
        <n v="0.13006989499999999"/>
        <n v="4.7999599169999997E-2"/>
        <n v="2.718140141E-2"/>
        <n v="3.1300953040000003E-2"/>
        <n v="0.1290159605"/>
        <n v="5.607991733E-2"/>
        <n v="1.7338385580000001E-2"/>
        <n v="1.244689402E-2"/>
        <n v="4.4253071540000001E-2"/>
        <n v="4.533241474E-2"/>
        <n v="4.429900103E-2"/>
        <n v="4.8960845099999997E-2"/>
        <n v="7.2476748189999995E-2"/>
        <n v="1.2064189729999999E-2"/>
        <n v="5.6887118559999998E-2"/>
        <n v="4.4387977019999997E-2"/>
        <n v="4.953872216E-2"/>
        <n v="7.0851360939999997E-2"/>
        <n v="3.0400842430000002E-2"/>
        <n v="4.1366206529999998E-2"/>
        <n v="1.7077581670000001E-2"/>
        <n v="0.1227250876"/>
        <n v="4.5418126039999999E-2"/>
        <n v="1.226435962E-2"/>
        <n v="7.2676776370000001E-2"/>
        <n v="2.4454985620000001E-2"/>
        <n v="3.7825349619999997E-2"/>
        <n v="5.2105094990000003E-2"/>
        <n v="4.2101899870000001E-2"/>
        <n v="0.1227664856"/>
        <n v="5.5718042619999998E-2"/>
        <n v="1.7327401869999998E-2"/>
        <n v="4.6108093490000002E-2"/>
        <n v="1.2858480780000001E-2"/>
        <n v="5.2016098410000003E-2"/>
        <n v="1.7566507200000001E-2"/>
        <n v="0.1227124307"/>
        <n v="3.984104083E-2"/>
        <n v="2.2983268790000001E-2"/>
        <n v="4.5333738319999997E-2"/>
        <n v="7.3354089149999996E-2"/>
        <n v="5.943250563E-2"/>
        <n v="3.6854228359999998E-2"/>
        <n v="1.278674271E-2"/>
        <n v="3.8232360690000002E-2"/>
        <n v="2.5138736160000001E-2"/>
        <n v="0.12178093750000001"/>
        <n v="6.140193847E-2"/>
        <n v="4.2324118350000002E-2"/>
        <n v="1.8873232229999998E-2"/>
        <n v="7.5978825149999998E-2"/>
        <n v="3.9843490269999997E-2"/>
        <n v="5.1121397339999999E-2"/>
        <n v="2.525808848E-2"/>
        <n v="4.0500038430000003E-2"/>
        <n v="7.8284704250000003E-2"/>
        <n v="1.8802674389999999E-2"/>
        <n v="4.2703076569999998E-2"/>
        <n v="0.12844224709999999"/>
        <n v="1.170684223E-2"/>
        <n v="6.1249583730000001E-2"/>
        <n v="4.3778978920000003E-2"/>
        <n v="5.015754284E-2"/>
        <n v="0.12878995830000001"/>
        <n v="4.4393980979999997E-2"/>
        <n v="1.8865570330000001E-2"/>
        <n v="7.8581588600000002E-2"/>
        <n v="4.7613106080000002E-2"/>
        <n v="1.2701819180000001E-2"/>
        <n v="4.139944601E-2"/>
        <n v="3.887904574E-2"/>
        <n v="5.8767748860000003E-2"/>
        <n v="2.670127018E-2"/>
        <n v="4.273734798E-2"/>
        <n v="1.8095331499999999E-2"/>
        <n v="5.6909572380000002E-2"/>
        <n v="0.1290457042"/>
        <n v="4.575323656E-2"/>
        <n v="7.4637112589999999E-2"/>
        <n v="3.194880345E-2"/>
        <n v="1.3019811690000001E-2"/>
        <n v="4.9161435859999998E-2"/>
        <n v="4.1830129459999997E-2"/>
        <n v="0.1216492836"/>
        <n v="3.1728238620000002E-2"/>
        <n v="4.2621113170000002E-2"/>
        <n v="4.768983332E-2"/>
        <n v="1.301296423E-2"/>
        <n v="4.4131981670000001E-2"/>
        <n v="6.9183156250000002E-2"/>
        <n v="4.3717711280000002E-2"/>
        <n v="5.7705429379999999E-2"/>
        <n v="1.659518472E-2"/>
        <n v="4.7758941329999999E-2"/>
        <n v="4.3311861569999999E-2"/>
        <n v="5.7299948789999999E-2"/>
        <n v="4.3743093550000001E-2"/>
        <n v="3.5765301999999999E-2"/>
        <n v="7.0991564019999995E-2"/>
        <n v="2.5685254559999999E-2"/>
        <n v="1.25326793E-2"/>
        <n v="0.1228741611"/>
        <n v="1.8192598979999999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x v="0"/>
    <x v="0"/>
    <x v="0"/>
    <n v="0"/>
    <n v="0"/>
    <n v="0"/>
  </r>
  <r>
    <x v="0"/>
    <x v="0"/>
    <x v="0"/>
    <x v="1"/>
    <n v="0"/>
    <n v="0"/>
    <n v="0"/>
  </r>
  <r>
    <x v="0"/>
    <x v="0"/>
    <x v="0"/>
    <x v="2"/>
    <n v="0"/>
    <n v="0"/>
    <n v="0"/>
  </r>
  <r>
    <x v="0"/>
    <x v="0"/>
    <x v="0"/>
    <x v="3"/>
    <n v="2"/>
    <n v="0"/>
    <n v="0"/>
  </r>
  <r>
    <x v="0"/>
    <x v="0"/>
    <x v="1"/>
    <x v="0"/>
    <n v="0"/>
    <n v="0"/>
    <n v="0"/>
  </r>
  <r>
    <x v="0"/>
    <x v="0"/>
    <x v="1"/>
    <x v="2"/>
    <n v="0"/>
    <n v="0"/>
    <n v="0"/>
  </r>
  <r>
    <x v="0"/>
    <x v="0"/>
    <x v="1"/>
    <x v="3"/>
    <n v="1"/>
    <n v="0"/>
    <n v="0"/>
  </r>
  <r>
    <x v="0"/>
    <x v="0"/>
    <x v="2"/>
    <x v="0"/>
    <n v="0"/>
    <n v="0"/>
    <n v="0"/>
  </r>
  <r>
    <x v="0"/>
    <x v="0"/>
    <x v="2"/>
    <x v="1"/>
    <n v="0"/>
    <n v="0"/>
    <n v="0"/>
  </r>
  <r>
    <x v="0"/>
    <x v="0"/>
    <x v="2"/>
    <x v="2"/>
    <n v="0"/>
    <n v="0"/>
    <n v="0"/>
  </r>
  <r>
    <x v="0"/>
    <x v="0"/>
    <x v="2"/>
    <x v="3"/>
    <n v="0"/>
    <n v="0"/>
    <n v="0"/>
  </r>
  <r>
    <x v="0"/>
    <x v="1"/>
    <x v="3"/>
    <x v="0"/>
    <n v="0"/>
    <n v="0"/>
    <n v="0"/>
  </r>
  <r>
    <x v="0"/>
    <x v="1"/>
    <x v="3"/>
    <x v="1"/>
    <n v="33"/>
    <n v="33"/>
    <n v="360.18448177687998"/>
  </r>
  <r>
    <x v="0"/>
    <x v="1"/>
    <x v="3"/>
    <x v="3"/>
    <n v="453"/>
    <n v="111"/>
    <n v="5013.0442524504697"/>
  </r>
  <r>
    <x v="0"/>
    <x v="1"/>
    <x v="4"/>
    <x v="0"/>
    <n v="0"/>
    <n v="0"/>
    <n v="0"/>
  </r>
  <r>
    <x v="0"/>
    <x v="1"/>
    <x v="4"/>
    <x v="1"/>
    <n v="8"/>
    <n v="8"/>
    <n v="85.240696991657103"/>
  </r>
  <r>
    <x v="0"/>
    <x v="1"/>
    <x v="4"/>
    <x v="3"/>
    <n v="364"/>
    <n v="85"/>
    <n v="3784.6198658110802"/>
  </r>
  <r>
    <x v="0"/>
    <x v="1"/>
    <x v="5"/>
    <x v="0"/>
    <n v="0"/>
    <n v="0"/>
    <n v="0"/>
  </r>
  <r>
    <x v="0"/>
    <x v="1"/>
    <x v="5"/>
    <x v="1"/>
    <n v="12"/>
    <n v="12"/>
    <n v="125.017559189236"/>
  </r>
  <r>
    <x v="0"/>
    <x v="1"/>
    <x v="5"/>
    <x v="3"/>
    <n v="356"/>
    <n v="92"/>
    <n v="4277.4266804527997"/>
  </r>
  <r>
    <x v="1"/>
    <x v="0"/>
    <x v="0"/>
    <x v="0"/>
    <n v="0"/>
    <n v="0"/>
    <n v="0"/>
  </r>
  <r>
    <x v="1"/>
    <x v="0"/>
    <x v="0"/>
    <x v="1"/>
    <n v="0"/>
    <n v="0"/>
    <n v="0"/>
  </r>
  <r>
    <x v="1"/>
    <x v="0"/>
    <x v="0"/>
    <x v="2"/>
    <n v="1"/>
    <n v="0"/>
    <n v="0"/>
  </r>
  <r>
    <x v="1"/>
    <x v="0"/>
    <x v="0"/>
    <x v="3"/>
    <n v="19"/>
    <n v="3"/>
    <n v="20.843417096728999"/>
  </r>
  <r>
    <x v="1"/>
    <x v="0"/>
    <x v="1"/>
    <x v="0"/>
    <n v="0"/>
    <n v="0"/>
    <n v="0"/>
  </r>
  <r>
    <x v="1"/>
    <x v="0"/>
    <x v="1"/>
    <x v="1"/>
    <n v="1"/>
    <n v="1"/>
    <n v="2.6187980433263398"/>
  </r>
  <r>
    <x v="1"/>
    <x v="0"/>
    <x v="1"/>
    <x v="2"/>
    <n v="1"/>
    <n v="0"/>
    <n v="0"/>
  </r>
  <r>
    <x v="1"/>
    <x v="0"/>
    <x v="1"/>
    <x v="3"/>
    <n v="5"/>
    <n v="2"/>
    <n v="14.946570850959001"/>
  </r>
  <r>
    <x v="1"/>
    <x v="0"/>
    <x v="2"/>
    <x v="0"/>
    <n v="0"/>
    <n v="0"/>
    <n v="0"/>
  </r>
  <r>
    <x v="1"/>
    <x v="0"/>
    <x v="2"/>
    <x v="1"/>
    <n v="2"/>
    <n v="2"/>
    <n v="7.60879804332634"/>
  </r>
  <r>
    <x v="1"/>
    <x v="0"/>
    <x v="2"/>
    <x v="2"/>
    <n v="0"/>
    <n v="0"/>
    <n v="0"/>
  </r>
  <r>
    <x v="1"/>
    <x v="0"/>
    <x v="2"/>
    <x v="3"/>
    <n v="10"/>
    <n v="2"/>
    <n v="18.391086869294799"/>
  </r>
  <r>
    <x v="1"/>
    <x v="1"/>
    <x v="3"/>
    <x v="0"/>
    <n v="0"/>
    <n v="0"/>
    <n v="0"/>
  </r>
  <r>
    <x v="1"/>
    <x v="1"/>
    <x v="3"/>
    <x v="1"/>
    <n v="22"/>
    <n v="22"/>
    <n v="201.398517993453"/>
  </r>
  <r>
    <x v="1"/>
    <x v="1"/>
    <x v="3"/>
    <x v="3"/>
    <n v="489"/>
    <n v="124"/>
    <n v="5489.9061731763304"/>
  </r>
  <r>
    <x v="1"/>
    <x v="1"/>
    <x v="3"/>
    <x v="4"/>
    <n v="0"/>
    <n v="0"/>
    <n v="0"/>
  </r>
  <r>
    <x v="1"/>
    <x v="1"/>
    <x v="4"/>
    <x v="0"/>
    <n v="0"/>
    <n v="0"/>
    <n v="0"/>
  </r>
  <r>
    <x v="1"/>
    <x v="1"/>
    <x v="4"/>
    <x v="1"/>
    <n v="14"/>
    <n v="14"/>
    <n v="142.22400438849101"/>
  </r>
  <r>
    <x v="1"/>
    <x v="1"/>
    <x v="4"/>
    <x v="3"/>
    <n v="387"/>
    <n v="83"/>
    <n v="3920.96762329493"/>
  </r>
  <r>
    <x v="1"/>
    <x v="1"/>
    <x v="5"/>
    <x v="0"/>
    <n v="0"/>
    <n v="0"/>
    <n v="0"/>
  </r>
  <r>
    <x v="1"/>
    <x v="1"/>
    <x v="5"/>
    <x v="1"/>
    <n v="22"/>
    <n v="22"/>
    <n v="225.359690410924"/>
  </r>
  <r>
    <x v="1"/>
    <x v="1"/>
    <x v="5"/>
    <x v="3"/>
    <n v="391"/>
    <n v="94"/>
    <n v="3985.3981751790002"/>
  </r>
  <r>
    <x v="2"/>
    <x v="0"/>
    <x v="0"/>
    <x v="0"/>
    <n v="0"/>
    <n v="0"/>
    <n v="0"/>
  </r>
  <r>
    <x v="2"/>
    <x v="0"/>
    <x v="0"/>
    <x v="1"/>
    <n v="2"/>
    <n v="2"/>
    <n v="5.1307502738225601"/>
  </r>
  <r>
    <x v="2"/>
    <x v="0"/>
    <x v="0"/>
    <x v="2"/>
    <n v="2"/>
    <n v="1"/>
    <n v="9.0434732246226197"/>
  </r>
  <r>
    <x v="2"/>
    <x v="0"/>
    <x v="0"/>
    <x v="3"/>
    <n v="25"/>
    <n v="8"/>
    <n v="140.84380164985799"/>
  </r>
  <r>
    <x v="2"/>
    <x v="0"/>
    <x v="1"/>
    <x v="0"/>
    <n v="0"/>
    <n v="0"/>
    <n v="0"/>
  </r>
  <r>
    <x v="2"/>
    <x v="0"/>
    <x v="1"/>
    <x v="1"/>
    <n v="0"/>
    <n v="0"/>
    <n v="0"/>
  </r>
  <r>
    <x v="2"/>
    <x v="0"/>
    <x v="1"/>
    <x v="2"/>
    <n v="0"/>
    <n v="0"/>
    <n v="0"/>
  </r>
  <r>
    <x v="2"/>
    <x v="0"/>
    <x v="1"/>
    <x v="3"/>
    <n v="6"/>
    <n v="2"/>
    <n v="47.2116145951967"/>
  </r>
  <r>
    <x v="2"/>
    <x v="0"/>
    <x v="2"/>
    <x v="0"/>
    <n v="0"/>
    <n v="0"/>
    <n v="0"/>
  </r>
  <r>
    <x v="2"/>
    <x v="0"/>
    <x v="2"/>
    <x v="1"/>
    <n v="5"/>
    <n v="5"/>
    <n v="15.869684959691201"/>
  </r>
  <r>
    <x v="2"/>
    <x v="0"/>
    <x v="2"/>
    <x v="2"/>
    <n v="2"/>
    <n v="1"/>
    <n v="9.8113878303364697"/>
  </r>
  <r>
    <x v="2"/>
    <x v="0"/>
    <x v="2"/>
    <x v="3"/>
    <n v="13"/>
    <n v="3"/>
    <n v="21.289952982371901"/>
  </r>
  <r>
    <x v="2"/>
    <x v="1"/>
    <x v="3"/>
    <x v="0"/>
    <n v="0"/>
    <n v="0"/>
    <n v="0"/>
  </r>
  <r>
    <x v="2"/>
    <x v="1"/>
    <x v="3"/>
    <x v="1"/>
    <n v="42"/>
    <n v="42"/>
    <n v="415.805803882904"/>
  </r>
  <r>
    <x v="2"/>
    <x v="1"/>
    <x v="3"/>
    <x v="3"/>
    <n v="513"/>
    <n v="120"/>
    <n v="4871.3818998692695"/>
  </r>
  <r>
    <x v="2"/>
    <x v="1"/>
    <x v="4"/>
    <x v="0"/>
    <n v="0"/>
    <n v="0"/>
    <n v="0"/>
  </r>
  <r>
    <x v="2"/>
    <x v="1"/>
    <x v="4"/>
    <x v="1"/>
    <n v="21"/>
    <n v="21"/>
    <n v="222.743839767884"/>
  </r>
  <r>
    <x v="2"/>
    <x v="1"/>
    <x v="4"/>
    <x v="3"/>
    <n v="441"/>
    <n v="122"/>
    <n v="5390.5023019070504"/>
  </r>
  <r>
    <x v="2"/>
    <x v="1"/>
    <x v="5"/>
    <x v="0"/>
    <n v="0"/>
    <n v="0"/>
    <n v="0"/>
  </r>
  <r>
    <x v="2"/>
    <x v="1"/>
    <x v="5"/>
    <x v="1"/>
    <n v="31"/>
    <n v="31"/>
    <n v="302.05771322974601"/>
  </r>
  <r>
    <x v="2"/>
    <x v="1"/>
    <x v="5"/>
    <x v="3"/>
    <n v="420"/>
    <n v="90"/>
    <n v="3939.0050147977499"/>
  </r>
  <r>
    <x v="3"/>
    <x v="0"/>
    <x v="0"/>
    <x v="0"/>
    <n v="0"/>
    <n v="0"/>
    <n v="0"/>
  </r>
  <r>
    <x v="3"/>
    <x v="0"/>
    <x v="0"/>
    <x v="1"/>
    <n v="9"/>
    <n v="9"/>
    <n v="31.645845584322799"/>
  </r>
  <r>
    <x v="3"/>
    <x v="0"/>
    <x v="0"/>
    <x v="2"/>
    <n v="1"/>
    <n v="0"/>
    <n v="0"/>
  </r>
  <r>
    <x v="3"/>
    <x v="0"/>
    <x v="0"/>
    <x v="3"/>
    <n v="43"/>
    <n v="15"/>
    <n v="186.936256076809"/>
  </r>
  <r>
    <x v="3"/>
    <x v="0"/>
    <x v="1"/>
    <x v="0"/>
    <n v="0"/>
    <n v="0"/>
    <n v="0"/>
  </r>
  <r>
    <x v="3"/>
    <x v="0"/>
    <x v="1"/>
    <x v="1"/>
    <n v="1"/>
    <n v="1"/>
    <n v="2.5653751369112801"/>
  </r>
  <r>
    <x v="3"/>
    <x v="0"/>
    <x v="1"/>
    <x v="2"/>
    <n v="0"/>
    <n v="0"/>
    <n v="0"/>
  </r>
  <r>
    <x v="3"/>
    <x v="0"/>
    <x v="1"/>
    <x v="3"/>
    <n v="10"/>
    <n v="4"/>
    <n v="25.0003931861722"/>
  </r>
  <r>
    <x v="3"/>
    <x v="0"/>
    <x v="2"/>
    <x v="0"/>
    <n v="0"/>
    <n v="0"/>
    <n v="0"/>
  </r>
  <r>
    <x v="3"/>
    <x v="0"/>
    <x v="2"/>
    <x v="1"/>
    <n v="1"/>
    <n v="1"/>
    <n v="2.5653751369112801"/>
  </r>
  <r>
    <x v="3"/>
    <x v="0"/>
    <x v="2"/>
    <x v="2"/>
    <n v="0"/>
    <n v="0"/>
    <n v="0"/>
  </r>
  <r>
    <x v="3"/>
    <x v="0"/>
    <x v="2"/>
    <x v="3"/>
    <n v="19"/>
    <n v="6"/>
    <n v="93.280272122435505"/>
  </r>
  <r>
    <x v="3"/>
    <x v="1"/>
    <x v="3"/>
    <x v="0"/>
    <n v="0"/>
    <n v="0"/>
    <n v="0"/>
  </r>
  <r>
    <x v="3"/>
    <x v="1"/>
    <x v="3"/>
    <x v="1"/>
    <n v="57"/>
    <n v="57"/>
    <n v="628.41235918195503"/>
  </r>
  <r>
    <x v="3"/>
    <x v="1"/>
    <x v="3"/>
    <x v="3"/>
    <n v="692"/>
    <n v="166"/>
    <n v="7502.5852971910699"/>
  </r>
  <r>
    <x v="3"/>
    <x v="1"/>
    <x v="4"/>
    <x v="0"/>
    <n v="0"/>
    <n v="0"/>
    <n v="0"/>
  </r>
  <r>
    <x v="3"/>
    <x v="1"/>
    <x v="4"/>
    <x v="1"/>
    <n v="24"/>
    <n v="24"/>
    <n v="273.21015175659397"/>
  </r>
  <r>
    <x v="3"/>
    <x v="1"/>
    <x v="4"/>
    <x v="3"/>
    <n v="561"/>
    <n v="129"/>
    <n v="6076.7461404971"/>
  </r>
  <r>
    <x v="3"/>
    <x v="1"/>
    <x v="5"/>
    <x v="0"/>
    <n v="0"/>
    <n v="0"/>
    <n v="0"/>
  </r>
  <r>
    <x v="3"/>
    <x v="1"/>
    <x v="5"/>
    <x v="1"/>
    <n v="35"/>
    <n v="35"/>
    <n v="350.45403260884501"/>
  </r>
  <r>
    <x v="3"/>
    <x v="1"/>
    <x v="5"/>
    <x v="3"/>
    <n v="597"/>
    <n v="149"/>
    <n v="6480.0983080502301"/>
  </r>
  <r>
    <x v="4"/>
    <x v="0"/>
    <x v="0"/>
    <x v="0"/>
    <n v="0"/>
    <n v="0"/>
    <n v="0"/>
  </r>
  <r>
    <x v="4"/>
    <x v="0"/>
    <x v="0"/>
    <x v="1"/>
    <n v="3"/>
    <n v="3"/>
    <n v="11.759281054146699"/>
  </r>
  <r>
    <x v="4"/>
    <x v="0"/>
    <x v="0"/>
    <x v="2"/>
    <n v="2"/>
    <n v="0"/>
    <n v="0"/>
  </r>
  <r>
    <x v="4"/>
    <x v="0"/>
    <x v="0"/>
    <x v="3"/>
    <n v="43"/>
    <n v="8"/>
    <n v="97.345663696931496"/>
  </r>
  <r>
    <x v="4"/>
    <x v="0"/>
    <x v="1"/>
    <x v="0"/>
    <n v="0"/>
    <n v="0"/>
    <n v="0"/>
  </r>
  <r>
    <x v="4"/>
    <x v="0"/>
    <x v="1"/>
    <x v="1"/>
    <n v="11"/>
    <n v="11"/>
    <n v="36.300429126005596"/>
  </r>
  <r>
    <x v="4"/>
    <x v="0"/>
    <x v="1"/>
    <x v="2"/>
    <n v="2"/>
    <n v="0"/>
    <n v="0"/>
  </r>
  <r>
    <x v="4"/>
    <x v="0"/>
    <x v="1"/>
    <x v="3"/>
    <n v="29"/>
    <n v="10"/>
    <n v="113.61989426448"/>
  </r>
  <r>
    <x v="4"/>
    <x v="0"/>
    <x v="2"/>
    <x v="0"/>
    <n v="0"/>
    <n v="0"/>
    <n v="0"/>
  </r>
  <r>
    <x v="4"/>
    <x v="0"/>
    <x v="2"/>
    <x v="1"/>
    <n v="5"/>
    <n v="5"/>
    <n v="12.830565354981299"/>
  </r>
  <r>
    <x v="4"/>
    <x v="0"/>
    <x v="2"/>
    <x v="2"/>
    <n v="1"/>
    <n v="0"/>
    <n v="0"/>
  </r>
  <r>
    <x v="4"/>
    <x v="0"/>
    <x v="2"/>
    <x v="3"/>
    <n v="35"/>
    <n v="10"/>
    <n v="102.538240862059"/>
  </r>
  <r>
    <x v="4"/>
    <x v="1"/>
    <x v="3"/>
    <x v="0"/>
    <n v="0"/>
    <n v="0"/>
    <n v="0"/>
  </r>
  <r>
    <x v="4"/>
    <x v="1"/>
    <x v="3"/>
    <x v="1"/>
    <n v="53"/>
    <n v="53"/>
    <n v="553.21598690870803"/>
  </r>
  <r>
    <x v="4"/>
    <x v="1"/>
    <x v="3"/>
    <x v="3"/>
    <n v="670"/>
    <n v="175"/>
    <n v="7668.9059918011199"/>
  </r>
  <r>
    <x v="4"/>
    <x v="1"/>
    <x v="3"/>
    <x v="4"/>
    <n v="0"/>
    <n v="0"/>
    <n v="0"/>
  </r>
  <r>
    <x v="4"/>
    <x v="1"/>
    <x v="4"/>
    <x v="0"/>
    <n v="0"/>
    <n v="0"/>
    <n v="0"/>
  </r>
  <r>
    <x v="4"/>
    <x v="1"/>
    <x v="4"/>
    <x v="1"/>
    <n v="31"/>
    <n v="31"/>
    <n v="361.01228548229"/>
  </r>
  <r>
    <x v="4"/>
    <x v="1"/>
    <x v="4"/>
    <x v="3"/>
    <n v="579"/>
    <n v="131"/>
    <n v="6016.6175724500299"/>
  </r>
  <r>
    <x v="4"/>
    <x v="1"/>
    <x v="5"/>
    <x v="0"/>
    <n v="0"/>
    <n v="0"/>
    <n v="0"/>
  </r>
  <r>
    <x v="4"/>
    <x v="1"/>
    <x v="5"/>
    <x v="1"/>
    <n v="35"/>
    <n v="35"/>
    <n v="374.832489573619"/>
  </r>
  <r>
    <x v="4"/>
    <x v="1"/>
    <x v="5"/>
    <x v="3"/>
    <n v="602"/>
    <n v="129"/>
    <n v="5257.9909115459404"/>
  </r>
  <r>
    <x v="5"/>
    <x v="0"/>
    <x v="0"/>
    <x v="0"/>
    <n v="0"/>
    <n v="0"/>
    <n v="0"/>
  </r>
  <r>
    <x v="5"/>
    <x v="0"/>
    <x v="0"/>
    <x v="1"/>
    <n v="10"/>
    <n v="10"/>
    <n v="29.135029150961198"/>
  </r>
  <r>
    <x v="5"/>
    <x v="0"/>
    <x v="0"/>
    <x v="2"/>
    <n v="1"/>
    <n v="0"/>
    <n v="0"/>
  </r>
  <r>
    <x v="5"/>
    <x v="0"/>
    <x v="0"/>
    <x v="3"/>
    <n v="63"/>
    <n v="11"/>
    <n v="109.229137942403"/>
  </r>
  <r>
    <x v="5"/>
    <x v="0"/>
    <x v="1"/>
    <x v="0"/>
    <n v="0"/>
    <n v="0"/>
    <n v="0"/>
  </r>
  <r>
    <x v="5"/>
    <x v="0"/>
    <x v="1"/>
    <x v="1"/>
    <n v="8"/>
    <n v="8"/>
    <n v="27.3509949934354"/>
  </r>
  <r>
    <x v="5"/>
    <x v="0"/>
    <x v="1"/>
    <x v="2"/>
    <n v="1"/>
    <n v="0"/>
    <n v="0"/>
  </r>
  <r>
    <x v="5"/>
    <x v="0"/>
    <x v="1"/>
    <x v="3"/>
    <n v="29"/>
    <n v="6"/>
    <n v="54.225475319725597"/>
  </r>
  <r>
    <x v="5"/>
    <x v="0"/>
    <x v="2"/>
    <x v="0"/>
    <n v="0"/>
    <n v="0"/>
    <n v="0"/>
  </r>
  <r>
    <x v="5"/>
    <x v="0"/>
    <x v="2"/>
    <x v="1"/>
    <n v="10"/>
    <n v="10"/>
    <n v="31.9664258135243"/>
  </r>
  <r>
    <x v="5"/>
    <x v="0"/>
    <x v="2"/>
    <x v="2"/>
    <n v="0"/>
    <n v="0"/>
    <n v="0"/>
  </r>
  <r>
    <x v="5"/>
    <x v="0"/>
    <x v="2"/>
    <x v="3"/>
    <n v="45"/>
    <n v="14"/>
    <n v="175.54524729555899"/>
  </r>
  <r>
    <x v="5"/>
    <x v="1"/>
    <x v="3"/>
    <x v="0"/>
    <n v="0"/>
    <n v="0"/>
    <n v="0"/>
  </r>
  <r>
    <x v="5"/>
    <x v="1"/>
    <x v="3"/>
    <x v="1"/>
    <n v="35"/>
    <n v="35"/>
    <n v="326.71959969601602"/>
  </r>
  <r>
    <x v="5"/>
    <x v="1"/>
    <x v="3"/>
    <x v="3"/>
    <n v="501"/>
    <n v="113"/>
    <n v="4861.90166581208"/>
  </r>
  <r>
    <x v="5"/>
    <x v="1"/>
    <x v="4"/>
    <x v="0"/>
    <n v="0"/>
    <n v="0"/>
    <n v="0"/>
  </r>
  <r>
    <x v="5"/>
    <x v="1"/>
    <x v="4"/>
    <x v="1"/>
    <n v="29"/>
    <n v="29"/>
    <n v="299.05884963077602"/>
  </r>
  <r>
    <x v="5"/>
    <x v="1"/>
    <x v="4"/>
    <x v="3"/>
    <n v="478"/>
    <n v="118"/>
    <n v="5009.6955959365596"/>
  </r>
  <r>
    <x v="5"/>
    <x v="1"/>
    <x v="5"/>
    <x v="0"/>
    <n v="0"/>
    <n v="0"/>
    <n v="0"/>
  </r>
  <r>
    <x v="5"/>
    <x v="1"/>
    <x v="5"/>
    <x v="1"/>
    <n v="30"/>
    <n v="30"/>
    <n v="331.19716809471601"/>
  </r>
  <r>
    <x v="5"/>
    <x v="1"/>
    <x v="5"/>
    <x v="3"/>
    <n v="506"/>
    <n v="111"/>
    <n v="4827.6657386775796"/>
  </r>
  <r>
    <x v="6"/>
    <x v="0"/>
    <x v="0"/>
    <x v="0"/>
    <n v="0"/>
    <n v="0"/>
    <n v="0"/>
  </r>
  <r>
    <x v="6"/>
    <x v="0"/>
    <x v="0"/>
    <x v="1"/>
    <n v="14"/>
    <n v="14"/>
    <n v="39.202344829518303"/>
  </r>
  <r>
    <x v="6"/>
    <x v="0"/>
    <x v="0"/>
    <x v="2"/>
    <n v="1"/>
    <n v="0"/>
    <n v="0"/>
  </r>
  <r>
    <x v="6"/>
    <x v="0"/>
    <x v="0"/>
    <x v="3"/>
    <n v="66"/>
    <n v="18"/>
    <n v="230.79978590162901"/>
  </r>
  <r>
    <x v="6"/>
    <x v="0"/>
    <x v="1"/>
    <x v="0"/>
    <n v="0"/>
    <n v="0"/>
    <n v="0"/>
  </r>
  <r>
    <x v="6"/>
    <x v="0"/>
    <x v="1"/>
    <x v="1"/>
    <n v="8"/>
    <n v="8"/>
    <n v="25.926299510544499"/>
  </r>
  <r>
    <x v="6"/>
    <x v="0"/>
    <x v="1"/>
    <x v="2"/>
    <n v="2"/>
    <n v="0"/>
    <n v="0"/>
  </r>
  <r>
    <x v="6"/>
    <x v="0"/>
    <x v="1"/>
    <x v="3"/>
    <n v="29"/>
    <n v="9"/>
    <n v="119.06230228147101"/>
  </r>
  <r>
    <x v="6"/>
    <x v="0"/>
    <x v="2"/>
    <x v="0"/>
    <n v="0"/>
    <n v="0"/>
    <n v="0"/>
  </r>
  <r>
    <x v="6"/>
    <x v="0"/>
    <x v="2"/>
    <x v="1"/>
    <n v="6"/>
    <n v="6"/>
    <n v="21.364751344802201"/>
  </r>
  <r>
    <x v="6"/>
    <x v="0"/>
    <x v="2"/>
    <x v="2"/>
    <n v="2"/>
    <n v="0"/>
    <n v="0"/>
  </r>
  <r>
    <x v="6"/>
    <x v="0"/>
    <x v="2"/>
    <x v="3"/>
    <n v="57"/>
    <n v="17"/>
    <n v="202.08854766720401"/>
  </r>
  <r>
    <x v="6"/>
    <x v="1"/>
    <x v="3"/>
    <x v="0"/>
    <n v="0"/>
    <n v="0"/>
    <n v="0"/>
  </r>
  <r>
    <x v="6"/>
    <x v="1"/>
    <x v="3"/>
    <x v="1"/>
    <n v="35"/>
    <n v="35"/>
    <n v="358.035631348322"/>
  </r>
  <r>
    <x v="6"/>
    <x v="1"/>
    <x v="3"/>
    <x v="3"/>
    <n v="494"/>
    <n v="120"/>
    <n v="5036.6937953208699"/>
  </r>
  <r>
    <x v="6"/>
    <x v="1"/>
    <x v="3"/>
    <x v="4"/>
    <n v="0"/>
    <n v="0"/>
    <n v="0"/>
  </r>
  <r>
    <x v="6"/>
    <x v="1"/>
    <x v="4"/>
    <x v="0"/>
    <n v="0"/>
    <n v="0"/>
    <n v="0"/>
  </r>
  <r>
    <x v="6"/>
    <x v="1"/>
    <x v="4"/>
    <x v="1"/>
    <n v="21"/>
    <n v="21"/>
    <n v="228.83585545613201"/>
  </r>
  <r>
    <x v="6"/>
    <x v="1"/>
    <x v="4"/>
    <x v="3"/>
    <n v="450"/>
    <n v="111"/>
    <n v="4827.4191221092697"/>
  </r>
  <r>
    <x v="6"/>
    <x v="1"/>
    <x v="4"/>
    <x v="4"/>
    <n v="0"/>
    <n v="0"/>
    <n v="0"/>
  </r>
  <r>
    <x v="6"/>
    <x v="1"/>
    <x v="5"/>
    <x v="0"/>
    <n v="0"/>
    <n v="0"/>
    <n v="0"/>
  </r>
  <r>
    <x v="6"/>
    <x v="1"/>
    <x v="5"/>
    <x v="1"/>
    <n v="24"/>
    <n v="24"/>
    <n v="264.01815886233999"/>
  </r>
  <r>
    <x v="6"/>
    <x v="1"/>
    <x v="5"/>
    <x v="3"/>
    <n v="487"/>
    <n v="104"/>
    <n v="4324.78021319458"/>
  </r>
  <r>
    <x v="6"/>
    <x v="1"/>
    <x v="5"/>
    <x v="4"/>
    <n v="0"/>
    <n v="0"/>
    <n v="0"/>
  </r>
  <r>
    <x v="7"/>
    <x v="0"/>
    <x v="0"/>
    <x v="0"/>
    <n v="0"/>
    <n v="0"/>
    <n v="0"/>
  </r>
  <r>
    <x v="7"/>
    <x v="0"/>
    <x v="0"/>
    <x v="1"/>
    <n v="8"/>
    <n v="8"/>
    <n v="34.915957039748697"/>
  </r>
  <r>
    <x v="7"/>
    <x v="0"/>
    <x v="0"/>
    <x v="2"/>
    <n v="4"/>
    <n v="1"/>
    <n v="10.9413830054034"/>
  </r>
  <r>
    <x v="7"/>
    <x v="0"/>
    <x v="0"/>
    <x v="3"/>
    <n v="65"/>
    <n v="18"/>
    <n v="180.419060440431"/>
  </r>
  <r>
    <x v="7"/>
    <x v="0"/>
    <x v="1"/>
    <x v="0"/>
    <n v="0"/>
    <n v="0"/>
    <n v="0"/>
  </r>
  <r>
    <x v="7"/>
    <x v="0"/>
    <x v="1"/>
    <x v="1"/>
    <n v="11"/>
    <n v="11"/>
    <n v="36.261912624377103"/>
  </r>
  <r>
    <x v="7"/>
    <x v="0"/>
    <x v="1"/>
    <x v="2"/>
    <n v="2"/>
    <n v="1"/>
    <n v="9.5500000000000007"/>
  </r>
  <r>
    <x v="7"/>
    <x v="0"/>
    <x v="1"/>
    <x v="3"/>
    <n v="41"/>
    <n v="15"/>
    <n v="144.851476732127"/>
  </r>
  <r>
    <x v="7"/>
    <x v="0"/>
    <x v="1"/>
    <x v="4"/>
    <n v="0"/>
    <n v="0"/>
    <n v="0"/>
  </r>
  <r>
    <x v="7"/>
    <x v="0"/>
    <x v="2"/>
    <x v="0"/>
    <n v="0"/>
    <n v="0"/>
    <n v="0"/>
  </r>
  <r>
    <x v="7"/>
    <x v="0"/>
    <x v="2"/>
    <x v="1"/>
    <n v="6"/>
    <n v="6"/>
    <n v="17.646634725431099"/>
  </r>
  <r>
    <x v="7"/>
    <x v="0"/>
    <x v="2"/>
    <x v="2"/>
    <n v="2"/>
    <n v="1"/>
    <n v="8.99"/>
  </r>
  <r>
    <x v="7"/>
    <x v="0"/>
    <x v="2"/>
    <x v="3"/>
    <n v="50"/>
    <n v="13"/>
    <n v="121.35319991908599"/>
  </r>
  <r>
    <x v="7"/>
    <x v="0"/>
    <x v="2"/>
    <x v="4"/>
    <n v="0"/>
    <n v="0"/>
    <n v="0"/>
  </r>
  <r>
    <x v="7"/>
    <x v="1"/>
    <x v="3"/>
    <x v="0"/>
    <n v="0"/>
    <n v="0"/>
    <n v="0"/>
  </r>
  <r>
    <x v="7"/>
    <x v="1"/>
    <x v="3"/>
    <x v="1"/>
    <n v="39"/>
    <n v="39"/>
    <n v="400.024588937668"/>
  </r>
  <r>
    <x v="7"/>
    <x v="1"/>
    <x v="3"/>
    <x v="3"/>
    <n v="527"/>
    <n v="127"/>
    <n v="5458.2832809159299"/>
  </r>
  <r>
    <x v="7"/>
    <x v="1"/>
    <x v="4"/>
    <x v="0"/>
    <n v="0"/>
    <n v="0"/>
    <n v="0"/>
  </r>
  <r>
    <x v="7"/>
    <x v="1"/>
    <x v="4"/>
    <x v="1"/>
    <n v="24"/>
    <n v="24"/>
    <n v="223.365145568548"/>
  </r>
  <r>
    <x v="7"/>
    <x v="1"/>
    <x v="4"/>
    <x v="3"/>
    <n v="428"/>
    <n v="118"/>
    <n v="4923.5058791558304"/>
  </r>
  <r>
    <x v="7"/>
    <x v="1"/>
    <x v="4"/>
    <x v="4"/>
    <n v="0"/>
    <n v="0"/>
    <n v="0"/>
  </r>
  <r>
    <x v="7"/>
    <x v="1"/>
    <x v="5"/>
    <x v="0"/>
    <n v="0"/>
    <n v="0"/>
    <n v="0"/>
  </r>
  <r>
    <x v="7"/>
    <x v="1"/>
    <x v="5"/>
    <x v="1"/>
    <n v="29"/>
    <n v="29"/>
    <n v="308.75507718914002"/>
  </r>
  <r>
    <x v="7"/>
    <x v="1"/>
    <x v="5"/>
    <x v="3"/>
    <n v="460"/>
    <n v="121"/>
    <n v="5099.9934563094403"/>
  </r>
  <r>
    <x v="8"/>
    <x v="0"/>
    <x v="0"/>
    <x v="0"/>
    <n v="0"/>
    <n v="0"/>
    <n v="0"/>
  </r>
  <r>
    <x v="8"/>
    <x v="0"/>
    <x v="0"/>
    <x v="1"/>
    <n v="15"/>
    <n v="15"/>
    <n v="49.034677161904497"/>
  </r>
  <r>
    <x v="8"/>
    <x v="0"/>
    <x v="0"/>
    <x v="2"/>
    <n v="2"/>
    <n v="0"/>
    <n v="0"/>
  </r>
  <r>
    <x v="8"/>
    <x v="0"/>
    <x v="0"/>
    <x v="3"/>
    <n v="76"/>
    <n v="18"/>
    <n v="257.86741233602999"/>
  </r>
  <r>
    <x v="8"/>
    <x v="0"/>
    <x v="1"/>
    <x v="0"/>
    <n v="0"/>
    <n v="0"/>
    <n v="0"/>
  </r>
  <r>
    <x v="8"/>
    <x v="0"/>
    <x v="1"/>
    <x v="1"/>
    <n v="13"/>
    <n v="13"/>
    <n v="43.233148041256896"/>
  </r>
  <r>
    <x v="8"/>
    <x v="0"/>
    <x v="1"/>
    <x v="2"/>
    <n v="2"/>
    <n v="0"/>
    <n v="0"/>
  </r>
  <r>
    <x v="8"/>
    <x v="0"/>
    <x v="1"/>
    <x v="3"/>
    <n v="30"/>
    <n v="11"/>
    <n v="172.79483587666101"/>
  </r>
  <r>
    <x v="8"/>
    <x v="0"/>
    <x v="2"/>
    <x v="0"/>
    <n v="0"/>
    <n v="0"/>
    <n v="0"/>
  </r>
  <r>
    <x v="8"/>
    <x v="0"/>
    <x v="2"/>
    <x v="1"/>
    <n v="8"/>
    <n v="8"/>
    <n v="28.3704846854477"/>
  </r>
  <r>
    <x v="8"/>
    <x v="0"/>
    <x v="2"/>
    <x v="2"/>
    <n v="4"/>
    <n v="0"/>
    <n v="0"/>
  </r>
  <r>
    <x v="8"/>
    <x v="0"/>
    <x v="2"/>
    <x v="3"/>
    <n v="49"/>
    <n v="18"/>
    <n v="198.97599707040899"/>
  </r>
  <r>
    <x v="8"/>
    <x v="1"/>
    <x v="3"/>
    <x v="0"/>
    <n v="0"/>
    <n v="0"/>
    <n v="0"/>
  </r>
  <r>
    <x v="8"/>
    <x v="1"/>
    <x v="3"/>
    <x v="1"/>
    <n v="47"/>
    <n v="47"/>
    <n v="551.79138909921801"/>
  </r>
  <r>
    <x v="8"/>
    <x v="1"/>
    <x v="3"/>
    <x v="3"/>
    <n v="538"/>
    <n v="135"/>
    <n v="5752.10979715556"/>
  </r>
  <r>
    <x v="8"/>
    <x v="1"/>
    <x v="4"/>
    <x v="0"/>
    <n v="0"/>
    <n v="0"/>
    <n v="0"/>
  </r>
  <r>
    <x v="8"/>
    <x v="1"/>
    <x v="4"/>
    <x v="1"/>
    <n v="34"/>
    <n v="34"/>
    <n v="356.500282108698"/>
  </r>
  <r>
    <x v="8"/>
    <x v="1"/>
    <x v="4"/>
    <x v="3"/>
    <n v="431"/>
    <n v="118"/>
    <n v="4521.9906626583197"/>
  </r>
  <r>
    <x v="8"/>
    <x v="1"/>
    <x v="5"/>
    <x v="0"/>
    <n v="0"/>
    <n v="0"/>
    <n v="0"/>
  </r>
  <r>
    <x v="8"/>
    <x v="1"/>
    <x v="5"/>
    <x v="1"/>
    <n v="43"/>
    <n v="43"/>
    <n v="457.407103582383"/>
  </r>
  <r>
    <x v="8"/>
    <x v="1"/>
    <x v="5"/>
    <x v="3"/>
    <n v="479"/>
    <n v="115"/>
    <n v="4797.6654861454299"/>
  </r>
  <r>
    <x v="9"/>
    <x v="0"/>
    <x v="0"/>
    <x v="0"/>
    <n v="0"/>
    <n v="0"/>
    <n v="0"/>
  </r>
  <r>
    <x v="9"/>
    <x v="0"/>
    <x v="0"/>
    <x v="1"/>
    <n v="14"/>
    <n v="14"/>
    <n v="47.014626592703301"/>
  </r>
  <r>
    <x v="9"/>
    <x v="0"/>
    <x v="0"/>
    <x v="2"/>
    <n v="3"/>
    <n v="1"/>
    <n v="9.59"/>
  </r>
  <r>
    <x v="9"/>
    <x v="0"/>
    <x v="0"/>
    <x v="3"/>
    <n v="67"/>
    <n v="18"/>
    <n v="244.54626377475401"/>
  </r>
  <r>
    <x v="9"/>
    <x v="0"/>
    <x v="1"/>
    <x v="0"/>
    <n v="0"/>
    <n v="0"/>
    <n v="0"/>
  </r>
  <r>
    <x v="9"/>
    <x v="0"/>
    <x v="1"/>
    <x v="1"/>
    <n v="3"/>
    <n v="3"/>
    <n v="10.7764493222168"/>
  </r>
  <r>
    <x v="9"/>
    <x v="0"/>
    <x v="1"/>
    <x v="2"/>
    <n v="1"/>
    <n v="0"/>
    <n v="0"/>
  </r>
  <r>
    <x v="9"/>
    <x v="0"/>
    <x v="1"/>
    <x v="3"/>
    <n v="25"/>
    <n v="6"/>
    <n v="68.656778619180997"/>
  </r>
  <r>
    <x v="9"/>
    <x v="0"/>
    <x v="2"/>
    <x v="0"/>
    <n v="0"/>
    <n v="0"/>
    <n v="0"/>
  </r>
  <r>
    <x v="9"/>
    <x v="0"/>
    <x v="2"/>
    <x v="1"/>
    <n v="6"/>
    <n v="6"/>
    <n v="22.950183438655099"/>
  </r>
  <r>
    <x v="9"/>
    <x v="0"/>
    <x v="2"/>
    <x v="2"/>
    <n v="0"/>
    <n v="0"/>
    <n v="0"/>
  </r>
  <r>
    <x v="9"/>
    <x v="0"/>
    <x v="2"/>
    <x v="3"/>
    <n v="47"/>
    <n v="19"/>
    <n v="257.37758664219302"/>
  </r>
  <r>
    <x v="9"/>
    <x v="1"/>
    <x v="3"/>
    <x v="0"/>
    <n v="0"/>
    <n v="0"/>
    <n v="0"/>
  </r>
  <r>
    <x v="9"/>
    <x v="1"/>
    <x v="3"/>
    <x v="1"/>
    <n v="51"/>
    <n v="51"/>
    <n v="551.88967360015397"/>
  </r>
  <r>
    <x v="9"/>
    <x v="1"/>
    <x v="3"/>
    <x v="3"/>
    <n v="545"/>
    <n v="158"/>
    <n v="6445.6352921601701"/>
  </r>
  <r>
    <x v="9"/>
    <x v="1"/>
    <x v="4"/>
    <x v="0"/>
    <n v="0"/>
    <n v="0"/>
    <n v="0"/>
  </r>
  <r>
    <x v="9"/>
    <x v="1"/>
    <x v="4"/>
    <x v="1"/>
    <n v="33"/>
    <n v="33"/>
    <n v="349.38930140335998"/>
  </r>
  <r>
    <x v="9"/>
    <x v="1"/>
    <x v="4"/>
    <x v="3"/>
    <n v="462"/>
    <n v="131"/>
    <n v="5447.1364124133197"/>
  </r>
  <r>
    <x v="9"/>
    <x v="1"/>
    <x v="5"/>
    <x v="0"/>
    <n v="0"/>
    <n v="0"/>
    <n v="0"/>
  </r>
  <r>
    <x v="9"/>
    <x v="1"/>
    <x v="5"/>
    <x v="1"/>
    <n v="31"/>
    <n v="31"/>
    <n v="322.07392275322098"/>
  </r>
  <r>
    <x v="9"/>
    <x v="1"/>
    <x v="5"/>
    <x v="3"/>
    <n v="444"/>
    <n v="112"/>
    <n v="4654.0994055664596"/>
  </r>
  <r>
    <x v="10"/>
    <x v="0"/>
    <x v="0"/>
    <x v="0"/>
    <n v="0"/>
    <n v="0"/>
    <n v="0"/>
  </r>
  <r>
    <x v="10"/>
    <x v="0"/>
    <x v="0"/>
    <x v="1"/>
    <n v="16"/>
    <n v="16"/>
    <n v="66.243865671784405"/>
  </r>
  <r>
    <x v="10"/>
    <x v="0"/>
    <x v="0"/>
    <x v="2"/>
    <n v="4"/>
    <n v="0"/>
    <n v="0"/>
  </r>
  <r>
    <x v="10"/>
    <x v="0"/>
    <x v="0"/>
    <x v="3"/>
    <n v="93"/>
    <n v="21"/>
    <n v="332.11922324424899"/>
  </r>
  <r>
    <x v="10"/>
    <x v="0"/>
    <x v="0"/>
    <x v="4"/>
    <n v="0"/>
    <n v="0"/>
    <n v="0"/>
  </r>
  <r>
    <x v="10"/>
    <x v="0"/>
    <x v="1"/>
    <x v="0"/>
    <n v="0"/>
    <n v="0"/>
    <n v="0"/>
  </r>
  <r>
    <x v="10"/>
    <x v="0"/>
    <x v="1"/>
    <x v="1"/>
    <n v="9"/>
    <n v="9"/>
    <n v="37.533133276736997"/>
  </r>
  <r>
    <x v="10"/>
    <x v="0"/>
    <x v="1"/>
    <x v="2"/>
    <n v="1"/>
    <n v="1"/>
    <n v="7.3786440336811001"/>
  </r>
  <r>
    <x v="10"/>
    <x v="0"/>
    <x v="1"/>
    <x v="3"/>
    <n v="38"/>
    <n v="15"/>
    <n v="196.961564747023"/>
  </r>
  <r>
    <x v="10"/>
    <x v="0"/>
    <x v="1"/>
    <x v="4"/>
    <n v="0"/>
    <n v="0"/>
    <n v="0"/>
  </r>
  <r>
    <x v="10"/>
    <x v="0"/>
    <x v="2"/>
    <x v="0"/>
    <n v="0"/>
    <n v="0"/>
    <n v="0"/>
  </r>
  <r>
    <x v="10"/>
    <x v="0"/>
    <x v="2"/>
    <x v="1"/>
    <n v="13"/>
    <n v="13"/>
    <n v="44.229175409545299"/>
  </r>
  <r>
    <x v="10"/>
    <x v="0"/>
    <x v="2"/>
    <x v="2"/>
    <n v="1"/>
    <n v="0"/>
    <n v="0"/>
  </r>
  <r>
    <x v="10"/>
    <x v="0"/>
    <x v="2"/>
    <x v="3"/>
    <n v="58"/>
    <n v="18"/>
    <n v="286.73330848469999"/>
  </r>
  <r>
    <x v="10"/>
    <x v="0"/>
    <x v="2"/>
    <x v="4"/>
    <n v="0"/>
    <n v="0"/>
    <n v="0"/>
  </r>
  <r>
    <x v="10"/>
    <x v="1"/>
    <x v="3"/>
    <x v="0"/>
    <n v="0"/>
    <n v="0"/>
    <n v="0"/>
  </r>
  <r>
    <x v="10"/>
    <x v="1"/>
    <x v="3"/>
    <x v="1"/>
    <n v="89"/>
    <n v="89"/>
    <n v="987.79989765423102"/>
  </r>
  <r>
    <x v="10"/>
    <x v="1"/>
    <x v="3"/>
    <x v="3"/>
    <n v="778"/>
    <n v="197"/>
    <n v="8168.3175177736803"/>
  </r>
  <r>
    <x v="10"/>
    <x v="1"/>
    <x v="4"/>
    <x v="0"/>
    <n v="0"/>
    <n v="0"/>
    <n v="0"/>
  </r>
  <r>
    <x v="10"/>
    <x v="1"/>
    <x v="4"/>
    <x v="1"/>
    <n v="58"/>
    <n v="58"/>
    <n v="654.68494620287004"/>
  </r>
  <r>
    <x v="10"/>
    <x v="1"/>
    <x v="4"/>
    <x v="3"/>
    <n v="647"/>
    <n v="163"/>
    <n v="6802.56486284124"/>
  </r>
  <r>
    <x v="10"/>
    <x v="1"/>
    <x v="4"/>
    <x v="4"/>
    <n v="0"/>
    <n v="0"/>
    <n v="0"/>
  </r>
  <r>
    <x v="10"/>
    <x v="1"/>
    <x v="5"/>
    <x v="0"/>
    <n v="0"/>
    <n v="0"/>
    <n v="0"/>
  </r>
  <r>
    <x v="10"/>
    <x v="1"/>
    <x v="5"/>
    <x v="1"/>
    <n v="51"/>
    <n v="51"/>
    <n v="559.50846368071996"/>
  </r>
  <r>
    <x v="10"/>
    <x v="1"/>
    <x v="5"/>
    <x v="3"/>
    <n v="695"/>
    <n v="186"/>
    <n v="8419.2641792230406"/>
  </r>
  <r>
    <x v="11"/>
    <x v="0"/>
    <x v="0"/>
    <x v="0"/>
    <n v="0"/>
    <n v="0"/>
    <n v="0"/>
  </r>
  <r>
    <x v="11"/>
    <x v="0"/>
    <x v="0"/>
    <x v="1"/>
    <n v="14"/>
    <n v="14"/>
    <n v="47.612620238430402"/>
  </r>
  <r>
    <x v="11"/>
    <x v="0"/>
    <x v="0"/>
    <x v="2"/>
    <n v="4"/>
    <n v="1"/>
    <n v="8.99"/>
  </r>
  <r>
    <x v="11"/>
    <x v="0"/>
    <x v="0"/>
    <x v="3"/>
    <n v="71"/>
    <n v="19"/>
    <n v="189.090264397684"/>
  </r>
  <r>
    <x v="11"/>
    <x v="0"/>
    <x v="1"/>
    <x v="0"/>
    <n v="0"/>
    <n v="0"/>
    <n v="0"/>
  </r>
  <r>
    <x v="11"/>
    <x v="0"/>
    <x v="1"/>
    <x v="1"/>
    <n v="15"/>
    <n v="15"/>
    <n v="53.6982074628677"/>
  </r>
  <r>
    <x v="11"/>
    <x v="0"/>
    <x v="1"/>
    <x v="2"/>
    <n v="3"/>
    <n v="1"/>
    <n v="11.227723086526201"/>
  </r>
  <r>
    <x v="11"/>
    <x v="0"/>
    <x v="1"/>
    <x v="3"/>
    <n v="40"/>
    <n v="20"/>
    <n v="219.09897275428901"/>
  </r>
  <r>
    <x v="11"/>
    <x v="0"/>
    <x v="2"/>
    <x v="0"/>
    <n v="0"/>
    <n v="0"/>
    <n v="0"/>
  </r>
  <r>
    <x v="11"/>
    <x v="0"/>
    <x v="2"/>
    <x v="1"/>
    <n v="11"/>
    <n v="11"/>
    <n v="35.957227625752999"/>
  </r>
  <r>
    <x v="11"/>
    <x v="0"/>
    <x v="2"/>
    <x v="2"/>
    <n v="1"/>
    <n v="0"/>
    <n v="0"/>
  </r>
  <r>
    <x v="11"/>
    <x v="0"/>
    <x v="2"/>
    <x v="3"/>
    <n v="39"/>
    <n v="14"/>
    <n v="145.19792132410799"/>
  </r>
  <r>
    <x v="11"/>
    <x v="0"/>
    <x v="2"/>
    <x v="4"/>
    <n v="0"/>
    <n v="0"/>
    <n v="0"/>
  </r>
  <r>
    <x v="11"/>
    <x v="1"/>
    <x v="3"/>
    <x v="0"/>
    <n v="0"/>
    <n v="0"/>
    <n v="0"/>
  </r>
  <r>
    <x v="11"/>
    <x v="1"/>
    <x v="3"/>
    <x v="1"/>
    <n v="62"/>
    <n v="62"/>
    <n v="692.41037399050799"/>
  </r>
  <r>
    <x v="11"/>
    <x v="1"/>
    <x v="3"/>
    <x v="3"/>
    <n v="822"/>
    <n v="227"/>
    <n v="9730.8977114232603"/>
  </r>
  <r>
    <x v="11"/>
    <x v="1"/>
    <x v="3"/>
    <x v="4"/>
    <n v="0"/>
    <n v="0"/>
    <n v="0"/>
  </r>
  <r>
    <x v="11"/>
    <x v="1"/>
    <x v="4"/>
    <x v="0"/>
    <n v="0"/>
    <n v="0"/>
    <n v="0"/>
  </r>
  <r>
    <x v="11"/>
    <x v="1"/>
    <x v="4"/>
    <x v="1"/>
    <n v="43"/>
    <n v="43"/>
    <n v="475.42880831659897"/>
  </r>
  <r>
    <x v="11"/>
    <x v="1"/>
    <x v="4"/>
    <x v="3"/>
    <n v="609"/>
    <n v="162"/>
    <n v="7312.3744726213099"/>
  </r>
  <r>
    <x v="11"/>
    <x v="1"/>
    <x v="5"/>
    <x v="0"/>
    <n v="0"/>
    <n v="0"/>
    <n v="0"/>
  </r>
  <r>
    <x v="11"/>
    <x v="1"/>
    <x v="5"/>
    <x v="1"/>
    <n v="51"/>
    <n v="51"/>
    <n v="499.78354201782099"/>
  </r>
  <r>
    <x v="11"/>
    <x v="1"/>
    <x v="5"/>
    <x v="3"/>
    <n v="642"/>
    <n v="164"/>
    <n v="7181.0658257226196"/>
  </r>
  <r>
    <x v="11"/>
    <x v="1"/>
    <x v="5"/>
    <x v="4"/>
    <n v="0"/>
    <n v="0"/>
    <n v="0"/>
  </r>
  <r>
    <x v="12"/>
    <x v="0"/>
    <x v="0"/>
    <x v="0"/>
    <n v="0"/>
    <n v="0"/>
    <n v="0"/>
  </r>
  <r>
    <x v="12"/>
    <x v="0"/>
    <x v="0"/>
    <x v="1"/>
    <n v="15"/>
    <n v="15"/>
    <n v="60.266044485408202"/>
  </r>
  <r>
    <x v="12"/>
    <x v="0"/>
    <x v="0"/>
    <x v="2"/>
    <n v="3"/>
    <n v="1"/>
    <n v="8.1533101100282597"/>
  </r>
  <r>
    <x v="12"/>
    <x v="0"/>
    <x v="0"/>
    <x v="3"/>
    <n v="80"/>
    <n v="21"/>
    <n v="290.25796021903801"/>
  </r>
  <r>
    <x v="12"/>
    <x v="0"/>
    <x v="1"/>
    <x v="0"/>
    <n v="0"/>
    <n v="0"/>
    <n v="0"/>
  </r>
  <r>
    <x v="12"/>
    <x v="0"/>
    <x v="1"/>
    <x v="1"/>
    <n v="9"/>
    <n v="9"/>
    <n v="32.4333236296198"/>
  </r>
  <r>
    <x v="12"/>
    <x v="0"/>
    <x v="1"/>
    <x v="2"/>
    <n v="1"/>
    <n v="0"/>
    <n v="0"/>
  </r>
  <r>
    <x v="12"/>
    <x v="0"/>
    <x v="1"/>
    <x v="3"/>
    <n v="38"/>
    <n v="12"/>
    <n v="139.78589549521999"/>
  </r>
  <r>
    <x v="12"/>
    <x v="0"/>
    <x v="2"/>
    <x v="0"/>
    <n v="0"/>
    <n v="0"/>
    <n v="0"/>
  </r>
  <r>
    <x v="12"/>
    <x v="0"/>
    <x v="2"/>
    <x v="1"/>
    <n v="10"/>
    <n v="10"/>
    <n v="34.633911972046697"/>
  </r>
  <r>
    <x v="12"/>
    <x v="0"/>
    <x v="2"/>
    <x v="2"/>
    <n v="2"/>
    <n v="0"/>
    <n v="0"/>
  </r>
  <r>
    <x v="12"/>
    <x v="0"/>
    <x v="2"/>
    <x v="3"/>
    <n v="59"/>
    <n v="13"/>
    <n v="118.852646816346"/>
  </r>
  <r>
    <x v="12"/>
    <x v="1"/>
    <x v="3"/>
    <x v="0"/>
    <n v="0"/>
    <n v="0"/>
    <n v="0"/>
  </r>
  <r>
    <x v="12"/>
    <x v="1"/>
    <x v="3"/>
    <x v="1"/>
    <n v="46"/>
    <n v="46"/>
    <n v="470.06871684927501"/>
  </r>
  <r>
    <x v="12"/>
    <x v="1"/>
    <x v="3"/>
    <x v="3"/>
    <n v="623"/>
    <n v="167"/>
    <n v="7656.9977183294304"/>
  </r>
  <r>
    <x v="12"/>
    <x v="1"/>
    <x v="4"/>
    <x v="0"/>
    <n v="0"/>
    <n v="0"/>
    <n v="0"/>
  </r>
  <r>
    <x v="12"/>
    <x v="1"/>
    <x v="4"/>
    <x v="1"/>
    <n v="37"/>
    <n v="37"/>
    <n v="405.76582524454"/>
  </r>
  <r>
    <x v="12"/>
    <x v="1"/>
    <x v="4"/>
    <x v="3"/>
    <n v="469"/>
    <n v="121"/>
    <n v="5493.0592487091199"/>
  </r>
  <r>
    <x v="12"/>
    <x v="1"/>
    <x v="5"/>
    <x v="0"/>
    <n v="0"/>
    <n v="0"/>
    <n v="0"/>
  </r>
  <r>
    <x v="12"/>
    <x v="1"/>
    <x v="5"/>
    <x v="1"/>
    <n v="40"/>
    <n v="40"/>
    <n v="415.29880827470498"/>
  </r>
  <r>
    <x v="12"/>
    <x v="1"/>
    <x v="5"/>
    <x v="3"/>
    <n v="522"/>
    <n v="129"/>
    <n v="5815.3248859693103"/>
  </r>
  <r>
    <x v="13"/>
    <x v="0"/>
    <x v="0"/>
    <x v="0"/>
    <n v="0"/>
    <n v="0"/>
    <n v="0"/>
  </r>
  <r>
    <x v="13"/>
    <x v="0"/>
    <x v="0"/>
    <x v="1"/>
    <n v="6"/>
    <n v="6"/>
    <n v="19.065597190223301"/>
  </r>
  <r>
    <x v="13"/>
    <x v="0"/>
    <x v="0"/>
    <x v="2"/>
    <n v="0"/>
    <n v="0"/>
    <n v="0"/>
  </r>
  <r>
    <x v="13"/>
    <x v="0"/>
    <x v="0"/>
    <x v="3"/>
    <n v="72"/>
    <n v="20"/>
    <n v="231.000504854312"/>
  </r>
  <r>
    <x v="13"/>
    <x v="0"/>
    <x v="1"/>
    <x v="0"/>
    <n v="0"/>
    <n v="0"/>
    <n v="0"/>
  </r>
  <r>
    <x v="13"/>
    <x v="0"/>
    <x v="1"/>
    <x v="1"/>
    <n v="8"/>
    <n v="8"/>
    <n v="26.700866415837002"/>
  </r>
  <r>
    <x v="13"/>
    <x v="0"/>
    <x v="1"/>
    <x v="2"/>
    <n v="1"/>
    <n v="1"/>
    <n v="9.2263843648208397"/>
  </r>
  <r>
    <x v="13"/>
    <x v="0"/>
    <x v="1"/>
    <x v="3"/>
    <n v="34"/>
    <n v="17"/>
    <n v="168.95908452655601"/>
  </r>
  <r>
    <x v="13"/>
    <x v="0"/>
    <x v="1"/>
    <x v="4"/>
    <n v="0"/>
    <n v="0"/>
    <n v="0"/>
  </r>
  <r>
    <x v="13"/>
    <x v="0"/>
    <x v="2"/>
    <x v="0"/>
    <n v="0"/>
    <n v="0"/>
    <n v="0"/>
  </r>
  <r>
    <x v="13"/>
    <x v="0"/>
    <x v="2"/>
    <x v="1"/>
    <n v="9"/>
    <n v="9"/>
    <n v="31.0206312137014"/>
  </r>
  <r>
    <x v="13"/>
    <x v="0"/>
    <x v="2"/>
    <x v="2"/>
    <n v="1"/>
    <n v="1"/>
    <n v="11.3610388015298"/>
  </r>
  <r>
    <x v="13"/>
    <x v="0"/>
    <x v="2"/>
    <x v="3"/>
    <n v="44"/>
    <n v="9"/>
    <n v="109.06254814853"/>
  </r>
  <r>
    <x v="13"/>
    <x v="0"/>
    <x v="2"/>
    <x v="4"/>
    <n v="0"/>
    <n v="0"/>
    <n v="0"/>
  </r>
  <r>
    <x v="13"/>
    <x v="1"/>
    <x v="3"/>
    <x v="0"/>
    <n v="0"/>
    <n v="0"/>
    <n v="0"/>
  </r>
  <r>
    <x v="13"/>
    <x v="1"/>
    <x v="3"/>
    <x v="1"/>
    <n v="49"/>
    <n v="49"/>
    <n v="565.37810869753105"/>
  </r>
  <r>
    <x v="13"/>
    <x v="1"/>
    <x v="3"/>
    <x v="3"/>
    <n v="616"/>
    <n v="155"/>
    <n v="6590.1464633723399"/>
  </r>
  <r>
    <x v="13"/>
    <x v="1"/>
    <x v="4"/>
    <x v="0"/>
    <n v="0"/>
    <n v="0"/>
    <n v="0"/>
  </r>
  <r>
    <x v="13"/>
    <x v="1"/>
    <x v="4"/>
    <x v="1"/>
    <n v="40"/>
    <n v="40"/>
    <n v="448.04197809409902"/>
  </r>
  <r>
    <x v="13"/>
    <x v="1"/>
    <x v="4"/>
    <x v="3"/>
    <n v="445"/>
    <n v="120"/>
    <n v="5249.5670904764502"/>
  </r>
  <r>
    <x v="13"/>
    <x v="1"/>
    <x v="5"/>
    <x v="0"/>
    <n v="0"/>
    <n v="0"/>
    <n v="0"/>
  </r>
  <r>
    <x v="13"/>
    <x v="1"/>
    <x v="5"/>
    <x v="1"/>
    <n v="34"/>
    <n v="34"/>
    <n v="381.273512112155"/>
  </r>
  <r>
    <x v="13"/>
    <x v="1"/>
    <x v="5"/>
    <x v="3"/>
    <n v="463"/>
    <n v="107"/>
    <n v="4572.6684393959104"/>
  </r>
  <r>
    <x v="14"/>
    <x v="0"/>
    <x v="0"/>
    <x v="0"/>
    <n v="0"/>
    <n v="0"/>
    <n v="0"/>
  </r>
  <r>
    <x v="14"/>
    <x v="0"/>
    <x v="0"/>
    <x v="1"/>
    <n v="14"/>
    <n v="14"/>
    <n v="48.744031869908"/>
  </r>
  <r>
    <x v="14"/>
    <x v="0"/>
    <x v="0"/>
    <x v="2"/>
    <n v="2"/>
    <n v="1"/>
    <n v="8.99"/>
  </r>
  <r>
    <x v="14"/>
    <x v="0"/>
    <x v="0"/>
    <x v="3"/>
    <n v="66"/>
    <n v="18"/>
    <n v="200.446703263807"/>
  </r>
  <r>
    <x v="14"/>
    <x v="0"/>
    <x v="1"/>
    <x v="0"/>
    <n v="0"/>
    <n v="0"/>
    <n v="0"/>
  </r>
  <r>
    <x v="14"/>
    <x v="0"/>
    <x v="1"/>
    <x v="1"/>
    <n v="8"/>
    <n v="8"/>
    <n v="26.838189482425101"/>
  </r>
  <r>
    <x v="14"/>
    <x v="0"/>
    <x v="1"/>
    <x v="2"/>
    <n v="3"/>
    <n v="1"/>
    <n v="9.93"/>
  </r>
  <r>
    <x v="14"/>
    <x v="0"/>
    <x v="1"/>
    <x v="3"/>
    <n v="34"/>
    <n v="12"/>
    <n v="123.17190069196501"/>
  </r>
  <r>
    <x v="14"/>
    <x v="0"/>
    <x v="2"/>
    <x v="0"/>
    <n v="0"/>
    <n v="0"/>
    <n v="0"/>
  </r>
  <r>
    <x v="14"/>
    <x v="0"/>
    <x v="2"/>
    <x v="1"/>
    <n v="9"/>
    <n v="9"/>
    <n v="31.628667047125798"/>
  </r>
  <r>
    <x v="14"/>
    <x v="0"/>
    <x v="2"/>
    <x v="2"/>
    <n v="0"/>
    <n v="0"/>
    <n v="0"/>
  </r>
  <r>
    <x v="14"/>
    <x v="0"/>
    <x v="2"/>
    <x v="3"/>
    <n v="59"/>
    <n v="14"/>
    <n v="159.744599895492"/>
  </r>
  <r>
    <x v="14"/>
    <x v="1"/>
    <x v="3"/>
    <x v="0"/>
    <n v="0"/>
    <n v="0"/>
    <n v="0"/>
  </r>
  <r>
    <x v="14"/>
    <x v="1"/>
    <x v="3"/>
    <x v="1"/>
    <n v="53"/>
    <n v="53"/>
    <n v="598.20189454928095"/>
  </r>
  <r>
    <x v="14"/>
    <x v="1"/>
    <x v="3"/>
    <x v="3"/>
    <n v="545"/>
    <n v="154"/>
    <n v="6448.3907772946404"/>
  </r>
  <r>
    <x v="14"/>
    <x v="1"/>
    <x v="4"/>
    <x v="0"/>
    <n v="0"/>
    <n v="0"/>
    <n v="0"/>
  </r>
  <r>
    <x v="14"/>
    <x v="1"/>
    <x v="4"/>
    <x v="1"/>
    <n v="38"/>
    <n v="38"/>
    <n v="340.27554226125801"/>
  </r>
  <r>
    <x v="14"/>
    <x v="1"/>
    <x v="4"/>
    <x v="3"/>
    <n v="464"/>
    <n v="116"/>
    <n v="4990.2606477596601"/>
  </r>
  <r>
    <x v="14"/>
    <x v="1"/>
    <x v="5"/>
    <x v="0"/>
    <n v="0"/>
    <n v="0"/>
    <n v="0"/>
  </r>
  <r>
    <x v="14"/>
    <x v="1"/>
    <x v="5"/>
    <x v="1"/>
    <n v="30"/>
    <n v="30"/>
    <n v="308.91113622717802"/>
  </r>
  <r>
    <x v="14"/>
    <x v="1"/>
    <x v="5"/>
    <x v="3"/>
    <n v="492"/>
    <n v="137"/>
    <n v="5981.2252316233198"/>
  </r>
  <r>
    <x v="15"/>
    <x v="0"/>
    <x v="0"/>
    <x v="0"/>
    <n v="0"/>
    <n v="0"/>
    <n v="0"/>
  </r>
  <r>
    <x v="15"/>
    <x v="0"/>
    <x v="0"/>
    <x v="1"/>
    <n v="12"/>
    <n v="12"/>
    <n v="38.563602640165001"/>
  </r>
  <r>
    <x v="15"/>
    <x v="0"/>
    <x v="0"/>
    <x v="2"/>
    <n v="2"/>
    <n v="0"/>
    <n v="0"/>
  </r>
  <r>
    <x v="15"/>
    <x v="0"/>
    <x v="0"/>
    <x v="3"/>
    <n v="68"/>
    <n v="20"/>
    <n v="236.63390697384301"/>
  </r>
  <r>
    <x v="15"/>
    <x v="0"/>
    <x v="1"/>
    <x v="0"/>
    <n v="0"/>
    <n v="0"/>
    <n v="0"/>
  </r>
  <r>
    <x v="15"/>
    <x v="0"/>
    <x v="1"/>
    <x v="1"/>
    <n v="17"/>
    <n v="17"/>
    <n v="67.790872619910701"/>
  </r>
  <r>
    <x v="15"/>
    <x v="0"/>
    <x v="1"/>
    <x v="2"/>
    <n v="1"/>
    <n v="0"/>
    <n v="0"/>
  </r>
  <r>
    <x v="15"/>
    <x v="0"/>
    <x v="1"/>
    <x v="3"/>
    <n v="36"/>
    <n v="8"/>
    <n v="75.791306715191396"/>
  </r>
  <r>
    <x v="15"/>
    <x v="0"/>
    <x v="2"/>
    <x v="0"/>
    <n v="0"/>
    <n v="0"/>
    <n v="0"/>
  </r>
  <r>
    <x v="15"/>
    <x v="0"/>
    <x v="2"/>
    <x v="1"/>
    <n v="13"/>
    <n v="13"/>
    <n v="49.024131612157802"/>
  </r>
  <r>
    <x v="15"/>
    <x v="0"/>
    <x v="2"/>
    <x v="2"/>
    <n v="3"/>
    <n v="1"/>
    <n v="8.99"/>
  </r>
  <r>
    <x v="15"/>
    <x v="0"/>
    <x v="2"/>
    <x v="3"/>
    <n v="59"/>
    <n v="17"/>
    <n v="316.45810995915099"/>
  </r>
  <r>
    <x v="15"/>
    <x v="1"/>
    <x v="3"/>
    <x v="0"/>
    <n v="0"/>
    <n v="0"/>
    <n v="0"/>
  </r>
  <r>
    <x v="15"/>
    <x v="1"/>
    <x v="3"/>
    <x v="1"/>
    <n v="44"/>
    <n v="44"/>
    <n v="500.30732737694899"/>
  </r>
  <r>
    <x v="15"/>
    <x v="1"/>
    <x v="3"/>
    <x v="3"/>
    <n v="644"/>
    <n v="175"/>
    <n v="6849.89133676036"/>
  </r>
  <r>
    <x v="15"/>
    <x v="1"/>
    <x v="4"/>
    <x v="0"/>
    <n v="0"/>
    <n v="0"/>
    <n v="0"/>
  </r>
  <r>
    <x v="15"/>
    <x v="1"/>
    <x v="4"/>
    <x v="1"/>
    <n v="24"/>
    <n v="24"/>
    <n v="258.14105113577398"/>
  </r>
  <r>
    <x v="15"/>
    <x v="1"/>
    <x v="4"/>
    <x v="3"/>
    <n v="509"/>
    <n v="137"/>
    <n v="5991.9924929137596"/>
  </r>
  <r>
    <x v="15"/>
    <x v="1"/>
    <x v="5"/>
    <x v="0"/>
    <n v="0"/>
    <n v="0"/>
    <n v="0"/>
  </r>
  <r>
    <x v="15"/>
    <x v="1"/>
    <x v="5"/>
    <x v="1"/>
    <n v="40"/>
    <n v="40"/>
    <n v="406.43814959267399"/>
  </r>
  <r>
    <x v="15"/>
    <x v="1"/>
    <x v="5"/>
    <x v="3"/>
    <n v="592"/>
    <n v="155"/>
    <n v="6390.6066463949401"/>
  </r>
  <r>
    <x v="16"/>
    <x v="0"/>
    <x v="0"/>
    <x v="0"/>
    <n v="0"/>
    <n v="0"/>
    <n v="0"/>
  </r>
  <r>
    <x v="16"/>
    <x v="0"/>
    <x v="0"/>
    <x v="1"/>
    <n v="13"/>
    <n v="13"/>
    <n v="44.4757733797396"/>
  </r>
  <r>
    <x v="16"/>
    <x v="0"/>
    <x v="0"/>
    <x v="2"/>
    <n v="3"/>
    <n v="1"/>
    <n v="9.7895004537126393"/>
  </r>
  <r>
    <x v="16"/>
    <x v="0"/>
    <x v="0"/>
    <x v="3"/>
    <n v="67"/>
    <n v="20"/>
    <n v="197.51568458166599"/>
  </r>
  <r>
    <x v="16"/>
    <x v="0"/>
    <x v="1"/>
    <x v="0"/>
    <n v="0"/>
    <n v="0"/>
    <n v="0"/>
  </r>
  <r>
    <x v="16"/>
    <x v="0"/>
    <x v="1"/>
    <x v="1"/>
    <n v="15"/>
    <n v="15"/>
    <n v="52.377183812563302"/>
  </r>
  <r>
    <x v="16"/>
    <x v="0"/>
    <x v="1"/>
    <x v="2"/>
    <n v="1"/>
    <n v="1"/>
    <n v="9.9628938196824492"/>
  </r>
  <r>
    <x v="16"/>
    <x v="0"/>
    <x v="1"/>
    <x v="3"/>
    <n v="48"/>
    <n v="13"/>
    <n v="176.737982714802"/>
  </r>
  <r>
    <x v="16"/>
    <x v="0"/>
    <x v="2"/>
    <x v="0"/>
    <n v="0"/>
    <n v="0"/>
    <n v="0"/>
  </r>
  <r>
    <x v="16"/>
    <x v="0"/>
    <x v="2"/>
    <x v="1"/>
    <n v="22"/>
    <n v="22"/>
    <n v="77.680324453205301"/>
  </r>
  <r>
    <x v="16"/>
    <x v="0"/>
    <x v="2"/>
    <x v="2"/>
    <n v="0"/>
    <n v="0"/>
    <n v="0"/>
  </r>
  <r>
    <x v="16"/>
    <x v="0"/>
    <x v="2"/>
    <x v="3"/>
    <n v="59"/>
    <n v="16"/>
    <n v="254.795156347816"/>
  </r>
  <r>
    <x v="16"/>
    <x v="0"/>
    <x v="2"/>
    <x v="4"/>
    <n v="0"/>
    <n v="0"/>
    <n v="0"/>
  </r>
  <r>
    <x v="16"/>
    <x v="1"/>
    <x v="3"/>
    <x v="0"/>
    <n v="0"/>
    <n v="0"/>
    <n v="0"/>
  </r>
  <r>
    <x v="16"/>
    <x v="1"/>
    <x v="3"/>
    <x v="1"/>
    <n v="41"/>
    <n v="41"/>
    <n v="426.17383323448598"/>
  </r>
  <r>
    <x v="16"/>
    <x v="1"/>
    <x v="3"/>
    <x v="3"/>
    <n v="868"/>
    <n v="234"/>
    <n v="8210.0139180296901"/>
  </r>
  <r>
    <x v="16"/>
    <x v="1"/>
    <x v="4"/>
    <x v="0"/>
    <n v="0"/>
    <n v="0"/>
    <n v="0"/>
  </r>
  <r>
    <x v="16"/>
    <x v="1"/>
    <x v="4"/>
    <x v="1"/>
    <n v="37"/>
    <n v="37"/>
    <n v="386.73016374486701"/>
  </r>
  <r>
    <x v="16"/>
    <x v="1"/>
    <x v="4"/>
    <x v="3"/>
    <n v="733"/>
    <n v="177"/>
    <n v="6854.6478971698398"/>
  </r>
  <r>
    <x v="16"/>
    <x v="1"/>
    <x v="5"/>
    <x v="0"/>
    <n v="0"/>
    <n v="0"/>
    <n v="0"/>
  </r>
  <r>
    <x v="16"/>
    <x v="1"/>
    <x v="5"/>
    <x v="1"/>
    <n v="28"/>
    <n v="28"/>
    <n v="255.886996757123"/>
  </r>
  <r>
    <x v="16"/>
    <x v="1"/>
    <x v="5"/>
    <x v="3"/>
    <n v="697"/>
    <n v="155"/>
    <n v="5767.3912257143302"/>
  </r>
  <r>
    <x v="17"/>
    <x v="0"/>
    <x v="0"/>
    <x v="0"/>
    <n v="0"/>
    <n v="0"/>
    <n v="0"/>
  </r>
  <r>
    <x v="17"/>
    <x v="0"/>
    <x v="0"/>
    <x v="1"/>
    <n v="21"/>
    <n v="21"/>
    <n v="79.987640857482504"/>
  </r>
  <r>
    <x v="17"/>
    <x v="0"/>
    <x v="0"/>
    <x v="2"/>
    <n v="3"/>
    <n v="1"/>
    <n v="9.5299999999999994"/>
  </r>
  <r>
    <x v="17"/>
    <x v="0"/>
    <x v="0"/>
    <x v="3"/>
    <n v="103"/>
    <n v="15"/>
    <n v="179.76863057723401"/>
  </r>
  <r>
    <x v="17"/>
    <x v="0"/>
    <x v="0"/>
    <x v="4"/>
    <n v="0"/>
    <n v="0"/>
    <n v="0"/>
  </r>
  <r>
    <x v="17"/>
    <x v="0"/>
    <x v="1"/>
    <x v="0"/>
    <n v="0"/>
    <n v="0"/>
    <n v="0"/>
  </r>
  <r>
    <x v="17"/>
    <x v="0"/>
    <x v="1"/>
    <x v="1"/>
    <n v="16"/>
    <n v="16"/>
    <n v="50.8035030391856"/>
  </r>
  <r>
    <x v="17"/>
    <x v="0"/>
    <x v="1"/>
    <x v="2"/>
    <n v="2"/>
    <n v="0"/>
    <n v="0"/>
  </r>
  <r>
    <x v="17"/>
    <x v="0"/>
    <x v="1"/>
    <x v="3"/>
    <n v="52"/>
    <n v="9"/>
    <n v="129.392645012972"/>
  </r>
  <r>
    <x v="17"/>
    <x v="0"/>
    <x v="2"/>
    <x v="0"/>
    <n v="0"/>
    <n v="0"/>
    <n v="0"/>
  </r>
  <r>
    <x v="17"/>
    <x v="0"/>
    <x v="2"/>
    <x v="1"/>
    <n v="17"/>
    <n v="17"/>
    <n v="57.564076500015801"/>
  </r>
  <r>
    <x v="17"/>
    <x v="0"/>
    <x v="2"/>
    <x v="2"/>
    <n v="1"/>
    <n v="0"/>
    <n v="0"/>
  </r>
  <r>
    <x v="17"/>
    <x v="0"/>
    <x v="2"/>
    <x v="3"/>
    <n v="74"/>
    <n v="17"/>
    <n v="213.87695716232699"/>
  </r>
  <r>
    <x v="17"/>
    <x v="1"/>
    <x v="3"/>
    <x v="0"/>
    <n v="0"/>
    <n v="0"/>
    <n v="0"/>
  </r>
  <r>
    <x v="17"/>
    <x v="1"/>
    <x v="3"/>
    <x v="1"/>
    <n v="44"/>
    <n v="44"/>
    <n v="496.52122947668198"/>
  </r>
  <r>
    <x v="17"/>
    <x v="1"/>
    <x v="3"/>
    <x v="3"/>
    <n v="1094"/>
    <n v="261"/>
    <n v="10537.797572732199"/>
  </r>
  <r>
    <x v="17"/>
    <x v="1"/>
    <x v="4"/>
    <x v="0"/>
    <n v="0"/>
    <n v="0"/>
    <n v="0"/>
  </r>
  <r>
    <x v="17"/>
    <x v="1"/>
    <x v="4"/>
    <x v="1"/>
    <n v="41"/>
    <n v="41"/>
    <n v="398.83666906471097"/>
  </r>
  <r>
    <x v="17"/>
    <x v="1"/>
    <x v="4"/>
    <x v="3"/>
    <n v="886"/>
    <n v="214"/>
    <n v="7828.2068158688899"/>
  </r>
  <r>
    <x v="17"/>
    <x v="1"/>
    <x v="5"/>
    <x v="0"/>
    <n v="0"/>
    <n v="0"/>
    <n v="0"/>
  </r>
  <r>
    <x v="17"/>
    <x v="1"/>
    <x v="5"/>
    <x v="1"/>
    <n v="50"/>
    <n v="50"/>
    <n v="513.51346610690405"/>
  </r>
  <r>
    <x v="17"/>
    <x v="1"/>
    <x v="5"/>
    <x v="3"/>
    <n v="877"/>
    <n v="187"/>
    <n v="6780.52571319765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0">
  <r>
    <d v="2024-05-01T00:00:00"/>
    <x v="0"/>
    <x v="0"/>
  </r>
  <r>
    <d v="2024-05-01T00:00:00"/>
    <x v="1"/>
    <x v="1"/>
  </r>
  <r>
    <d v="2024-05-01T00:00:00"/>
    <x v="2"/>
    <x v="2"/>
  </r>
  <r>
    <d v="2024-05-01T00:00:00"/>
    <x v="3"/>
    <x v="3"/>
  </r>
  <r>
    <d v="2024-05-01T00:00:00"/>
    <x v="4"/>
    <x v="4"/>
  </r>
  <r>
    <d v="2024-05-01T00:00:00"/>
    <x v="5"/>
    <x v="5"/>
  </r>
  <r>
    <d v="2024-05-01T00:00:00"/>
    <x v="6"/>
    <x v="6"/>
  </r>
  <r>
    <d v="2024-05-01T00:00:00"/>
    <x v="7"/>
    <x v="7"/>
  </r>
  <r>
    <d v="2024-05-01T00:00:00"/>
    <x v="8"/>
    <x v="8"/>
  </r>
  <r>
    <d v="2024-05-01T00:00:00"/>
    <x v="9"/>
    <x v="9"/>
  </r>
  <r>
    <d v="2024-05-02T00:00:00"/>
    <x v="5"/>
    <x v="10"/>
  </r>
  <r>
    <d v="2024-05-02T00:00:00"/>
    <x v="8"/>
    <x v="11"/>
  </r>
  <r>
    <d v="2024-05-02T00:00:00"/>
    <x v="1"/>
    <x v="12"/>
  </r>
  <r>
    <d v="2024-05-02T00:00:00"/>
    <x v="6"/>
    <x v="13"/>
  </r>
  <r>
    <d v="2024-05-02T00:00:00"/>
    <x v="2"/>
    <x v="14"/>
  </r>
  <r>
    <d v="2024-05-02T00:00:00"/>
    <x v="9"/>
    <x v="15"/>
  </r>
  <r>
    <d v="2024-05-02T00:00:00"/>
    <x v="3"/>
    <x v="16"/>
  </r>
  <r>
    <d v="2024-05-02T00:00:00"/>
    <x v="7"/>
    <x v="17"/>
  </r>
  <r>
    <d v="2024-05-02T00:00:00"/>
    <x v="0"/>
    <x v="18"/>
  </r>
  <r>
    <d v="2024-05-02T00:00:00"/>
    <x v="4"/>
    <x v="19"/>
  </r>
  <r>
    <d v="2024-05-03T00:00:00"/>
    <x v="8"/>
    <x v="20"/>
  </r>
  <r>
    <d v="2024-05-03T00:00:00"/>
    <x v="1"/>
    <x v="21"/>
  </r>
  <r>
    <d v="2024-05-03T00:00:00"/>
    <x v="6"/>
    <x v="22"/>
  </r>
  <r>
    <d v="2024-05-03T00:00:00"/>
    <x v="5"/>
    <x v="23"/>
  </r>
  <r>
    <d v="2024-05-03T00:00:00"/>
    <x v="2"/>
    <x v="24"/>
  </r>
  <r>
    <d v="2024-05-03T00:00:00"/>
    <x v="9"/>
    <x v="25"/>
  </r>
  <r>
    <d v="2024-05-03T00:00:00"/>
    <x v="7"/>
    <x v="26"/>
  </r>
  <r>
    <d v="2024-05-03T00:00:00"/>
    <x v="4"/>
    <x v="27"/>
  </r>
  <r>
    <d v="2024-05-03T00:00:00"/>
    <x v="0"/>
    <x v="28"/>
  </r>
  <r>
    <d v="2024-05-03T00:00:00"/>
    <x v="3"/>
    <x v="29"/>
  </r>
  <r>
    <d v="2024-05-04T00:00:00"/>
    <x v="2"/>
    <x v="30"/>
  </r>
  <r>
    <d v="2024-05-04T00:00:00"/>
    <x v="1"/>
    <x v="31"/>
  </r>
  <r>
    <d v="2024-05-04T00:00:00"/>
    <x v="5"/>
    <x v="32"/>
  </r>
  <r>
    <d v="2024-05-04T00:00:00"/>
    <x v="3"/>
    <x v="33"/>
  </r>
  <r>
    <d v="2024-05-04T00:00:00"/>
    <x v="6"/>
    <x v="34"/>
  </r>
  <r>
    <d v="2024-05-04T00:00:00"/>
    <x v="7"/>
    <x v="35"/>
  </r>
  <r>
    <d v="2024-05-04T00:00:00"/>
    <x v="9"/>
    <x v="36"/>
  </r>
  <r>
    <d v="2024-05-04T00:00:00"/>
    <x v="0"/>
    <x v="37"/>
  </r>
  <r>
    <d v="2024-05-04T00:00:00"/>
    <x v="8"/>
    <x v="38"/>
  </r>
  <r>
    <d v="2024-05-04T00:00:00"/>
    <x v="4"/>
    <x v="39"/>
  </r>
  <r>
    <d v="2024-05-05T00:00:00"/>
    <x v="9"/>
    <x v="40"/>
  </r>
  <r>
    <d v="2024-05-05T00:00:00"/>
    <x v="3"/>
    <x v="41"/>
  </r>
  <r>
    <d v="2024-05-05T00:00:00"/>
    <x v="2"/>
    <x v="42"/>
  </r>
  <r>
    <d v="2024-05-05T00:00:00"/>
    <x v="8"/>
    <x v="43"/>
  </r>
  <r>
    <d v="2024-05-05T00:00:00"/>
    <x v="6"/>
    <x v="44"/>
  </r>
  <r>
    <d v="2024-05-05T00:00:00"/>
    <x v="1"/>
    <x v="45"/>
  </r>
  <r>
    <d v="2024-05-05T00:00:00"/>
    <x v="5"/>
    <x v="46"/>
  </r>
  <r>
    <d v="2024-05-05T00:00:00"/>
    <x v="0"/>
    <x v="47"/>
  </r>
  <r>
    <d v="2024-05-05T00:00:00"/>
    <x v="4"/>
    <x v="48"/>
  </r>
  <r>
    <d v="2024-05-05T00:00:00"/>
    <x v="7"/>
    <x v="49"/>
  </r>
  <r>
    <d v="2024-05-06T00:00:00"/>
    <x v="4"/>
    <x v="50"/>
  </r>
  <r>
    <d v="2024-05-06T00:00:00"/>
    <x v="2"/>
    <x v="51"/>
  </r>
  <r>
    <d v="2024-05-06T00:00:00"/>
    <x v="6"/>
    <x v="52"/>
  </r>
  <r>
    <d v="2024-05-06T00:00:00"/>
    <x v="5"/>
    <x v="53"/>
  </r>
  <r>
    <d v="2024-05-06T00:00:00"/>
    <x v="1"/>
    <x v="54"/>
  </r>
  <r>
    <d v="2024-05-06T00:00:00"/>
    <x v="8"/>
    <x v="55"/>
  </r>
  <r>
    <d v="2024-05-06T00:00:00"/>
    <x v="3"/>
    <x v="56"/>
  </r>
  <r>
    <d v="2024-05-06T00:00:00"/>
    <x v="9"/>
    <x v="57"/>
  </r>
  <r>
    <d v="2024-05-06T00:00:00"/>
    <x v="0"/>
    <x v="58"/>
  </r>
  <r>
    <d v="2024-05-06T00:00:00"/>
    <x v="7"/>
    <x v="59"/>
  </r>
  <r>
    <d v="2024-05-07T00:00:00"/>
    <x v="8"/>
    <x v="60"/>
  </r>
  <r>
    <d v="2024-05-07T00:00:00"/>
    <x v="3"/>
    <x v="61"/>
  </r>
  <r>
    <d v="2024-05-07T00:00:00"/>
    <x v="2"/>
    <x v="62"/>
  </r>
  <r>
    <d v="2024-05-07T00:00:00"/>
    <x v="5"/>
    <x v="63"/>
  </r>
  <r>
    <d v="2024-05-07T00:00:00"/>
    <x v="1"/>
    <x v="64"/>
  </r>
  <r>
    <d v="2024-05-07T00:00:00"/>
    <x v="4"/>
    <x v="65"/>
  </r>
  <r>
    <d v="2024-05-07T00:00:00"/>
    <x v="9"/>
    <x v="66"/>
  </r>
  <r>
    <d v="2024-05-07T00:00:00"/>
    <x v="7"/>
    <x v="67"/>
  </r>
  <r>
    <d v="2024-05-07T00:00:00"/>
    <x v="0"/>
    <x v="68"/>
  </r>
  <r>
    <d v="2024-05-07T00:00:00"/>
    <x v="6"/>
    <x v="69"/>
  </r>
  <r>
    <d v="2024-05-08T00:00:00"/>
    <x v="9"/>
    <x v="70"/>
  </r>
  <r>
    <d v="2024-05-08T00:00:00"/>
    <x v="5"/>
    <x v="71"/>
  </r>
  <r>
    <d v="2024-05-08T00:00:00"/>
    <x v="7"/>
    <x v="72"/>
  </r>
  <r>
    <d v="2024-05-08T00:00:00"/>
    <x v="6"/>
    <x v="73"/>
  </r>
  <r>
    <d v="2024-05-08T00:00:00"/>
    <x v="1"/>
    <x v="74"/>
  </r>
  <r>
    <d v="2024-05-08T00:00:00"/>
    <x v="8"/>
    <x v="75"/>
  </r>
  <r>
    <d v="2024-05-08T00:00:00"/>
    <x v="0"/>
    <x v="76"/>
  </r>
  <r>
    <d v="2024-05-08T00:00:00"/>
    <x v="3"/>
    <x v="77"/>
  </r>
  <r>
    <d v="2024-05-08T00:00:00"/>
    <x v="4"/>
    <x v="78"/>
  </r>
  <r>
    <d v="2024-05-08T00:00:00"/>
    <x v="2"/>
    <x v="79"/>
  </r>
  <r>
    <d v="2024-05-09T00:00:00"/>
    <x v="2"/>
    <x v="80"/>
  </r>
  <r>
    <d v="2024-05-09T00:00:00"/>
    <x v="5"/>
    <x v="81"/>
  </r>
  <r>
    <d v="2024-05-09T00:00:00"/>
    <x v="6"/>
    <x v="82"/>
  </r>
  <r>
    <d v="2024-05-09T00:00:00"/>
    <x v="7"/>
    <x v="83"/>
  </r>
  <r>
    <d v="2024-05-09T00:00:00"/>
    <x v="4"/>
    <x v="84"/>
  </r>
  <r>
    <d v="2024-05-09T00:00:00"/>
    <x v="0"/>
    <x v="85"/>
  </r>
  <r>
    <d v="2024-05-09T00:00:00"/>
    <x v="9"/>
    <x v="86"/>
  </r>
  <r>
    <d v="2024-05-09T00:00:00"/>
    <x v="3"/>
    <x v="87"/>
  </r>
  <r>
    <d v="2024-05-09T00:00:00"/>
    <x v="8"/>
    <x v="88"/>
  </r>
  <r>
    <d v="2024-05-09T00:00:00"/>
    <x v="1"/>
    <x v="89"/>
  </r>
  <r>
    <d v="2024-05-10T00:00:00"/>
    <x v="6"/>
    <x v="90"/>
  </r>
  <r>
    <d v="2024-05-10T00:00:00"/>
    <x v="9"/>
    <x v="91"/>
  </r>
  <r>
    <d v="2024-05-10T00:00:00"/>
    <x v="2"/>
    <x v="92"/>
  </r>
  <r>
    <d v="2024-05-10T00:00:00"/>
    <x v="8"/>
    <x v="93"/>
  </r>
  <r>
    <d v="2024-05-10T00:00:00"/>
    <x v="7"/>
    <x v="94"/>
  </r>
  <r>
    <d v="2024-05-10T00:00:00"/>
    <x v="1"/>
    <x v="95"/>
  </r>
  <r>
    <d v="2024-05-10T00:00:00"/>
    <x v="0"/>
    <x v="96"/>
  </r>
  <r>
    <d v="2024-05-10T00:00:00"/>
    <x v="5"/>
    <x v="97"/>
  </r>
  <r>
    <d v="2024-05-10T00:00:00"/>
    <x v="3"/>
    <x v="98"/>
  </r>
  <r>
    <d v="2024-05-10T00:00:00"/>
    <x v="4"/>
    <x v="99"/>
  </r>
  <r>
    <d v="2024-05-11T00:00:00"/>
    <x v="1"/>
    <x v="100"/>
  </r>
  <r>
    <d v="2024-05-11T00:00:00"/>
    <x v="5"/>
    <x v="101"/>
  </r>
  <r>
    <d v="2024-05-11T00:00:00"/>
    <x v="7"/>
    <x v="102"/>
  </r>
  <r>
    <d v="2024-05-11T00:00:00"/>
    <x v="4"/>
    <x v="103"/>
  </r>
  <r>
    <d v="2024-05-11T00:00:00"/>
    <x v="0"/>
    <x v="104"/>
  </r>
  <r>
    <d v="2024-05-11T00:00:00"/>
    <x v="6"/>
    <x v="105"/>
  </r>
  <r>
    <d v="2024-05-11T00:00:00"/>
    <x v="9"/>
    <x v="106"/>
  </r>
  <r>
    <d v="2024-05-11T00:00:00"/>
    <x v="2"/>
    <x v="107"/>
  </r>
  <r>
    <d v="2024-05-11T00:00:00"/>
    <x v="3"/>
    <x v="108"/>
  </r>
  <r>
    <d v="2024-05-11T00:00:00"/>
    <x v="8"/>
    <x v="109"/>
  </r>
  <r>
    <d v="2024-05-12T00:00:00"/>
    <x v="4"/>
    <x v="110"/>
  </r>
  <r>
    <d v="2024-05-12T00:00:00"/>
    <x v="0"/>
    <x v="111"/>
  </r>
  <r>
    <d v="2024-05-12T00:00:00"/>
    <x v="1"/>
    <x v="112"/>
  </r>
  <r>
    <d v="2024-05-12T00:00:00"/>
    <x v="2"/>
    <x v="113"/>
  </r>
  <r>
    <d v="2024-05-12T00:00:00"/>
    <x v="8"/>
    <x v="114"/>
  </r>
  <r>
    <d v="2024-05-12T00:00:00"/>
    <x v="9"/>
    <x v="115"/>
  </r>
  <r>
    <d v="2024-05-12T00:00:00"/>
    <x v="7"/>
    <x v="116"/>
  </r>
  <r>
    <d v="2024-05-12T00:00:00"/>
    <x v="6"/>
    <x v="117"/>
  </r>
  <r>
    <d v="2024-05-12T00:00:00"/>
    <x v="5"/>
    <x v="118"/>
  </r>
  <r>
    <d v="2024-05-12T00:00:00"/>
    <x v="3"/>
    <x v="119"/>
  </r>
  <r>
    <d v="2024-05-13T00:00:00"/>
    <x v="6"/>
    <x v="120"/>
  </r>
  <r>
    <d v="2024-05-13T00:00:00"/>
    <x v="0"/>
    <x v="121"/>
  </r>
  <r>
    <d v="2024-05-13T00:00:00"/>
    <x v="1"/>
    <x v="122"/>
  </r>
  <r>
    <d v="2024-05-13T00:00:00"/>
    <x v="7"/>
    <x v="123"/>
  </r>
  <r>
    <d v="2024-05-13T00:00:00"/>
    <x v="8"/>
    <x v="124"/>
  </r>
  <r>
    <d v="2024-05-13T00:00:00"/>
    <x v="9"/>
    <x v="125"/>
  </r>
  <r>
    <d v="2024-05-13T00:00:00"/>
    <x v="4"/>
    <x v="126"/>
  </r>
  <r>
    <d v="2024-05-13T00:00:00"/>
    <x v="5"/>
    <x v="127"/>
  </r>
  <r>
    <d v="2024-05-13T00:00:00"/>
    <x v="2"/>
    <x v="128"/>
  </r>
  <r>
    <d v="2024-05-13T00:00:00"/>
    <x v="3"/>
    <x v="129"/>
  </r>
  <r>
    <d v="2024-05-14T00:00:00"/>
    <x v="9"/>
    <x v="130"/>
  </r>
  <r>
    <d v="2024-05-14T00:00:00"/>
    <x v="1"/>
    <x v="131"/>
  </r>
  <r>
    <d v="2024-05-14T00:00:00"/>
    <x v="6"/>
    <x v="132"/>
  </r>
  <r>
    <d v="2024-05-14T00:00:00"/>
    <x v="8"/>
    <x v="133"/>
  </r>
  <r>
    <d v="2024-05-14T00:00:00"/>
    <x v="0"/>
    <x v="134"/>
  </r>
  <r>
    <d v="2024-05-14T00:00:00"/>
    <x v="7"/>
    <x v="135"/>
  </r>
  <r>
    <d v="2024-05-14T00:00:00"/>
    <x v="3"/>
    <x v="136"/>
  </r>
  <r>
    <d v="2024-05-14T00:00:00"/>
    <x v="2"/>
    <x v="137"/>
  </r>
  <r>
    <d v="2024-05-14T00:00:00"/>
    <x v="4"/>
    <x v="138"/>
  </r>
  <r>
    <d v="2024-05-14T00:00:00"/>
    <x v="5"/>
    <x v="139"/>
  </r>
  <r>
    <d v="2024-05-15T00:00:00"/>
    <x v="7"/>
    <x v="140"/>
  </r>
  <r>
    <d v="2024-05-15T00:00:00"/>
    <x v="4"/>
    <x v="141"/>
  </r>
  <r>
    <d v="2024-05-15T00:00:00"/>
    <x v="8"/>
    <x v="142"/>
  </r>
  <r>
    <d v="2024-05-15T00:00:00"/>
    <x v="5"/>
    <x v="143"/>
  </r>
  <r>
    <d v="2024-05-15T00:00:00"/>
    <x v="1"/>
    <x v="144"/>
  </r>
  <r>
    <d v="2024-05-15T00:00:00"/>
    <x v="0"/>
    <x v="145"/>
  </r>
  <r>
    <d v="2024-05-15T00:00:00"/>
    <x v="6"/>
    <x v="146"/>
  </r>
  <r>
    <d v="2024-05-15T00:00:00"/>
    <x v="2"/>
    <x v="147"/>
  </r>
  <r>
    <d v="2024-05-15T00:00:00"/>
    <x v="3"/>
    <x v="148"/>
  </r>
  <r>
    <d v="2024-05-15T00:00:00"/>
    <x v="9"/>
    <x v="149"/>
  </r>
  <r>
    <d v="2024-05-16T00:00:00"/>
    <x v="7"/>
    <x v="150"/>
  </r>
  <r>
    <d v="2024-05-16T00:00:00"/>
    <x v="5"/>
    <x v="151"/>
  </r>
  <r>
    <d v="2024-05-16T00:00:00"/>
    <x v="9"/>
    <x v="152"/>
  </r>
  <r>
    <d v="2024-05-16T00:00:00"/>
    <x v="1"/>
    <x v="153"/>
  </r>
  <r>
    <d v="2024-05-16T00:00:00"/>
    <x v="8"/>
    <x v="154"/>
  </r>
  <r>
    <d v="2024-05-16T00:00:00"/>
    <x v="2"/>
    <x v="155"/>
  </r>
  <r>
    <d v="2024-05-16T00:00:00"/>
    <x v="3"/>
    <x v="156"/>
  </r>
  <r>
    <d v="2024-05-16T00:00:00"/>
    <x v="0"/>
    <x v="157"/>
  </r>
  <r>
    <d v="2024-05-16T00:00:00"/>
    <x v="6"/>
    <x v="158"/>
  </r>
  <r>
    <d v="2024-05-16T00:00:00"/>
    <x v="4"/>
    <x v="159"/>
  </r>
  <r>
    <d v="2024-05-17T00:00:00"/>
    <x v="0"/>
    <x v="160"/>
  </r>
  <r>
    <d v="2024-05-17T00:00:00"/>
    <x v="6"/>
    <x v="161"/>
  </r>
  <r>
    <d v="2024-05-17T00:00:00"/>
    <x v="8"/>
    <x v="162"/>
  </r>
  <r>
    <d v="2024-05-17T00:00:00"/>
    <x v="1"/>
    <x v="163"/>
  </r>
  <r>
    <d v="2024-05-17T00:00:00"/>
    <x v="3"/>
    <x v="164"/>
  </r>
  <r>
    <d v="2024-05-17T00:00:00"/>
    <x v="2"/>
    <x v="165"/>
  </r>
  <r>
    <d v="2024-05-17T00:00:00"/>
    <x v="7"/>
    <x v="166"/>
  </r>
  <r>
    <d v="2024-05-17T00:00:00"/>
    <x v="5"/>
    <x v="167"/>
  </r>
  <r>
    <d v="2024-05-17T00:00:00"/>
    <x v="4"/>
    <x v="168"/>
  </r>
  <r>
    <d v="2024-05-17T00:00:00"/>
    <x v="9"/>
    <x v="169"/>
  </r>
  <r>
    <d v="2024-05-18T00:00:00"/>
    <x v="1"/>
    <x v="170"/>
  </r>
  <r>
    <d v="2024-05-18T00:00:00"/>
    <x v="5"/>
    <x v="171"/>
  </r>
  <r>
    <d v="2024-05-18T00:00:00"/>
    <x v="0"/>
    <x v="172"/>
  </r>
  <r>
    <d v="2024-05-18T00:00:00"/>
    <x v="7"/>
    <x v="173"/>
  </r>
  <r>
    <d v="2024-05-18T00:00:00"/>
    <x v="9"/>
    <x v="174"/>
  </r>
  <r>
    <d v="2024-05-18T00:00:00"/>
    <x v="3"/>
    <x v="175"/>
  </r>
  <r>
    <d v="2024-05-18T00:00:00"/>
    <x v="6"/>
    <x v="176"/>
  </r>
  <r>
    <d v="2024-05-18T00:00:00"/>
    <x v="4"/>
    <x v="177"/>
  </r>
  <r>
    <d v="2024-05-18T00:00:00"/>
    <x v="2"/>
    <x v="178"/>
  </r>
  <r>
    <d v="2024-05-18T00:00:00"/>
    <x v="8"/>
    <x v="179"/>
  </r>
  <r>
    <d v="2024-05-19T00:00:00"/>
    <x v="0"/>
    <x v="180"/>
  </r>
  <r>
    <d v="2024-05-19T00:00:00"/>
    <x v="4"/>
    <x v="181"/>
  </r>
  <r>
    <d v="2024-05-19T00:00:00"/>
    <x v="5"/>
    <x v="182"/>
  </r>
  <r>
    <d v="2024-05-19T00:00:00"/>
    <x v="3"/>
    <x v="183"/>
  </r>
  <r>
    <d v="2024-05-19T00:00:00"/>
    <x v="8"/>
    <x v="184"/>
  </r>
  <r>
    <d v="2024-05-19T00:00:00"/>
    <x v="7"/>
    <x v="185"/>
  </r>
  <r>
    <d v="2024-05-19T00:00:00"/>
    <x v="1"/>
    <x v="186"/>
  </r>
  <r>
    <d v="2024-05-19T00:00:00"/>
    <x v="6"/>
    <x v="187"/>
  </r>
  <r>
    <d v="2024-05-19T00:00:00"/>
    <x v="9"/>
    <x v="188"/>
  </r>
  <r>
    <d v="2024-05-19T00:00:00"/>
    <x v="2"/>
    <x v="189"/>
  </r>
  <r>
    <d v="2024-05-20T00:00:00"/>
    <x v="8"/>
    <x v="190"/>
  </r>
  <r>
    <d v="2024-05-20T00:00:00"/>
    <x v="3"/>
    <x v="191"/>
  </r>
  <r>
    <d v="2024-05-20T00:00:00"/>
    <x v="1"/>
    <x v="192"/>
  </r>
  <r>
    <d v="2024-05-20T00:00:00"/>
    <x v="2"/>
    <x v="193"/>
  </r>
  <r>
    <d v="2024-05-20T00:00:00"/>
    <x v="7"/>
    <x v="194"/>
  </r>
  <r>
    <d v="2024-05-20T00:00:00"/>
    <x v="4"/>
    <x v="195"/>
  </r>
  <r>
    <d v="2024-05-20T00:00:00"/>
    <x v="0"/>
    <x v="196"/>
  </r>
  <r>
    <d v="2024-05-20T00:00:00"/>
    <x v="6"/>
    <x v="197"/>
  </r>
  <r>
    <d v="2024-05-20T00:00:00"/>
    <x v="9"/>
    <x v="198"/>
  </r>
  <r>
    <d v="2024-05-20T00:00:00"/>
    <x v="5"/>
    <x v="199"/>
  </r>
  <r>
    <d v="2024-05-21T00:00:00"/>
    <x v="6"/>
    <x v="200"/>
  </r>
  <r>
    <d v="2024-05-21T00:00:00"/>
    <x v="4"/>
    <x v="201"/>
  </r>
  <r>
    <d v="2024-05-21T00:00:00"/>
    <x v="9"/>
    <x v="202"/>
  </r>
  <r>
    <d v="2024-05-21T00:00:00"/>
    <x v="7"/>
    <x v="203"/>
  </r>
  <r>
    <d v="2024-05-21T00:00:00"/>
    <x v="2"/>
    <x v="204"/>
  </r>
  <r>
    <d v="2024-05-21T00:00:00"/>
    <x v="1"/>
    <x v="205"/>
  </r>
  <r>
    <d v="2024-05-21T00:00:00"/>
    <x v="5"/>
    <x v="206"/>
  </r>
  <r>
    <d v="2024-05-21T00:00:00"/>
    <x v="8"/>
    <x v="207"/>
  </r>
  <r>
    <d v="2024-05-21T00:00:00"/>
    <x v="3"/>
    <x v="208"/>
  </r>
  <r>
    <d v="2024-05-21T00:00:00"/>
    <x v="0"/>
    <x v="209"/>
  </r>
  <r>
    <d v="2024-05-22T00:00:00"/>
    <x v="7"/>
    <x v="210"/>
  </r>
  <r>
    <d v="2024-05-22T00:00:00"/>
    <x v="4"/>
    <x v="211"/>
  </r>
  <r>
    <d v="2024-05-22T00:00:00"/>
    <x v="9"/>
    <x v="212"/>
  </r>
  <r>
    <d v="2024-05-22T00:00:00"/>
    <x v="6"/>
    <x v="213"/>
  </r>
  <r>
    <d v="2024-05-22T00:00:00"/>
    <x v="3"/>
    <x v="214"/>
  </r>
  <r>
    <d v="2024-05-22T00:00:00"/>
    <x v="1"/>
    <x v="215"/>
  </r>
  <r>
    <d v="2024-05-22T00:00:00"/>
    <x v="5"/>
    <x v="216"/>
  </r>
  <r>
    <d v="2024-05-22T00:00:00"/>
    <x v="0"/>
    <x v="217"/>
  </r>
  <r>
    <d v="2024-05-22T00:00:00"/>
    <x v="2"/>
    <x v="218"/>
  </r>
  <r>
    <d v="2024-05-22T00:00:00"/>
    <x v="8"/>
    <x v="219"/>
  </r>
  <r>
    <d v="2024-05-23T00:00:00"/>
    <x v="3"/>
    <x v="220"/>
  </r>
  <r>
    <d v="2024-05-23T00:00:00"/>
    <x v="6"/>
    <x v="221"/>
  </r>
  <r>
    <d v="2024-05-23T00:00:00"/>
    <x v="7"/>
    <x v="222"/>
  </r>
  <r>
    <d v="2024-05-23T00:00:00"/>
    <x v="0"/>
    <x v="223"/>
  </r>
  <r>
    <d v="2024-05-23T00:00:00"/>
    <x v="8"/>
    <x v="224"/>
  </r>
  <r>
    <d v="2024-05-23T00:00:00"/>
    <x v="4"/>
    <x v="225"/>
  </r>
  <r>
    <d v="2024-05-23T00:00:00"/>
    <x v="2"/>
    <x v="226"/>
  </r>
  <r>
    <d v="2024-05-23T00:00:00"/>
    <x v="9"/>
    <x v="227"/>
  </r>
  <r>
    <d v="2024-05-23T00:00:00"/>
    <x v="5"/>
    <x v="228"/>
  </r>
  <r>
    <d v="2024-05-23T00:00:00"/>
    <x v="1"/>
    <x v="229"/>
  </r>
  <r>
    <d v="2024-05-24T00:00:00"/>
    <x v="2"/>
    <x v="230"/>
  </r>
  <r>
    <d v="2024-05-24T00:00:00"/>
    <x v="5"/>
    <x v="231"/>
  </r>
  <r>
    <d v="2024-05-24T00:00:00"/>
    <x v="1"/>
    <x v="232"/>
  </r>
  <r>
    <d v="2024-05-24T00:00:00"/>
    <x v="6"/>
    <x v="233"/>
  </r>
  <r>
    <d v="2024-05-24T00:00:00"/>
    <x v="4"/>
    <x v="234"/>
  </r>
  <r>
    <d v="2024-05-24T00:00:00"/>
    <x v="9"/>
    <x v="235"/>
  </r>
  <r>
    <d v="2024-05-24T00:00:00"/>
    <x v="7"/>
    <x v="233"/>
  </r>
  <r>
    <d v="2024-05-24T00:00:00"/>
    <x v="8"/>
    <x v="236"/>
  </r>
  <r>
    <d v="2024-05-24T00:00:00"/>
    <x v="3"/>
    <x v="237"/>
  </r>
  <r>
    <d v="2024-05-24T00:00:00"/>
    <x v="0"/>
    <x v="238"/>
  </r>
  <r>
    <d v="2024-05-25T00:00:00"/>
    <x v="1"/>
    <x v="239"/>
  </r>
  <r>
    <d v="2024-05-25T00:00:00"/>
    <x v="8"/>
    <x v="240"/>
  </r>
  <r>
    <d v="2024-05-25T00:00:00"/>
    <x v="2"/>
    <x v="241"/>
  </r>
  <r>
    <d v="2024-05-25T00:00:00"/>
    <x v="3"/>
    <x v="242"/>
  </r>
  <r>
    <d v="2024-05-25T00:00:00"/>
    <x v="5"/>
    <x v="243"/>
  </r>
  <r>
    <d v="2024-05-25T00:00:00"/>
    <x v="4"/>
    <x v="244"/>
  </r>
  <r>
    <d v="2024-05-25T00:00:00"/>
    <x v="6"/>
    <x v="245"/>
  </r>
  <r>
    <d v="2024-05-25T00:00:00"/>
    <x v="0"/>
    <x v="246"/>
  </r>
  <r>
    <d v="2024-05-25T00:00:00"/>
    <x v="9"/>
    <x v="247"/>
  </r>
  <r>
    <d v="2024-05-25T00:00:00"/>
    <x v="7"/>
    <x v="248"/>
  </r>
  <r>
    <d v="2024-05-26T00:00:00"/>
    <x v="2"/>
    <x v="249"/>
  </r>
  <r>
    <d v="2024-05-26T00:00:00"/>
    <x v="1"/>
    <x v="250"/>
  </r>
  <r>
    <d v="2024-05-26T00:00:00"/>
    <x v="5"/>
    <x v="251"/>
  </r>
  <r>
    <d v="2024-05-26T00:00:00"/>
    <x v="4"/>
    <x v="252"/>
  </r>
  <r>
    <d v="2024-05-26T00:00:00"/>
    <x v="0"/>
    <x v="253"/>
  </r>
  <r>
    <d v="2024-05-26T00:00:00"/>
    <x v="6"/>
    <x v="254"/>
  </r>
  <r>
    <d v="2024-05-26T00:00:00"/>
    <x v="9"/>
    <x v="255"/>
  </r>
  <r>
    <d v="2024-05-26T00:00:00"/>
    <x v="8"/>
    <x v="256"/>
  </r>
  <r>
    <d v="2024-05-26T00:00:00"/>
    <x v="7"/>
    <x v="257"/>
  </r>
  <r>
    <d v="2024-05-26T00:00:00"/>
    <x v="3"/>
    <x v="258"/>
  </r>
  <r>
    <d v="2024-05-27T00:00:00"/>
    <x v="5"/>
    <x v="259"/>
  </r>
  <r>
    <d v="2024-05-27T00:00:00"/>
    <x v="7"/>
    <x v="260"/>
  </r>
  <r>
    <d v="2024-05-27T00:00:00"/>
    <x v="1"/>
    <x v="261"/>
  </r>
  <r>
    <d v="2024-05-27T00:00:00"/>
    <x v="2"/>
    <x v="262"/>
  </r>
  <r>
    <d v="2024-05-27T00:00:00"/>
    <x v="8"/>
    <x v="263"/>
  </r>
  <r>
    <d v="2024-05-27T00:00:00"/>
    <x v="4"/>
    <x v="264"/>
  </r>
  <r>
    <d v="2024-05-27T00:00:00"/>
    <x v="3"/>
    <x v="265"/>
  </r>
  <r>
    <d v="2024-05-27T00:00:00"/>
    <x v="0"/>
    <x v="266"/>
  </r>
  <r>
    <d v="2024-05-27T00:00:00"/>
    <x v="6"/>
    <x v="267"/>
  </r>
  <r>
    <d v="2024-05-27T00:00:00"/>
    <x v="9"/>
    <x v="268"/>
  </r>
  <r>
    <d v="2024-05-28T00:00:00"/>
    <x v="9"/>
    <x v="269"/>
  </r>
  <r>
    <d v="2024-05-28T00:00:00"/>
    <x v="2"/>
    <x v="270"/>
  </r>
  <r>
    <d v="2024-05-28T00:00:00"/>
    <x v="7"/>
    <x v="271"/>
  </r>
  <r>
    <d v="2024-05-28T00:00:00"/>
    <x v="1"/>
    <x v="272"/>
  </r>
  <r>
    <d v="2024-05-28T00:00:00"/>
    <x v="4"/>
    <x v="273"/>
  </r>
  <r>
    <d v="2024-05-28T00:00:00"/>
    <x v="6"/>
    <x v="274"/>
  </r>
  <r>
    <d v="2024-05-28T00:00:00"/>
    <x v="3"/>
    <x v="275"/>
  </r>
  <r>
    <d v="2024-05-28T00:00:00"/>
    <x v="0"/>
    <x v="276"/>
  </r>
  <r>
    <d v="2024-05-28T00:00:00"/>
    <x v="5"/>
    <x v="277"/>
  </r>
  <r>
    <d v="2024-05-28T00:00:00"/>
    <x v="8"/>
    <x v="278"/>
  </r>
  <r>
    <d v="2024-05-29T00:00:00"/>
    <x v="3"/>
    <x v="279"/>
  </r>
  <r>
    <d v="2024-05-29T00:00:00"/>
    <x v="0"/>
    <x v="280"/>
  </r>
  <r>
    <d v="2024-05-29T00:00:00"/>
    <x v="4"/>
    <x v="281"/>
  </r>
  <r>
    <d v="2024-05-29T00:00:00"/>
    <x v="9"/>
    <x v="282"/>
  </r>
  <r>
    <d v="2024-05-29T00:00:00"/>
    <x v="8"/>
    <x v="283"/>
  </r>
  <r>
    <d v="2024-05-29T00:00:00"/>
    <x v="1"/>
    <x v="284"/>
  </r>
  <r>
    <d v="2024-05-29T00:00:00"/>
    <x v="7"/>
    <x v="285"/>
  </r>
  <r>
    <d v="2024-05-29T00:00:00"/>
    <x v="6"/>
    <x v="286"/>
  </r>
  <r>
    <d v="2024-05-29T00:00:00"/>
    <x v="2"/>
    <x v="287"/>
  </r>
  <r>
    <d v="2024-05-29T00:00:00"/>
    <x v="5"/>
    <x v="288"/>
  </r>
  <r>
    <d v="2024-05-30T00:00:00"/>
    <x v="4"/>
    <x v="289"/>
  </r>
  <r>
    <d v="2024-05-30T00:00:00"/>
    <x v="0"/>
    <x v="290"/>
  </r>
  <r>
    <d v="2024-05-30T00:00:00"/>
    <x v="3"/>
    <x v="291"/>
  </r>
  <r>
    <d v="2024-05-30T00:00:00"/>
    <x v="6"/>
    <x v="292"/>
  </r>
  <r>
    <d v="2024-05-30T00:00:00"/>
    <x v="8"/>
    <x v="293"/>
  </r>
  <r>
    <d v="2024-05-30T00:00:00"/>
    <x v="2"/>
    <x v="294"/>
  </r>
  <r>
    <d v="2024-05-30T00:00:00"/>
    <x v="9"/>
    <x v="295"/>
  </r>
  <r>
    <d v="2024-05-30T00:00:00"/>
    <x v="1"/>
    <x v="296"/>
  </r>
  <r>
    <d v="2024-05-30T00:00:00"/>
    <x v="7"/>
    <x v="297"/>
  </r>
  <r>
    <d v="2024-05-30T00:00:00"/>
    <x v="5"/>
    <x v="298"/>
  </r>
  <r>
    <d v="2024-05-31T00:00:00"/>
    <x v="4"/>
    <x v="299"/>
  </r>
  <r>
    <d v="2024-05-31T00:00:00"/>
    <x v="7"/>
    <x v="300"/>
  </r>
  <r>
    <d v="2024-05-31T00:00:00"/>
    <x v="3"/>
    <x v="301"/>
  </r>
  <r>
    <d v="2024-05-31T00:00:00"/>
    <x v="2"/>
    <x v="302"/>
  </r>
  <r>
    <d v="2024-05-31T00:00:00"/>
    <x v="0"/>
    <x v="303"/>
  </r>
  <r>
    <d v="2024-05-31T00:00:00"/>
    <x v="1"/>
    <x v="304"/>
  </r>
  <r>
    <d v="2024-05-31T00:00:00"/>
    <x v="6"/>
    <x v="305"/>
  </r>
  <r>
    <d v="2024-05-31T00:00:00"/>
    <x v="8"/>
    <x v="306"/>
  </r>
  <r>
    <d v="2024-05-31T00:00:00"/>
    <x v="5"/>
    <x v="307"/>
  </r>
  <r>
    <d v="2024-05-31T00:00:00"/>
    <x v="9"/>
    <x v="308"/>
  </r>
  <r>
    <d v="2024-06-01T00:00:00"/>
    <x v="2"/>
    <x v="309"/>
  </r>
  <r>
    <d v="2024-06-01T00:00:00"/>
    <x v="9"/>
    <x v="310"/>
  </r>
  <r>
    <d v="2024-06-01T00:00:00"/>
    <x v="3"/>
    <x v="311"/>
  </r>
  <r>
    <d v="2024-06-01T00:00:00"/>
    <x v="5"/>
    <x v="312"/>
  </r>
  <r>
    <d v="2024-06-01T00:00:00"/>
    <x v="4"/>
    <x v="313"/>
  </r>
  <r>
    <d v="2024-06-01T00:00:00"/>
    <x v="0"/>
    <x v="314"/>
  </r>
  <r>
    <d v="2024-06-01T00:00:00"/>
    <x v="8"/>
    <x v="315"/>
  </r>
  <r>
    <d v="2024-06-01T00:00:00"/>
    <x v="6"/>
    <x v="316"/>
  </r>
  <r>
    <d v="2024-06-01T00:00:00"/>
    <x v="1"/>
    <x v="317"/>
  </r>
  <r>
    <d v="2024-06-01T00:00:00"/>
    <x v="7"/>
    <x v="318"/>
  </r>
  <r>
    <d v="2024-06-02T00:00:00"/>
    <x v="1"/>
    <x v="319"/>
  </r>
  <r>
    <d v="2024-06-02T00:00:00"/>
    <x v="3"/>
    <x v="320"/>
  </r>
  <r>
    <d v="2024-06-02T00:00:00"/>
    <x v="0"/>
    <x v="321"/>
  </r>
  <r>
    <d v="2024-06-02T00:00:00"/>
    <x v="2"/>
    <x v="322"/>
  </r>
  <r>
    <d v="2024-06-02T00:00:00"/>
    <x v="4"/>
    <x v="323"/>
  </r>
  <r>
    <d v="2024-06-02T00:00:00"/>
    <x v="8"/>
    <x v="324"/>
  </r>
  <r>
    <d v="2024-06-02T00:00:00"/>
    <x v="9"/>
    <x v="325"/>
  </r>
  <r>
    <d v="2024-06-02T00:00:00"/>
    <x v="5"/>
    <x v="326"/>
  </r>
  <r>
    <d v="2024-06-02T00:00:00"/>
    <x v="6"/>
    <x v="327"/>
  </r>
  <r>
    <d v="2024-06-02T00:00:00"/>
    <x v="7"/>
    <x v="328"/>
  </r>
  <r>
    <d v="2024-06-03T00:00:00"/>
    <x v="2"/>
    <x v="329"/>
  </r>
  <r>
    <d v="2024-06-03T00:00:00"/>
    <x v="8"/>
    <x v="330"/>
  </r>
  <r>
    <d v="2024-06-03T00:00:00"/>
    <x v="3"/>
    <x v="331"/>
  </r>
  <r>
    <d v="2024-06-03T00:00:00"/>
    <x v="5"/>
    <x v="332"/>
  </r>
  <r>
    <d v="2024-06-03T00:00:00"/>
    <x v="9"/>
    <x v="333"/>
  </r>
  <r>
    <d v="2024-06-03T00:00:00"/>
    <x v="0"/>
    <x v="334"/>
  </r>
  <r>
    <d v="2024-06-03T00:00:00"/>
    <x v="6"/>
    <x v="335"/>
  </r>
  <r>
    <d v="2024-06-03T00:00:00"/>
    <x v="7"/>
    <x v="336"/>
  </r>
  <r>
    <d v="2024-06-03T00:00:00"/>
    <x v="1"/>
    <x v="337"/>
  </r>
  <r>
    <d v="2024-06-03T00:00:00"/>
    <x v="4"/>
    <x v="338"/>
  </r>
  <r>
    <d v="2024-06-04T00:00:00"/>
    <x v="8"/>
    <x v="339"/>
  </r>
  <r>
    <d v="2024-06-04T00:00:00"/>
    <x v="1"/>
    <x v="340"/>
  </r>
  <r>
    <d v="2024-06-04T00:00:00"/>
    <x v="4"/>
    <x v="341"/>
  </r>
  <r>
    <d v="2024-06-04T00:00:00"/>
    <x v="6"/>
    <x v="342"/>
  </r>
  <r>
    <d v="2024-06-04T00:00:00"/>
    <x v="7"/>
    <x v="343"/>
  </r>
  <r>
    <d v="2024-06-04T00:00:00"/>
    <x v="3"/>
    <x v="344"/>
  </r>
  <r>
    <d v="2024-06-04T00:00:00"/>
    <x v="0"/>
    <x v="345"/>
  </r>
  <r>
    <d v="2024-06-04T00:00:00"/>
    <x v="5"/>
    <x v="346"/>
  </r>
  <r>
    <d v="2024-06-04T00:00:00"/>
    <x v="9"/>
    <x v="347"/>
  </r>
  <r>
    <d v="2024-06-04T00:00:00"/>
    <x v="2"/>
    <x v="348"/>
  </r>
  <r>
    <d v="2024-06-05T00:00:00"/>
    <x v="5"/>
    <x v="349"/>
  </r>
  <r>
    <d v="2024-06-05T00:00:00"/>
    <x v="1"/>
    <x v="350"/>
  </r>
  <r>
    <d v="2024-06-05T00:00:00"/>
    <x v="4"/>
    <x v="351"/>
  </r>
  <r>
    <d v="2024-06-05T00:00:00"/>
    <x v="7"/>
    <x v="352"/>
  </r>
  <r>
    <d v="2024-06-05T00:00:00"/>
    <x v="2"/>
    <x v="353"/>
  </r>
  <r>
    <d v="2024-06-05T00:00:00"/>
    <x v="3"/>
    <x v="354"/>
  </r>
  <r>
    <d v="2024-06-05T00:00:00"/>
    <x v="0"/>
    <x v="355"/>
  </r>
  <r>
    <d v="2024-06-05T00:00:00"/>
    <x v="9"/>
    <x v="356"/>
  </r>
  <r>
    <d v="2024-06-05T00:00:00"/>
    <x v="8"/>
    <x v="357"/>
  </r>
  <r>
    <d v="2024-06-05T00:00:00"/>
    <x v="6"/>
    <x v="358"/>
  </r>
  <r>
    <d v="2024-06-06T00:00:00"/>
    <x v="8"/>
    <x v="359"/>
  </r>
  <r>
    <d v="2024-06-06T00:00:00"/>
    <x v="5"/>
    <x v="360"/>
  </r>
  <r>
    <d v="2024-06-06T00:00:00"/>
    <x v="7"/>
    <x v="361"/>
  </r>
  <r>
    <d v="2024-06-06T00:00:00"/>
    <x v="1"/>
    <x v="362"/>
  </r>
  <r>
    <d v="2024-06-06T00:00:00"/>
    <x v="3"/>
    <x v="363"/>
  </r>
  <r>
    <d v="2024-06-06T00:00:00"/>
    <x v="6"/>
    <x v="364"/>
  </r>
  <r>
    <d v="2024-06-06T00:00:00"/>
    <x v="4"/>
    <x v="365"/>
  </r>
  <r>
    <d v="2024-06-06T00:00:00"/>
    <x v="0"/>
    <x v="366"/>
  </r>
  <r>
    <d v="2024-06-06T00:00:00"/>
    <x v="9"/>
    <x v="367"/>
  </r>
  <r>
    <d v="2024-06-06T00:00:00"/>
    <x v="2"/>
    <x v="368"/>
  </r>
  <r>
    <d v="2024-06-07T00:00:00"/>
    <x v="7"/>
    <x v="369"/>
  </r>
  <r>
    <d v="2024-06-07T00:00:00"/>
    <x v="4"/>
    <x v="370"/>
  </r>
  <r>
    <d v="2024-06-07T00:00:00"/>
    <x v="0"/>
    <x v="371"/>
  </r>
  <r>
    <d v="2024-06-07T00:00:00"/>
    <x v="1"/>
    <x v="372"/>
  </r>
  <r>
    <d v="2024-06-07T00:00:00"/>
    <x v="6"/>
    <x v="373"/>
  </r>
  <r>
    <d v="2024-06-07T00:00:00"/>
    <x v="9"/>
    <x v="374"/>
  </r>
  <r>
    <d v="2024-06-07T00:00:00"/>
    <x v="2"/>
    <x v="375"/>
  </r>
  <r>
    <d v="2024-06-07T00:00:00"/>
    <x v="5"/>
    <x v="376"/>
  </r>
  <r>
    <d v="2024-06-07T00:00:00"/>
    <x v="8"/>
    <x v="377"/>
  </r>
  <r>
    <d v="2024-06-07T00:00:00"/>
    <x v="3"/>
    <x v="378"/>
  </r>
  <r>
    <d v="2024-06-08T00:00:00"/>
    <x v="7"/>
    <x v="379"/>
  </r>
  <r>
    <d v="2024-06-08T00:00:00"/>
    <x v="5"/>
    <x v="380"/>
  </r>
  <r>
    <d v="2024-06-08T00:00:00"/>
    <x v="1"/>
    <x v="381"/>
  </r>
  <r>
    <d v="2024-06-08T00:00:00"/>
    <x v="0"/>
    <x v="382"/>
  </r>
  <r>
    <d v="2024-06-08T00:00:00"/>
    <x v="6"/>
    <x v="383"/>
  </r>
  <r>
    <d v="2024-06-08T00:00:00"/>
    <x v="9"/>
    <x v="384"/>
  </r>
  <r>
    <d v="2024-06-08T00:00:00"/>
    <x v="8"/>
    <x v="385"/>
  </r>
  <r>
    <d v="2024-06-08T00:00:00"/>
    <x v="4"/>
    <x v="386"/>
  </r>
  <r>
    <d v="2024-06-08T00:00:00"/>
    <x v="3"/>
    <x v="387"/>
  </r>
  <r>
    <d v="2024-06-08T00:00:00"/>
    <x v="2"/>
    <x v="388"/>
  </r>
  <r>
    <d v="2024-06-09T00:00:00"/>
    <x v="7"/>
    <x v="389"/>
  </r>
  <r>
    <d v="2024-06-09T00:00:00"/>
    <x v="8"/>
    <x v="390"/>
  </r>
  <r>
    <d v="2024-06-09T00:00:00"/>
    <x v="9"/>
    <x v="391"/>
  </r>
  <r>
    <d v="2024-06-09T00:00:00"/>
    <x v="6"/>
    <x v="392"/>
  </r>
  <r>
    <d v="2024-06-09T00:00:00"/>
    <x v="0"/>
    <x v="393"/>
  </r>
  <r>
    <d v="2024-06-09T00:00:00"/>
    <x v="2"/>
    <x v="394"/>
  </r>
  <r>
    <d v="2024-06-09T00:00:00"/>
    <x v="5"/>
    <x v="395"/>
  </r>
  <r>
    <d v="2024-06-09T00:00:00"/>
    <x v="3"/>
    <x v="396"/>
  </r>
  <r>
    <d v="2024-06-09T00:00:00"/>
    <x v="1"/>
    <x v="397"/>
  </r>
  <r>
    <d v="2024-06-09T00:00:00"/>
    <x v="4"/>
    <x v="398"/>
  </r>
  <r>
    <d v="2024-06-10T00:00:00"/>
    <x v="7"/>
    <x v="399"/>
  </r>
  <r>
    <d v="2024-06-10T00:00:00"/>
    <x v="8"/>
    <x v="400"/>
  </r>
  <r>
    <d v="2024-06-10T00:00:00"/>
    <x v="4"/>
    <x v="401"/>
  </r>
  <r>
    <d v="2024-06-10T00:00:00"/>
    <x v="1"/>
    <x v="402"/>
  </r>
  <r>
    <d v="2024-06-10T00:00:00"/>
    <x v="5"/>
    <x v="403"/>
  </r>
  <r>
    <d v="2024-06-10T00:00:00"/>
    <x v="3"/>
    <x v="404"/>
  </r>
  <r>
    <d v="2024-06-10T00:00:00"/>
    <x v="9"/>
    <x v="405"/>
  </r>
  <r>
    <d v="2024-06-10T00:00:00"/>
    <x v="0"/>
    <x v="406"/>
  </r>
  <r>
    <d v="2024-06-10T00:00:00"/>
    <x v="6"/>
    <x v="407"/>
  </r>
  <r>
    <d v="2024-06-10T00:00:00"/>
    <x v="2"/>
    <x v="408"/>
  </r>
  <r>
    <d v="2024-06-11T00:00:00"/>
    <x v="3"/>
    <x v="409"/>
  </r>
  <r>
    <d v="2024-06-11T00:00:00"/>
    <x v="2"/>
    <x v="410"/>
  </r>
  <r>
    <d v="2024-06-11T00:00:00"/>
    <x v="9"/>
    <x v="411"/>
  </r>
  <r>
    <d v="2024-06-11T00:00:00"/>
    <x v="5"/>
    <x v="412"/>
  </r>
  <r>
    <d v="2024-06-11T00:00:00"/>
    <x v="7"/>
    <x v="413"/>
  </r>
  <r>
    <d v="2024-06-11T00:00:00"/>
    <x v="0"/>
    <x v="414"/>
  </r>
  <r>
    <d v="2024-06-11T00:00:00"/>
    <x v="8"/>
    <x v="415"/>
  </r>
  <r>
    <d v="2024-06-11T00:00:00"/>
    <x v="4"/>
    <x v="416"/>
  </r>
  <r>
    <d v="2024-06-11T00:00:00"/>
    <x v="1"/>
    <x v="417"/>
  </r>
  <r>
    <d v="2024-06-11T00:00:00"/>
    <x v="6"/>
    <x v="418"/>
  </r>
  <r>
    <d v="2024-06-12T00:00:00"/>
    <x v="6"/>
    <x v="419"/>
  </r>
  <r>
    <d v="2024-06-12T00:00:00"/>
    <x v="3"/>
    <x v="420"/>
  </r>
  <r>
    <d v="2024-06-12T00:00:00"/>
    <x v="0"/>
    <x v="421"/>
  </r>
  <r>
    <d v="2024-06-12T00:00:00"/>
    <x v="4"/>
    <x v="422"/>
  </r>
  <r>
    <d v="2024-06-12T00:00:00"/>
    <x v="5"/>
    <x v="423"/>
  </r>
  <r>
    <d v="2024-06-12T00:00:00"/>
    <x v="1"/>
    <x v="424"/>
  </r>
  <r>
    <d v="2024-06-12T00:00:00"/>
    <x v="8"/>
    <x v="425"/>
  </r>
  <r>
    <d v="2024-06-12T00:00:00"/>
    <x v="7"/>
    <x v="426"/>
  </r>
  <r>
    <d v="2024-06-12T00:00:00"/>
    <x v="9"/>
    <x v="427"/>
  </r>
  <r>
    <d v="2024-06-12T00:00:00"/>
    <x v="2"/>
    <x v="428"/>
  </r>
  <r>
    <d v="2024-06-13T00:00:00"/>
    <x v="7"/>
    <x v="429"/>
  </r>
  <r>
    <d v="2024-06-13T00:00:00"/>
    <x v="3"/>
    <x v="430"/>
  </r>
  <r>
    <d v="2024-06-13T00:00:00"/>
    <x v="4"/>
    <x v="431"/>
  </r>
  <r>
    <d v="2024-06-13T00:00:00"/>
    <x v="8"/>
    <x v="432"/>
  </r>
  <r>
    <d v="2024-06-13T00:00:00"/>
    <x v="5"/>
    <x v="433"/>
  </r>
  <r>
    <d v="2024-06-13T00:00:00"/>
    <x v="6"/>
    <x v="434"/>
  </r>
  <r>
    <d v="2024-06-13T00:00:00"/>
    <x v="0"/>
    <x v="435"/>
  </r>
  <r>
    <d v="2024-06-13T00:00:00"/>
    <x v="1"/>
    <x v="436"/>
  </r>
  <r>
    <d v="2024-06-13T00:00:00"/>
    <x v="9"/>
    <x v="437"/>
  </r>
  <r>
    <d v="2024-06-13T00:00:00"/>
    <x v="2"/>
    <x v="438"/>
  </r>
  <r>
    <d v="2024-06-14T00:00:00"/>
    <x v="6"/>
    <x v="439"/>
  </r>
  <r>
    <d v="2024-06-14T00:00:00"/>
    <x v="1"/>
    <x v="440"/>
  </r>
  <r>
    <d v="2024-06-14T00:00:00"/>
    <x v="8"/>
    <x v="441"/>
  </r>
  <r>
    <d v="2024-06-14T00:00:00"/>
    <x v="9"/>
    <x v="442"/>
  </r>
  <r>
    <d v="2024-06-14T00:00:00"/>
    <x v="7"/>
    <x v="443"/>
  </r>
  <r>
    <d v="2024-06-14T00:00:00"/>
    <x v="3"/>
    <x v="444"/>
  </r>
  <r>
    <d v="2024-06-14T00:00:00"/>
    <x v="2"/>
    <x v="445"/>
  </r>
  <r>
    <d v="2024-06-14T00:00:00"/>
    <x v="0"/>
    <x v="446"/>
  </r>
  <r>
    <d v="2024-06-14T00:00:00"/>
    <x v="5"/>
    <x v="447"/>
  </r>
  <r>
    <d v="2024-06-14T00:00:00"/>
    <x v="4"/>
    <x v="448"/>
  </r>
  <r>
    <d v="2024-06-15T00:00:00"/>
    <x v="1"/>
    <x v="449"/>
  </r>
  <r>
    <d v="2024-06-15T00:00:00"/>
    <x v="4"/>
    <x v="450"/>
  </r>
  <r>
    <d v="2024-06-15T00:00:00"/>
    <x v="7"/>
    <x v="451"/>
  </r>
  <r>
    <d v="2024-06-15T00:00:00"/>
    <x v="8"/>
    <x v="452"/>
  </r>
  <r>
    <d v="2024-06-15T00:00:00"/>
    <x v="2"/>
    <x v="453"/>
  </r>
  <r>
    <d v="2024-06-15T00:00:00"/>
    <x v="0"/>
    <x v="454"/>
  </r>
  <r>
    <d v="2024-06-15T00:00:00"/>
    <x v="3"/>
    <x v="455"/>
  </r>
  <r>
    <d v="2024-06-15T00:00:00"/>
    <x v="9"/>
    <x v="456"/>
  </r>
  <r>
    <d v="2024-06-15T00:00:00"/>
    <x v="5"/>
    <x v="457"/>
  </r>
  <r>
    <d v="2024-06-15T00:00:00"/>
    <x v="6"/>
    <x v="458"/>
  </r>
  <r>
    <d v="2024-06-16T00:00:00"/>
    <x v="6"/>
    <x v="459"/>
  </r>
  <r>
    <d v="2024-06-16T00:00:00"/>
    <x v="2"/>
    <x v="460"/>
  </r>
  <r>
    <d v="2024-06-16T00:00:00"/>
    <x v="3"/>
    <x v="461"/>
  </r>
  <r>
    <d v="2024-06-16T00:00:00"/>
    <x v="5"/>
    <x v="462"/>
  </r>
  <r>
    <d v="2024-06-16T00:00:00"/>
    <x v="0"/>
    <x v="463"/>
  </r>
  <r>
    <d v="2024-06-16T00:00:00"/>
    <x v="7"/>
    <x v="464"/>
  </r>
  <r>
    <d v="2024-06-16T00:00:00"/>
    <x v="8"/>
    <x v="465"/>
  </r>
  <r>
    <d v="2024-06-16T00:00:00"/>
    <x v="9"/>
    <x v="466"/>
  </r>
  <r>
    <d v="2024-06-16T00:00:00"/>
    <x v="4"/>
    <x v="467"/>
  </r>
  <r>
    <d v="2024-06-16T00:00:00"/>
    <x v="1"/>
    <x v="468"/>
  </r>
  <r>
    <d v="2024-06-17T00:00:00"/>
    <x v="4"/>
    <x v="469"/>
  </r>
  <r>
    <d v="2024-06-17T00:00:00"/>
    <x v="6"/>
    <x v="470"/>
  </r>
  <r>
    <d v="2024-06-17T00:00:00"/>
    <x v="1"/>
    <x v="471"/>
  </r>
  <r>
    <d v="2024-06-17T00:00:00"/>
    <x v="8"/>
    <x v="472"/>
  </r>
  <r>
    <d v="2024-06-17T00:00:00"/>
    <x v="3"/>
    <x v="473"/>
  </r>
  <r>
    <d v="2024-06-17T00:00:00"/>
    <x v="0"/>
    <x v="474"/>
  </r>
  <r>
    <d v="2024-06-17T00:00:00"/>
    <x v="2"/>
    <x v="475"/>
  </r>
  <r>
    <d v="2024-06-17T00:00:00"/>
    <x v="7"/>
    <x v="476"/>
  </r>
  <r>
    <d v="2024-06-17T00:00:00"/>
    <x v="9"/>
    <x v="477"/>
  </r>
  <r>
    <d v="2024-06-17T00:00:00"/>
    <x v="5"/>
    <x v="478"/>
  </r>
  <r>
    <d v="2024-06-18T00:00:00"/>
    <x v="2"/>
    <x v="479"/>
  </r>
  <r>
    <d v="2024-06-18T00:00:00"/>
    <x v="1"/>
    <x v="480"/>
  </r>
  <r>
    <d v="2024-06-18T00:00:00"/>
    <x v="0"/>
    <x v="481"/>
  </r>
  <r>
    <d v="2024-06-18T00:00:00"/>
    <x v="7"/>
    <x v="482"/>
  </r>
  <r>
    <d v="2024-06-18T00:00:00"/>
    <x v="8"/>
    <x v="483"/>
  </r>
  <r>
    <d v="2024-06-18T00:00:00"/>
    <x v="3"/>
    <x v="484"/>
  </r>
  <r>
    <d v="2024-06-18T00:00:00"/>
    <x v="6"/>
    <x v="485"/>
  </r>
  <r>
    <d v="2024-06-18T00:00:00"/>
    <x v="4"/>
    <x v="486"/>
  </r>
  <r>
    <d v="2024-06-18T00:00:00"/>
    <x v="5"/>
    <x v="487"/>
  </r>
  <r>
    <d v="2024-06-18T00:00:00"/>
    <x v="9"/>
    <x v="488"/>
  </r>
  <r>
    <d v="2024-06-19T00:00:00"/>
    <x v="0"/>
    <x v="489"/>
  </r>
  <r>
    <d v="2024-06-19T00:00:00"/>
    <x v="5"/>
    <x v="490"/>
  </r>
  <r>
    <d v="2024-06-19T00:00:00"/>
    <x v="9"/>
    <x v="491"/>
  </r>
  <r>
    <d v="2024-06-19T00:00:00"/>
    <x v="8"/>
    <x v="492"/>
  </r>
  <r>
    <d v="2024-06-19T00:00:00"/>
    <x v="4"/>
    <x v="493"/>
  </r>
  <r>
    <d v="2024-06-19T00:00:00"/>
    <x v="7"/>
    <x v="494"/>
  </r>
  <r>
    <d v="2024-06-19T00:00:00"/>
    <x v="3"/>
    <x v="495"/>
  </r>
  <r>
    <d v="2024-06-19T00:00:00"/>
    <x v="1"/>
    <x v="496"/>
  </r>
  <r>
    <d v="2024-06-19T00:00:00"/>
    <x v="2"/>
    <x v="497"/>
  </r>
  <r>
    <d v="2024-06-19T00:00:00"/>
    <x v="6"/>
    <x v="498"/>
  </r>
  <r>
    <d v="2024-06-20T00:00:00"/>
    <x v="3"/>
    <x v="499"/>
  </r>
  <r>
    <d v="2024-06-20T00:00:00"/>
    <x v="5"/>
    <x v="500"/>
  </r>
  <r>
    <d v="2024-06-20T00:00:00"/>
    <x v="2"/>
    <x v="501"/>
  </r>
  <r>
    <d v="2024-06-20T00:00:00"/>
    <x v="8"/>
    <x v="502"/>
  </r>
  <r>
    <d v="2024-06-20T00:00:00"/>
    <x v="9"/>
    <x v="503"/>
  </r>
  <r>
    <d v="2024-06-20T00:00:00"/>
    <x v="4"/>
    <x v="504"/>
  </r>
  <r>
    <d v="2024-06-20T00:00:00"/>
    <x v="0"/>
    <x v="505"/>
  </r>
  <r>
    <d v="2024-06-20T00:00:00"/>
    <x v="6"/>
    <x v="506"/>
  </r>
  <r>
    <d v="2024-06-20T00:00:00"/>
    <x v="1"/>
    <x v="507"/>
  </r>
  <r>
    <d v="2024-06-20T00:00:00"/>
    <x v="7"/>
    <x v="508"/>
  </r>
  <r>
    <d v="2024-06-21T00:00:00"/>
    <x v="9"/>
    <x v="509"/>
  </r>
  <r>
    <d v="2024-06-21T00:00:00"/>
    <x v="4"/>
    <x v="510"/>
  </r>
  <r>
    <d v="2024-06-21T00:00:00"/>
    <x v="3"/>
    <x v="511"/>
  </r>
  <r>
    <d v="2024-06-21T00:00:00"/>
    <x v="7"/>
    <x v="512"/>
  </r>
  <r>
    <d v="2024-06-21T00:00:00"/>
    <x v="1"/>
    <x v="513"/>
  </r>
  <r>
    <d v="2024-06-21T00:00:00"/>
    <x v="6"/>
    <x v="514"/>
  </r>
  <r>
    <d v="2024-06-21T00:00:00"/>
    <x v="2"/>
    <x v="515"/>
  </r>
  <r>
    <d v="2024-06-21T00:00:00"/>
    <x v="5"/>
    <x v="516"/>
  </r>
  <r>
    <d v="2024-06-21T00:00:00"/>
    <x v="8"/>
    <x v="517"/>
  </r>
  <r>
    <d v="2024-06-21T00:00:00"/>
    <x v="0"/>
    <x v="518"/>
  </r>
  <r>
    <d v="2024-06-22T00:00:00"/>
    <x v="4"/>
    <x v="519"/>
  </r>
  <r>
    <d v="2024-06-22T00:00:00"/>
    <x v="2"/>
    <x v="520"/>
  </r>
  <r>
    <d v="2024-06-22T00:00:00"/>
    <x v="8"/>
    <x v="521"/>
  </r>
  <r>
    <d v="2024-06-22T00:00:00"/>
    <x v="6"/>
    <x v="522"/>
  </r>
  <r>
    <d v="2024-06-22T00:00:00"/>
    <x v="5"/>
    <x v="523"/>
  </r>
  <r>
    <d v="2024-06-22T00:00:00"/>
    <x v="0"/>
    <x v="524"/>
  </r>
  <r>
    <d v="2024-06-22T00:00:00"/>
    <x v="7"/>
    <x v="525"/>
  </r>
  <r>
    <d v="2024-06-22T00:00:00"/>
    <x v="9"/>
    <x v="526"/>
  </r>
  <r>
    <d v="2024-06-22T00:00:00"/>
    <x v="1"/>
    <x v="527"/>
  </r>
  <r>
    <d v="2024-06-22T00:00:00"/>
    <x v="3"/>
    <x v="528"/>
  </r>
  <r>
    <d v="2024-06-23T00:00:00"/>
    <x v="0"/>
    <x v="529"/>
  </r>
  <r>
    <d v="2024-06-23T00:00:00"/>
    <x v="3"/>
    <x v="530"/>
  </r>
  <r>
    <d v="2024-06-23T00:00:00"/>
    <x v="4"/>
    <x v="531"/>
  </r>
  <r>
    <d v="2024-06-23T00:00:00"/>
    <x v="2"/>
    <x v="532"/>
  </r>
  <r>
    <d v="2024-06-23T00:00:00"/>
    <x v="1"/>
    <x v="533"/>
  </r>
  <r>
    <d v="2024-06-23T00:00:00"/>
    <x v="6"/>
    <x v="534"/>
  </r>
  <r>
    <d v="2024-06-23T00:00:00"/>
    <x v="8"/>
    <x v="535"/>
  </r>
  <r>
    <d v="2024-06-23T00:00:00"/>
    <x v="5"/>
    <x v="536"/>
  </r>
  <r>
    <d v="2024-06-23T00:00:00"/>
    <x v="7"/>
    <x v="537"/>
  </r>
  <r>
    <d v="2024-06-23T00:00:00"/>
    <x v="9"/>
    <x v="538"/>
  </r>
  <r>
    <d v="2024-06-24T00:00:00"/>
    <x v="9"/>
    <x v="539"/>
  </r>
  <r>
    <d v="2024-06-24T00:00:00"/>
    <x v="0"/>
    <x v="540"/>
  </r>
  <r>
    <d v="2024-06-24T00:00:00"/>
    <x v="1"/>
    <x v="541"/>
  </r>
  <r>
    <d v="2024-06-24T00:00:00"/>
    <x v="6"/>
    <x v="542"/>
  </r>
  <r>
    <d v="2024-06-24T00:00:00"/>
    <x v="3"/>
    <x v="543"/>
  </r>
  <r>
    <d v="2024-06-24T00:00:00"/>
    <x v="7"/>
    <x v="544"/>
  </r>
  <r>
    <d v="2024-06-24T00:00:00"/>
    <x v="2"/>
    <x v="545"/>
  </r>
  <r>
    <d v="2024-06-24T00:00:00"/>
    <x v="8"/>
    <x v="546"/>
  </r>
  <r>
    <d v="2024-06-24T00:00:00"/>
    <x v="5"/>
    <x v="547"/>
  </r>
  <r>
    <d v="2024-06-24T00:00:00"/>
    <x v="4"/>
    <x v="548"/>
  </r>
  <r>
    <d v="2024-06-25T00:00:00"/>
    <x v="1"/>
    <x v="549"/>
  </r>
  <r>
    <d v="2024-06-25T00:00:00"/>
    <x v="5"/>
    <x v="550"/>
  </r>
  <r>
    <d v="2024-06-25T00:00:00"/>
    <x v="3"/>
    <x v="551"/>
  </r>
  <r>
    <d v="2024-06-25T00:00:00"/>
    <x v="8"/>
    <x v="552"/>
  </r>
  <r>
    <d v="2024-06-25T00:00:00"/>
    <x v="0"/>
    <x v="553"/>
  </r>
  <r>
    <d v="2024-06-25T00:00:00"/>
    <x v="7"/>
    <x v="554"/>
  </r>
  <r>
    <d v="2024-06-25T00:00:00"/>
    <x v="6"/>
    <x v="555"/>
  </r>
  <r>
    <d v="2024-06-25T00:00:00"/>
    <x v="4"/>
    <x v="556"/>
  </r>
  <r>
    <d v="2024-06-25T00:00:00"/>
    <x v="9"/>
    <x v="557"/>
  </r>
  <r>
    <d v="2024-06-25T00:00:00"/>
    <x v="2"/>
    <x v="558"/>
  </r>
  <r>
    <d v="2024-06-26T00:00:00"/>
    <x v="1"/>
    <x v="559"/>
  </r>
  <r>
    <d v="2024-06-26T00:00:00"/>
    <x v="5"/>
    <x v="560"/>
  </r>
  <r>
    <d v="2024-06-26T00:00:00"/>
    <x v="2"/>
    <x v="561"/>
  </r>
  <r>
    <d v="2024-06-26T00:00:00"/>
    <x v="8"/>
    <x v="562"/>
  </r>
  <r>
    <d v="2024-06-26T00:00:00"/>
    <x v="7"/>
    <x v="563"/>
  </r>
  <r>
    <d v="2024-06-26T00:00:00"/>
    <x v="3"/>
    <x v="564"/>
  </r>
  <r>
    <d v="2024-06-26T00:00:00"/>
    <x v="9"/>
    <x v="565"/>
  </r>
  <r>
    <d v="2024-06-26T00:00:00"/>
    <x v="4"/>
    <x v="566"/>
  </r>
  <r>
    <d v="2024-06-26T00:00:00"/>
    <x v="6"/>
    <x v="567"/>
  </r>
  <r>
    <d v="2024-06-26T00:00:00"/>
    <x v="0"/>
    <x v="568"/>
  </r>
  <r>
    <d v="2024-06-27T00:00:00"/>
    <x v="8"/>
    <x v="569"/>
  </r>
  <r>
    <d v="2024-06-27T00:00:00"/>
    <x v="0"/>
    <x v="570"/>
  </r>
  <r>
    <d v="2024-06-27T00:00:00"/>
    <x v="4"/>
    <x v="571"/>
  </r>
  <r>
    <d v="2024-06-27T00:00:00"/>
    <x v="6"/>
    <x v="572"/>
  </r>
  <r>
    <d v="2024-06-27T00:00:00"/>
    <x v="5"/>
    <x v="573"/>
  </r>
  <r>
    <d v="2024-06-27T00:00:00"/>
    <x v="2"/>
    <x v="574"/>
  </r>
  <r>
    <d v="2024-06-27T00:00:00"/>
    <x v="1"/>
    <x v="575"/>
  </r>
  <r>
    <d v="2024-06-27T00:00:00"/>
    <x v="7"/>
    <x v="576"/>
  </r>
  <r>
    <d v="2024-06-27T00:00:00"/>
    <x v="3"/>
    <x v="577"/>
  </r>
  <r>
    <d v="2024-06-27T00:00:00"/>
    <x v="9"/>
    <x v="578"/>
  </r>
  <r>
    <d v="2024-06-28T00:00:00"/>
    <x v="2"/>
    <x v="579"/>
  </r>
  <r>
    <d v="2024-06-28T00:00:00"/>
    <x v="4"/>
    <x v="580"/>
  </r>
  <r>
    <d v="2024-06-28T00:00:00"/>
    <x v="5"/>
    <x v="581"/>
  </r>
  <r>
    <d v="2024-06-28T00:00:00"/>
    <x v="7"/>
    <x v="582"/>
  </r>
  <r>
    <d v="2024-06-28T00:00:00"/>
    <x v="6"/>
    <x v="583"/>
  </r>
  <r>
    <d v="2024-06-28T00:00:00"/>
    <x v="3"/>
    <x v="584"/>
  </r>
  <r>
    <d v="2024-06-28T00:00:00"/>
    <x v="1"/>
    <x v="585"/>
  </r>
  <r>
    <d v="2024-06-28T00:00:00"/>
    <x v="8"/>
    <x v="586"/>
  </r>
  <r>
    <d v="2024-06-28T00:00:00"/>
    <x v="0"/>
    <x v="587"/>
  </r>
  <r>
    <d v="2024-06-28T00:00:00"/>
    <x v="9"/>
    <x v="588"/>
  </r>
  <r>
    <d v="2024-06-29T00:00:00"/>
    <x v="1"/>
    <x v="589"/>
  </r>
  <r>
    <d v="2024-06-29T00:00:00"/>
    <x v="4"/>
    <x v="590"/>
  </r>
  <r>
    <d v="2024-06-29T00:00:00"/>
    <x v="3"/>
    <x v="591"/>
  </r>
  <r>
    <d v="2024-06-29T00:00:00"/>
    <x v="8"/>
    <x v="592"/>
  </r>
  <r>
    <d v="2024-06-29T00:00:00"/>
    <x v="2"/>
    <x v="593"/>
  </r>
  <r>
    <d v="2024-06-29T00:00:00"/>
    <x v="6"/>
    <x v="594"/>
  </r>
  <r>
    <d v="2024-06-29T00:00:00"/>
    <x v="7"/>
    <x v="595"/>
  </r>
  <r>
    <d v="2024-06-29T00:00:00"/>
    <x v="5"/>
    <x v="596"/>
  </r>
  <r>
    <d v="2024-06-29T00:00:00"/>
    <x v="9"/>
    <x v="597"/>
  </r>
  <r>
    <d v="2024-06-29T00:00:00"/>
    <x v="0"/>
    <x v="598"/>
  </r>
  <r>
    <d v="2024-06-30T00:00:00"/>
    <x v="9"/>
    <x v="599"/>
  </r>
  <r>
    <d v="2024-06-30T00:00:00"/>
    <x v="7"/>
    <x v="600"/>
  </r>
  <r>
    <d v="2024-06-30T00:00:00"/>
    <x v="2"/>
    <x v="601"/>
  </r>
  <r>
    <d v="2024-06-30T00:00:00"/>
    <x v="8"/>
    <x v="602"/>
  </r>
  <r>
    <d v="2024-06-30T00:00:00"/>
    <x v="3"/>
    <x v="603"/>
  </r>
  <r>
    <d v="2024-06-30T00:00:00"/>
    <x v="1"/>
    <x v="604"/>
  </r>
  <r>
    <d v="2024-06-30T00:00:00"/>
    <x v="5"/>
    <x v="605"/>
  </r>
  <r>
    <d v="2024-06-30T00:00:00"/>
    <x v="0"/>
    <x v="606"/>
  </r>
  <r>
    <d v="2024-06-30T00:00:00"/>
    <x v="4"/>
    <x v="607"/>
  </r>
  <r>
    <d v="2024-06-30T00:00:00"/>
    <x v="6"/>
    <x v="608"/>
  </r>
  <r>
    <d v="2024-07-01T00:00:00"/>
    <x v="4"/>
    <x v="609"/>
  </r>
  <r>
    <d v="2024-07-01T00:00:00"/>
    <x v="2"/>
    <x v="610"/>
  </r>
  <r>
    <d v="2024-07-01T00:00:00"/>
    <x v="3"/>
    <x v="611"/>
  </r>
  <r>
    <d v="2024-07-01T00:00:00"/>
    <x v="0"/>
    <x v="612"/>
  </r>
  <r>
    <d v="2024-07-01T00:00:00"/>
    <x v="7"/>
    <x v="613"/>
  </r>
  <r>
    <d v="2024-07-01T00:00:00"/>
    <x v="1"/>
    <x v="614"/>
  </r>
  <r>
    <d v="2024-07-01T00:00:00"/>
    <x v="9"/>
    <x v="615"/>
  </r>
  <r>
    <d v="2024-07-01T00:00:00"/>
    <x v="6"/>
    <x v="616"/>
  </r>
  <r>
    <d v="2024-07-01T00:00:00"/>
    <x v="5"/>
    <x v="617"/>
  </r>
  <r>
    <d v="2024-07-01T00:00:00"/>
    <x v="8"/>
    <x v="618"/>
  </r>
  <r>
    <d v="2024-07-02T00:00:00"/>
    <x v="7"/>
    <x v="619"/>
  </r>
  <r>
    <d v="2024-07-02T00:00:00"/>
    <x v="8"/>
    <x v="620"/>
  </r>
  <r>
    <d v="2024-07-02T00:00:00"/>
    <x v="0"/>
    <x v="621"/>
  </r>
  <r>
    <d v="2024-07-02T00:00:00"/>
    <x v="3"/>
    <x v="622"/>
  </r>
  <r>
    <d v="2024-07-02T00:00:00"/>
    <x v="1"/>
    <x v="623"/>
  </r>
  <r>
    <d v="2024-07-02T00:00:00"/>
    <x v="9"/>
    <x v="624"/>
  </r>
  <r>
    <d v="2024-07-02T00:00:00"/>
    <x v="4"/>
    <x v="625"/>
  </r>
  <r>
    <d v="2024-07-02T00:00:00"/>
    <x v="6"/>
    <x v="626"/>
  </r>
  <r>
    <d v="2024-07-02T00:00:00"/>
    <x v="5"/>
    <x v="627"/>
  </r>
  <r>
    <d v="2024-07-02T00:00:00"/>
    <x v="2"/>
    <x v="628"/>
  </r>
  <r>
    <d v="2024-07-03T00:00:00"/>
    <x v="4"/>
    <x v="629"/>
  </r>
  <r>
    <d v="2024-07-03T00:00:00"/>
    <x v="3"/>
    <x v="630"/>
  </r>
  <r>
    <d v="2024-07-03T00:00:00"/>
    <x v="7"/>
    <x v="631"/>
  </r>
  <r>
    <d v="2024-07-03T00:00:00"/>
    <x v="6"/>
    <x v="632"/>
  </r>
  <r>
    <d v="2024-07-03T00:00:00"/>
    <x v="9"/>
    <x v="633"/>
  </r>
  <r>
    <d v="2024-07-03T00:00:00"/>
    <x v="2"/>
    <x v="634"/>
  </r>
  <r>
    <d v="2024-07-03T00:00:00"/>
    <x v="8"/>
    <x v="635"/>
  </r>
  <r>
    <d v="2024-07-03T00:00:00"/>
    <x v="1"/>
    <x v="636"/>
  </r>
  <r>
    <d v="2024-07-03T00:00:00"/>
    <x v="0"/>
    <x v="637"/>
  </r>
  <r>
    <d v="2024-07-03T00:00:00"/>
    <x v="5"/>
    <x v="638"/>
  </r>
  <r>
    <d v="2024-07-04T00:00:00"/>
    <x v="3"/>
    <x v="639"/>
  </r>
  <r>
    <d v="2024-07-04T00:00:00"/>
    <x v="7"/>
    <x v="640"/>
  </r>
  <r>
    <d v="2024-07-04T00:00:00"/>
    <x v="2"/>
    <x v="641"/>
  </r>
  <r>
    <d v="2024-07-04T00:00:00"/>
    <x v="6"/>
    <x v="642"/>
  </r>
  <r>
    <d v="2024-07-04T00:00:00"/>
    <x v="0"/>
    <x v="643"/>
  </r>
  <r>
    <d v="2024-07-04T00:00:00"/>
    <x v="4"/>
    <x v="644"/>
  </r>
  <r>
    <d v="2024-07-04T00:00:00"/>
    <x v="8"/>
    <x v="645"/>
  </r>
  <r>
    <d v="2024-07-04T00:00:00"/>
    <x v="1"/>
    <x v="646"/>
  </r>
  <r>
    <d v="2024-07-04T00:00:00"/>
    <x v="9"/>
    <x v="647"/>
  </r>
  <r>
    <d v="2024-07-04T00:00:00"/>
    <x v="5"/>
    <x v="648"/>
  </r>
  <r>
    <d v="2024-07-05T00:00:00"/>
    <x v="1"/>
    <x v="649"/>
  </r>
  <r>
    <d v="2024-07-05T00:00:00"/>
    <x v="2"/>
    <x v="650"/>
  </r>
  <r>
    <d v="2024-07-05T00:00:00"/>
    <x v="4"/>
    <x v="651"/>
  </r>
  <r>
    <d v="2024-07-05T00:00:00"/>
    <x v="6"/>
    <x v="652"/>
  </r>
  <r>
    <d v="2024-07-05T00:00:00"/>
    <x v="9"/>
    <x v="653"/>
  </r>
  <r>
    <d v="2024-07-05T00:00:00"/>
    <x v="7"/>
    <x v="654"/>
  </r>
  <r>
    <d v="2024-07-05T00:00:00"/>
    <x v="8"/>
    <x v="655"/>
  </r>
  <r>
    <d v="2024-07-05T00:00:00"/>
    <x v="0"/>
    <x v="656"/>
  </r>
  <r>
    <d v="2024-07-05T00:00:00"/>
    <x v="3"/>
    <x v="657"/>
  </r>
  <r>
    <d v="2024-07-05T00:00:00"/>
    <x v="5"/>
    <x v="658"/>
  </r>
  <r>
    <d v="2024-07-06T00:00:00"/>
    <x v="9"/>
    <x v="659"/>
  </r>
  <r>
    <d v="2024-07-06T00:00:00"/>
    <x v="7"/>
    <x v="660"/>
  </r>
  <r>
    <d v="2024-07-06T00:00:00"/>
    <x v="1"/>
    <x v="661"/>
  </r>
  <r>
    <d v="2024-07-06T00:00:00"/>
    <x v="5"/>
    <x v="662"/>
  </r>
  <r>
    <d v="2024-07-06T00:00:00"/>
    <x v="6"/>
    <x v="663"/>
  </r>
  <r>
    <d v="2024-07-06T00:00:00"/>
    <x v="0"/>
    <x v="664"/>
  </r>
  <r>
    <d v="2024-07-06T00:00:00"/>
    <x v="8"/>
    <x v="665"/>
  </r>
  <r>
    <d v="2024-07-06T00:00:00"/>
    <x v="4"/>
    <x v="666"/>
  </r>
  <r>
    <d v="2024-07-06T00:00:00"/>
    <x v="2"/>
    <x v="667"/>
  </r>
  <r>
    <d v="2024-07-06T00:00:00"/>
    <x v="3"/>
    <x v="668"/>
  </r>
  <r>
    <d v="2024-07-07T00:00:00"/>
    <x v="9"/>
    <x v="669"/>
  </r>
  <r>
    <d v="2024-07-07T00:00:00"/>
    <x v="2"/>
    <x v="670"/>
  </r>
  <r>
    <d v="2024-07-07T00:00:00"/>
    <x v="5"/>
    <x v="671"/>
  </r>
  <r>
    <d v="2024-07-07T00:00:00"/>
    <x v="1"/>
    <x v="672"/>
  </r>
  <r>
    <d v="2024-07-07T00:00:00"/>
    <x v="0"/>
    <x v="673"/>
  </r>
  <r>
    <d v="2024-07-07T00:00:00"/>
    <x v="4"/>
    <x v="674"/>
  </r>
  <r>
    <d v="2024-07-07T00:00:00"/>
    <x v="6"/>
    <x v="675"/>
  </r>
  <r>
    <d v="2024-07-07T00:00:00"/>
    <x v="7"/>
    <x v="676"/>
  </r>
  <r>
    <d v="2024-07-07T00:00:00"/>
    <x v="3"/>
    <x v="677"/>
  </r>
  <r>
    <d v="2024-07-07T00:00:00"/>
    <x v="8"/>
    <x v="678"/>
  </r>
  <r>
    <d v="2024-07-08T00:00:00"/>
    <x v="4"/>
    <x v="679"/>
  </r>
  <r>
    <d v="2024-07-08T00:00:00"/>
    <x v="1"/>
    <x v="680"/>
  </r>
  <r>
    <d v="2024-07-08T00:00:00"/>
    <x v="2"/>
    <x v="681"/>
  </r>
  <r>
    <d v="2024-07-08T00:00:00"/>
    <x v="9"/>
    <x v="682"/>
  </r>
  <r>
    <d v="2024-07-08T00:00:00"/>
    <x v="8"/>
    <x v="683"/>
  </r>
  <r>
    <d v="2024-07-08T00:00:00"/>
    <x v="6"/>
    <x v="684"/>
  </r>
  <r>
    <d v="2024-07-08T00:00:00"/>
    <x v="7"/>
    <x v="685"/>
  </r>
  <r>
    <d v="2024-07-08T00:00:00"/>
    <x v="3"/>
    <x v="686"/>
  </r>
  <r>
    <d v="2024-07-08T00:00:00"/>
    <x v="0"/>
    <x v="687"/>
  </r>
  <r>
    <d v="2024-07-08T00:00:00"/>
    <x v="5"/>
    <x v="688"/>
  </r>
  <r>
    <d v="2024-07-09T00:00:00"/>
    <x v="5"/>
    <x v="689"/>
  </r>
  <r>
    <d v="2024-07-09T00:00:00"/>
    <x v="2"/>
    <x v="690"/>
  </r>
  <r>
    <d v="2024-07-09T00:00:00"/>
    <x v="6"/>
    <x v="691"/>
  </r>
  <r>
    <d v="2024-07-09T00:00:00"/>
    <x v="4"/>
    <x v="692"/>
  </r>
  <r>
    <d v="2024-07-09T00:00:00"/>
    <x v="1"/>
    <x v="693"/>
  </r>
  <r>
    <d v="2024-07-09T00:00:00"/>
    <x v="3"/>
    <x v="694"/>
  </r>
  <r>
    <d v="2024-07-09T00:00:00"/>
    <x v="9"/>
    <x v="695"/>
  </r>
  <r>
    <d v="2024-07-09T00:00:00"/>
    <x v="8"/>
    <x v="696"/>
  </r>
  <r>
    <d v="2024-07-09T00:00:00"/>
    <x v="0"/>
    <x v="697"/>
  </r>
  <r>
    <d v="2024-07-09T00:00:00"/>
    <x v="7"/>
    <x v="698"/>
  </r>
  <r>
    <d v="2024-07-10T00:00:00"/>
    <x v="9"/>
    <x v="699"/>
  </r>
  <r>
    <d v="2024-07-10T00:00:00"/>
    <x v="4"/>
    <x v="700"/>
  </r>
  <r>
    <d v="2024-07-10T00:00:00"/>
    <x v="5"/>
    <x v="701"/>
  </r>
  <r>
    <d v="2024-07-10T00:00:00"/>
    <x v="0"/>
    <x v="702"/>
  </r>
  <r>
    <d v="2024-07-10T00:00:00"/>
    <x v="8"/>
    <x v="703"/>
  </r>
  <r>
    <d v="2024-07-10T00:00:00"/>
    <x v="6"/>
    <x v="704"/>
  </r>
  <r>
    <d v="2024-07-10T00:00:00"/>
    <x v="1"/>
    <x v="705"/>
  </r>
  <r>
    <d v="2024-07-10T00:00:00"/>
    <x v="2"/>
    <x v="706"/>
  </r>
  <r>
    <d v="2024-07-10T00:00:00"/>
    <x v="3"/>
    <x v="707"/>
  </r>
  <r>
    <d v="2024-07-10T00:00:00"/>
    <x v="7"/>
    <x v="708"/>
  </r>
  <r>
    <d v="2024-07-11T00:00:00"/>
    <x v="0"/>
    <x v="709"/>
  </r>
  <r>
    <d v="2024-07-11T00:00:00"/>
    <x v="3"/>
    <x v="710"/>
  </r>
  <r>
    <d v="2024-07-11T00:00:00"/>
    <x v="7"/>
    <x v="711"/>
  </r>
  <r>
    <d v="2024-07-11T00:00:00"/>
    <x v="9"/>
    <x v="712"/>
  </r>
  <r>
    <d v="2024-07-11T00:00:00"/>
    <x v="8"/>
    <x v="713"/>
  </r>
  <r>
    <d v="2024-07-11T00:00:00"/>
    <x v="4"/>
    <x v="714"/>
  </r>
  <r>
    <d v="2024-07-11T00:00:00"/>
    <x v="1"/>
    <x v="715"/>
  </r>
  <r>
    <d v="2024-07-11T00:00:00"/>
    <x v="5"/>
    <x v="716"/>
  </r>
  <r>
    <d v="2024-07-11T00:00:00"/>
    <x v="6"/>
    <x v="717"/>
  </r>
  <r>
    <d v="2024-07-11T00:00:00"/>
    <x v="2"/>
    <x v="718"/>
  </r>
  <r>
    <d v="2024-07-12T00:00:00"/>
    <x v="4"/>
    <x v="719"/>
  </r>
  <r>
    <d v="2024-07-12T00:00:00"/>
    <x v="8"/>
    <x v="720"/>
  </r>
  <r>
    <d v="2024-07-12T00:00:00"/>
    <x v="1"/>
    <x v="721"/>
  </r>
  <r>
    <d v="2024-07-12T00:00:00"/>
    <x v="0"/>
    <x v="722"/>
  </r>
  <r>
    <d v="2024-07-12T00:00:00"/>
    <x v="5"/>
    <x v="723"/>
  </r>
  <r>
    <d v="2024-07-12T00:00:00"/>
    <x v="9"/>
    <x v="724"/>
  </r>
  <r>
    <d v="2024-07-12T00:00:00"/>
    <x v="6"/>
    <x v="725"/>
  </r>
  <r>
    <d v="2024-07-12T00:00:00"/>
    <x v="7"/>
    <x v="726"/>
  </r>
  <r>
    <d v="2024-07-12T00:00:00"/>
    <x v="3"/>
    <x v="727"/>
  </r>
  <r>
    <d v="2024-07-12T00:00:00"/>
    <x v="2"/>
    <x v="728"/>
  </r>
  <r>
    <d v="2024-07-13T00:00:00"/>
    <x v="2"/>
    <x v="729"/>
  </r>
  <r>
    <d v="2024-07-13T00:00:00"/>
    <x v="3"/>
    <x v="730"/>
  </r>
  <r>
    <d v="2024-07-13T00:00:00"/>
    <x v="4"/>
    <x v="731"/>
  </r>
  <r>
    <d v="2024-07-13T00:00:00"/>
    <x v="9"/>
    <x v="732"/>
  </r>
  <r>
    <d v="2024-07-13T00:00:00"/>
    <x v="7"/>
    <x v="733"/>
  </r>
  <r>
    <d v="2024-07-13T00:00:00"/>
    <x v="0"/>
    <x v="734"/>
  </r>
  <r>
    <d v="2024-07-13T00:00:00"/>
    <x v="8"/>
    <x v="735"/>
  </r>
  <r>
    <d v="2024-07-13T00:00:00"/>
    <x v="1"/>
    <x v="736"/>
  </r>
  <r>
    <d v="2024-07-13T00:00:00"/>
    <x v="5"/>
    <x v="737"/>
  </r>
  <r>
    <d v="2024-07-13T00:00:00"/>
    <x v="6"/>
    <x v="738"/>
  </r>
  <r>
    <d v="2024-07-14T00:00:00"/>
    <x v="3"/>
    <x v="739"/>
  </r>
  <r>
    <d v="2024-07-14T00:00:00"/>
    <x v="4"/>
    <x v="740"/>
  </r>
  <r>
    <d v="2024-07-14T00:00:00"/>
    <x v="2"/>
    <x v="741"/>
  </r>
  <r>
    <d v="2024-07-14T00:00:00"/>
    <x v="5"/>
    <x v="742"/>
  </r>
  <r>
    <d v="2024-07-14T00:00:00"/>
    <x v="7"/>
    <x v="743"/>
  </r>
  <r>
    <d v="2024-07-14T00:00:00"/>
    <x v="1"/>
    <x v="744"/>
  </r>
  <r>
    <d v="2024-07-14T00:00:00"/>
    <x v="6"/>
    <x v="745"/>
  </r>
  <r>
    <d v="2024-07-14T00:00:00"/>
    <x v="8"/>
    <x v="746"/>
  </r>
  <r>
    <d v="2024-07-14T00:00:00"/>
    <x v="0"/>
    <x v="747"/>
  </r>
  <r>
    <d v="2024-07-14T00:00:00"/>
    <x v="9"/>
    <x v="748"/>
  </r>
  <r>
    <d v="2024-07-15T00:00:00"/>
    <x v="6"/>
    <x v="749"/>
  </r>
  <r>
    <d v="2024-07-15T00:00:00"/>
    <x v="1"/>
    <x v="750"/>
  </r>
  <r>
    <d v="2024-07-15T00:00:00"/>
    <x v="5"/>
    <x v="751"/>
  </r>
  <r>
    <d v="2024-07-15T00:00:00"/>
    <x v="2"/>
    <x v="752"/>
  </r>
  <r>
    <d v="2024-07-15T00:00:00"/>
    <x v="8"/>
    <x v="753"/>
  </r>
  <r>
    <d v="2024-07-15T00:00:00"/>
    <x v="0"/>
    <x v="754"/>
  </r>
  <r>
    <d v="2024-07-15T00:00:00"/>
    <x v="9"/>
    <x v="755"/>
  </r>
  <r>
    <d v="2024-07-15T00:00:00"/>
    <x v="4"/>
    <x v="756"/>
  </r>
  <r>
    <d v="2024-07-15T00:00:00"/>
    <x v="3"/>
    <x v="757"/>
  </r>
  <r>
    <d v="2024-07-15T00:00:00"/>
    <x v="7"/>
    <x v="758"/>
  </r>
  <r>
    <d v="2024-07-16T00:00:00"/>
    <x v="3"/>
    <x v="759"/>
  </r>
  <r>
    <d v="2024-07-16T00:00:00"/>
    <x v="6"/>
    <x v="760"/>
  </r>
  <r>
    <d v="2024-07-16T00:00:00"/>
    <x v="8"/>
    <x v="761"/>
  </r>
  <r>
    <d v="2024-07-16T00:00:00"/>
    <x v="7"/>
    <x v="762"/>
  </r>
  <r>
    <d v="2024-07-16T00:00:00"/>
    <x v="1"/>
    <x v="763"/>
  </r>
  <r>
    <d v="2024-07-16T00:00:00"/>
    <x v="4"/>
    <x v="764"/>
  </r>
  <r>
    <d v="2024-07-16T00:00:00"/>
    <x v="2"/>
    <x v="765"/>
  </r>
  <r>
    <d v="2024-07-16T00:00:00"/>
    <x v="9"/>
    <x v="766"/>
  </r>
  <r>
    <d v="2024-07-16T00:00:00"/>
    <x v="5"/>
    <x v="767"/>
  </r>
  <r>
    <d v="2024-07-16T00:00:00"/>
    <x v="0"/>
    <x v="768"/>
  </r>
  <r>
    <d v="2024-07-17T00:00:00"/>
    <x v="7"/>
    <x v="769"/>
  </r>
  <r>
    <d v="2024-07-17T00:00:00"/>
    <x v="8"/>
    <x v="770"/>
  </r>
  <r>
    <d v="2024-07-17T00:00:00"/>
    <x v="4"/>
    <x v="771"/>
  </r>
  <r>
    <d v="2024-07-17T00:00:00"/>
    <x v="2"/>
    <x v="772"/>
  </r>
  <r>
    <d v="2024-07-17T00:00:00"/>
    <x v="5"/>
    <x v="773"/>
  </r>
  <r>
    <d v="2024-07-17T00:00:00"/>
    <x v="6"/>
    <x v="774"/>
  </r>
  <r>
    <d v="2024-07-17T00:00:00"/>
    <x v="9"/>
    <x v="775"/>
  </r>
  <r>
    <d v="2024-07-17T00:00:00"/>
    <x v="0"/>
    <x v="776"/>
  </r>
  <r>
    <d v="2024-07-17T00:00:00"/>
    <x v="1"/>
    <x v="777"/>
  </r>
  <r>
    <d v="2024-07-17T00:00:00"/>
    <x v="3"/>
    <x v="778"/>
  </r>
  <r>
    <d v="2024-07-18T00:00:00"/>
    <x v="5"/>
    <x v="779"/>
  </r>
  <r>
    <d v="2024-07-18T00:00:00"/>
    <x v="8"/>
    <x v="780"/>
  </r>
  <r>
    <d v="2024-07-18T00:00:00"/>
    <x v="0"/>
    <x v="781"/>
  </r>
  <r>
    <d v="2024-07-18T00:00:00"/>
    <x v="4"/>
    <x v="782"/>
  </r>
  <r>
    <d v="2024-07-18T00:00:00"/>
    <x v="9"/>
    <x v="783"/>
  </r>
  <r>
    <d v="2024-07-18T00:00:00"/>
    <x v="1"/>
    <x v="784"/>
  </r>
  <r>
    <d v="2024-07-18T00:00:00"/>
    <x v="3"/>
    <x v="785"/>
  </r>
  <r>
    <d v="2024-07-18T00:00:00"/>
    <x v="7"/>
    <x v="786"/>
  </r>
  <r>
    <d v="2024-07-18T00:00:00"/>
    <x v="2"/>
    <x v="787"/>
  </r>
  <r>
    <d v="2024-07-18T00:00:00"/>
    <x v="6"/>
    <x v="788"/>
  </r>
  <r>
    <d v="2024-07-19T00:00:00"/>
    <x v="5"/>
    <x v="789"/>
  </r>
  <r>
    <d v="2024-07-19T00:00:00"/>
    <x v="9"/>
    <x v="790"/>
  </r>
  <r>
    <d v="2024-07-19T00:00:00"/>
    <x v="7"/>
    <x v="791"/>
  </r>
  <r>
    <d v="2024-07-19T00:00:00"/>
    <x v="6"/>
    <x v="792"/>
  </r>
  <r>
    <d v="2024-07-19T00:00:00"/>
    <x v="8"/>
    <x v="793"/>
  </r>
  <r>
    <d v="2024-07-19T00:00:00"/>
    <x v="2"/>
    <x v="794"/>
  </r>
  <r>
    <d v="2024-07-19T00:00:00"/>
    <x v="3"/>
    <x v="795"/>
  </r>
  <r>
    <d v="2024-07-19T00:00:00"/>
    <x v="1"/>
    <x v="796"/>
  </r>
  <r>
    <d v="2024-07-19T00:00:00"/>
    <x v="4"/>
    <x v="797"/>
  </r>
  <r>
    <d v="2024-07-19T00:00:00"/>
    <x v="0"/>
    <x v="798"/>
  </r>
  <r>
    <d v="2024-07-20T00:00:00"/>
    <x v="3"/>
    <x v="799"/>
  </r>
  <r>
    <d v="2024-07-20T00:00:00"/>
    <x v="8"/>
    <x v="800"/>
  </r>
  <r>
    <d v="2024-07-20T00:00:00"/>
    <x v="5"/>
    <x v="801"/>
  </r>
  <r>
    <d v="2024-07-20T00:00:00"/>
    <x v="0"/>
    <x v="802"/>
  </r>
  <r>
    <d v="2024-07-20T00:00:00"/>
    <x v="2"/>
    <x v="803"/>
  </r>
  <r>
    <d v="2024-07-20T00:00:00"/>
    <x v="6"/>
    <x v="804"/>
  </r>
  <r>
    <d v="2024-07-20T00:00:00"/>
    <x v="4"/>
    <x v="805"/>
  </r>
  <r>
    <d v="2024-07-20T00:00:00"/>
    <x v="7"/>
    <x v="806"/>
  </r>
  <r>
    <d v="2024-07-20T00:00:00"/>
    <x v="1"/>
    <x v="807"/>
  </r>
  <r>
    <d v="2024-07-20T00:00:00"/>
    <x v="9"/>
    <x v="808"/>
  </r>
  <r>
    <d v="2024-07-21T00:00:00"/>
    <x v="0"/>
    <x v="809"/>
  </r>
  <r>
    <d v="2024-07-21T00:00:00"/>
    <x v="3"/>
    <x v="810"/>
  </r>
  <r>
    <d v="2024-07-21T00:00:00"/>
    <x v="2"/>
    <x v="811"/>
  </r>
  <r>
    <d v="2024-07-21T00:00:00"/>
    <x v="6"/>
    <x v="812"/>
  </r>
  <r>
    <d v="2024-07-21T00:00:00"/>
    <x v="7"/>
    <x v="813"/>
  </r>
  <r>
    <d v="2024-07-21T00:00:00"/>
    <x v="9"/>
    <x v="814"/>
  </r>
  <r>
    <d v="2024-07-21T00:00:00"/>
    <x v="1"/>
    <x v="815"/>
  </r>
  <r>
    <d v="2024-07-21T00:00:00"/>
    <x v="8"/>
    <x v="816"/>
  </r>
  <r>
    <d v="2024-07-21T00:00:00"/>
    <x v="4"/>
    <x v="817"/>
  </r>
  <r>
    <d v="2024-07-21T00:00:00"/>
    <x v="5"/>
    <x v="818"/>
  </r>
  <r>
    <d v="2024-07-22T00:00:00"/>
    <x v="5"/>
    <x v="819"/>
  </r>
  <r>
    <d v="2024-07-22T00:00:00"/>
    <x v="1"/>
    <x v="820"/>
  </r>
  <r>
    <d v="2024-07-22T00:00:00"/>
    <x v="4"/>
    <x v="821"/>
  </r>
  <r>
    <d v="2024-07-22T00:00:00"/>
    <x v="9"/>
    <x v="822"/>
  </r>
  <r>
    <d v="2024-07-22T00:00:00"/>
    <x v="7"/>
    <x v="823"/>
  </r>
  <r>
    <d v="2024-07-22T00:00:00"/>
    <x v="8"/>
    <x v="824"/>
  </r>
  <r>
    <d v="2024-07-22T00:00:00"/>
    <x v="0"/>
    <x v="825"/>
  </r>
  <r>
    <d v="2024-07-22T00:00:00"/>
    <x v="6"/>
    <x v="826"/>
  </r>
  <r>
    <d v="2024-07-22T00:00:00"/>
    <x v="3"/>
    <x v="827"/>
  </r>
  <r>
    <d v="2024-07-22T00:00:00"/>
    <x v="2"/>
    <x v="828"/>
  </r>
  <r>
    <d v="2024-07-23T00:00:00"/>
    <x v="4"/>
    <x v="829"/>
  </r>
  <r>
    <d v="2024-07-23T00:00:00"/>
    <x v="1"/>
    <x v="830"/>
  </r>
  <r>
    <d v="2024-07-23T00:00:00"/>
    <x v="2"/>
    <x v="831"/>
  </r>
  <r>
    <d v="2024-07-23T00:00:00"/>
    <x v="5"/>
    <x v="832"/>
  </r>
  <r>
    <d v="2024-07-23T00:00:00"/>
    <x v="3"/>
    <x v="833"/>
  </r>
  <r>
    <d v="2024-07-23T00:00:00"/>
    <x v="7"/>
    <x v="834"/>
  </r>
  <r>
    <d v="2024-07-23T00:00:00"/>
    <x v="8"/>
    <x v="835"/>
  </r>
  <r>
    <d v="2024-07-23T00:00:00"/>
    <x v="0"/>
    <x v="836"/>
  </r>
  <r>
    <d v="2024-07-23T00:00:00"/>
    <x v="9"/>
    <x v="837"/>
  </r>
  <r>
    <d v="2024-07-23T00:00:00"/>
    <x v="6"/>
    <x v="838"/>
  </r>
  <r>
    <d v="2024-07-24T00:00:00"/>
    <x v="5"/>
    <x v="839"/>
  </r>
  <r>
    <d v="2024-07-24T00:00:00"/>
    <x v="1"/>
    <x v="840"/>
  </r>
  <r>
    <d v="2024-07-24T00:00:00"/>
    <x v="9"/>
    <x v="841"/>
  </r>
  <r>
    <d v="2024-07-24T00:00:00"/>
    <x v="8"/>
    <x v="842"/>
  </r>
  <r>
    <d v="2024-07-24T00:00:00"/>
    <x v="3"/>
    <x v="843"/>
  </r>
  <r>
    <d v="2024-07-24T00:00:00"/>
    <x v="2"/>
    <x v="844"/>
  </r>
  <r>
    <d v="2024-07-24T00:00:00"/>
    <x v="6"/>
    <x v="845"/>
  </r>
  <r>
    <d v="2024-07-24T00:00:00"/>
    <x v="0"/>
    <x v="846"/>
  </r>
  <r>
    <d v="2024-07-24T00:00:00"/>
    <x v="7"/>
    <x v="847"/>
  </r>
  <r>
    <d v="2024-07-24T00:00:00"/>
    <x v="4"/>
    <x v="848"/>
  </r>
  <r>
    <d v="2024-07-25T00:00:00"/>
    <x v="8"/>
    <x v="849"/>
  </r>
  <r>
    <d v="2024-07-25T00:00:00"/>
    <x v="4"/>
    <x v="850"/>
  </r>
  <r>
    <d v="2024-07-25T00:00:00"/>
    <x v="1"/>
    <x v="851"/>
  </r>
  <r>
    <d v="2024-07-25T00:00:00"/>
    <x v="9"/>
    <x v="852"/>
  </r>
  <r>
    <d v="2024-07-25T00:00:00"/>
    <x v="7"/>
    <x v="853"/>
  </r>
  <r>
    <d v="2024-07-25T00:00:00"/>
    <x v="3"/>
    <x v="854"/>
  </r>
  <r>
    <d v="2024-07-25T00:00:00"/>
    <x v="0"/>
    <x v="855"/>
  </r>
  <r>
    <d v="2024-07-25T00:00:00"/>
    <x v="5"/>
    <x v="856"/>
  </r>
  <r>
    <d v="2024-07-25T00:00:00"/>
    <x v="6"/>
    <x v="857"/>
  </r>
  <r>
    <d v="2024-07-25T00:00:00"/>
    <x v="2"/>
    <x v="858"/>
  </r>
  <r>
    <d v="2024-07-26T00:00:00"/>
    <x v="9"/>
    <x v="859"/>
  </r>
  <r>
    <d v="2024-07-26T00:00:00"/>
    <x v="4"/>
    <x v="860"/>
  </r>
  <r>
    <d v="2024-07-26T00:00:00"/>
    <x v="2"/>
    <x v="861"/>
  </r>
  <r>
    <d v="2024-07-26T00:00:00"/>
    <x v="3"/>
    <x v="862"/>
  </r>
  <r>
    <d v="2024-07-26T00:00:00"/>
    <x v="0"/>
    <x v="863"/>
  </r>
  <r>
    <d v="2024-07-26T00:00:00"/>
    <x v="1"/>
    <x v="864"/>
  </r>
  <r>
    <d v="2024-07-26T00:00:00"/>
    <x v="8"/>
    <x v="865"/>
  </r>
  <r>
    <d v="2024-07-26T00:00:00"/>
    <x v="7"/>
    <x v="866"/>
  </r>
  <r>
    <d v="2024-07-26T00:00:00"/>
    <x v="6"/>
    <x v="867"/>
  </r>
  <r>
    <d v="2024-07-26T00:00:00"/>
    <x v="5"/>
    <x v="868"/>
  </r>
  <r>
    <d v="2024-07-27T00:00:00"/>
    <x v="8"/>
    <x v="869"/>
  </r>
  <r>
    <d v="2024-07-27T00:00:00"/>
    <x v="5"/>
    <x v="870"/>
  </r>
  <r>
    <d v="2024-07-27T00:00:00"/>
    <x v="9"/>
    <x v="871"/>
  </r>
  <r>
    <d v="2024-07-27T00:00:00"/>
    <x v="3"/>
    <x v="872"/>
  </r>
  <r>
    <d v="2024-07-27T00:00:00"/>
    <x v="4"/>
    <x v="873"/>
  </r>
  <r>
    <d v="2024-07-27T00:00:00"/>
    <x v="6"/>
    <x v="874"/>
  </r>
  <r>
    <d v="2024-07-27T00:00:00"/>
    <x v="0"/>
    <x v="875"/>
  </r>
  <r>
    <d v="2024-07-27T00:00:00"/>
    <x v="1"/>
    <x v="876"/>
  </r>
  <r>
    <d v="2024-07-27T00:00:00"/>
    <x v="2"/>
    <x v="877"/>
  </r>
  <r>
    <d v="2024-07-27T00:00:00"/>
    <x v="7"/>
    <x v="878"/>
  </r>
  <r>
    <d v="2024-07-28T00:00:00"/>
    <x v="7"/>
    <x v="879"/>
  </r>
  <r>
    <d v="2024-07-28T00:00:00"/>
    <x v="3"/>
    <x v="880"/>
  </r>
  <r>
    <d v="2024-07-28T00:00:00"/>
    <x v="1"/>
    <x v="881"/>
  </r>
  <r>
    <d v="2024-07-28T00:00:00"/>
    <x v="2"/>
    <x v="882"/>
  </r>
  <r>
    <d v="2024-07-28T00:00:00"/>
    <x v="5"/>
    <x v="883"/>
  </r>
  <r>
    <d v="2024-07-28T00:00:00"/>
    <x v="6"/>
    <x v="884"/>
  </r>
  <r>
    <d v="2024-07-28T00:00:00"/>
    <x v="4"/>
    <x v="885"/>
  </r>
  <r>
    <d v="2024-07-28T00:00:00"/>
    <x v="9"/>
    <x v="886"/>
  </r>
  <r>
    <d v="2024-07-28T00:00:00"/>
    <x v="8"/>
    <x v="887"/>
  </r>
  <r>
    <d v="2024-07-28T00:00:00"/>
    <x v="0"/>
    <x v="888"/>
  </r>
  <r>
    <d v="2024-07-29T00:00:00"/>
    <x v="0"/>
    <x v="889"/>
  </r>
  <r>
    <d v="2024-07-29T00:00:00"/>
    <x v="3"/>
    <x v="890"/>
  </r>
  <r>
    <d v="2024-07-29T00:00:00"/>
    <x v="4"/>
    <x v="891"/>
  </r>
  <r>
    <d v="2024-07-29T00:00:00"/>
    <x v="5"/>
    <x v="892"/>
  </r>
  <r>
    <d v="2024-07-29T00:00:00"/>
    <x v="2"/>
    <x v="893"/>
  </r>
  <r>
    <d v="2024-07-29T00:00:00"/>
    <x v="9"/>
    <x v="894"/>
  </r>
  <r>
    <d v="2024-07-29T00:00:00"/>
    <x v="8"/>
    <x v="895"/>
  </r>
  <r>
    <d v="2024-07-29T00:00:00"/>
    <x v="6"/>
    <x v="896"/>
  </r>
  <r>
    <d v="2024-07-29T00:00:00"/>
    <x v="1"/>
    <x v="897"/>
  </r>
  <r>
    <d v="2024-07-29T00:00:00"/>
    <x v="7"/>
    <x v="898"/>
  </r>
  <r>
    <d v="2024-07-30T00:00:00"/>
    <x v="4"/>
    <x v="899"/>
  </r>
  <r>
    <d v="2024-07-30T00:00:00"/>
    <x v="6"/>
    <x v="900"/>
  </r>
  <r>
    <d v="2024-07-30T00:00:00"/>
    <x v="2"/>
    <x v="901"/>
  </r>
  <r>
    <d v="2024-07-30T00:00:00"/>
    <x v="1"/>
    <x v="902"/>
  </r>
  <r>
    <d v="2024-07-30T00:00:00"/>
    <x v="5"/>
    <x v="903"/>
  </r>
  <r>
    <d v="2024-07-30T00:00:00"/>
    <x v="0"/>
    <x v="904"/>
  </r>
  <r>
    <d v="2024-07-30T00:00:00"/>
    <x v="3"/>
    <x v="905"/>
  </r>
  <r>
    <d v="2024-07-30T00:00:00"/>
    <x v="8"/>
    <x v="906"/>
  </r>
  <r>
    <d v="2024-07-30T00:00:00"/>
    <x v="9"/>
    <x v="907"/>
  </r>
  <r>
    <d v="2024-07-30T00:00:00"/>
    <x v="7"/>
    <x v="908"/>
  </r>
  <r>
    <d v="2024-07-31T00:00:00"/>
    <x v="1"/>
    <x v="909"/>
  </r>
  <r>
    <d v="2024-07-31T00:00:00"/>
    <x v="7"/>
    <x v="910"/>
  </r>
  <r>
    <d v="2024-07-31T00:00:00"/>
    <x v="2"/>
    <x v="911"/>
  </r>
  <r>
    <d v="2024-07-31T00:00:00"/>
    <x v="9"/>
    <x v="912"/>
  </r>
  <r>
    <d v="2024-07-31T00:00:00"/>
    <x v="0"/>
    <x v="913"/>
  </r>
  <r>
    <d v="2024-07-31T00:00:00"/>
    <x v="3"/>
    <x v="914"/>
  </r>
  <r>
    <d v="2024-07-31T00:00:00"/>
    <x v="5"/>
    <x v="915"/>
  </r>
  <r>
    <d v="2024-07-31T00:00:00"/>
    <x v="6"/>
    <x v="916"/>
  </r>
  <r>
    <d v="2024-07-31T00:00:00"/>
    <x v="4"/>
    <x v="917"/>
  </r>
  <r>
    <d v="2024-07-31T00:00:00"/>
    <x v="8"/>
    <x v="918"/>
  </r>
  <r>
    <d v="2024-08-01T00:00:00"/>
    <x v="8"/>
    <x v="919"/>
  </r>
  <r>
    <d v="2024-08-01T00:00:00"/>
    <x v="7"/>
    <x v="920"/>
  </r>
  <r>
    <d v="2024-08-01T00:00:00"/>
    <x v="3"/>
    <x v="921"/>
  </r>
  <r>
    <d v="2024-08-01T00:00:00"/>
    <x v="2"/>
    <x v="922"/>
  </r>
  <r>
    <d v="2024-08-01T00:00:00"/>
    <x v="0"/>
    <x v="923"/>
  </r>
  <r>
    <d v="2024-08-01T00:00:00"/>
    <x v="4"/>
    <x v="924"/>
  </r>
  <r>
    <d v="2024-08-01T00:00:00"/>
    <x v="5"/>
    <x v="925"/>
  </r>
  <r>
    <d v="2024-08-01T00:00:00"/>
    <x v="1"/>
    <x v="926"/>
  </r>
  <r>
    <d v="2024-08-01T00:00:00"/>
    <x v="9"/>
    <x v="927"/>
  </r>
  <r>
    <d v="2024-08-01T00:00:00"/>
    <x v="6"/>
    <x v="928"/>
  </r>
  <r>
    <d v="2024-08-02T00:00:00"/>
    <x v="8"/>
    <x v="929"/>
  </r>
  <r>
    <d v="2024-08-02T00:00:00"/>
    <x v="3"/>
    <x v="930"/>
  </r>
  <r>
    <d v="2024-08-02T00:00:00"/>
    <x v="0"/>
    <x v="931"/>
  </r>
  <r>
    <d v="2024-08-02T00:00:00"/>
    <x v="1"/>
    <x v="932"/>
  </r>
  <r>
    <d v="2024-08-02T00:00:00"/>
    <x v="9"/>
    <x v="933"/>
  </r>
  <r>
    <d v="2024-08-02T00:00:00"/>
    <x v="6"/>
    <x v="934"/>
  </r>
  <r>
    <d v="2024-08-02T00:00:00"/>
    <x v="5"/>
    <x v="935"/>
  </r>
  <r>
    <d v="2024-08-02T00:00:00"/>
    <x v="2"/>
    <x v="936"/>
  </r>
  <r>
    <d v="2024-08-02T00:00:00"/>
    <x v="4"/>
    <x v="937"/>
  </r>
  <r>
    <d v="2024-08-02T00:00:00"/>
    <x v="7"/>
    <x v="938"/>
  </r>
  <r>
    <d v="2024-08-03T00:00:00"/>
    <x v="6"/>
    <x v="939"/>
  </r>
  <r>
    <d v="2024-08-03T00:00:00"/>
    <x v="1"/>
    <x v="940"/>
  </r>
  <r>
    <d v="2024-08-03T00:00:00"/>
    <x v="2"/>
    <x v="941"/>
  </r>
  <r>
    <d v="2024-08-03T00:00:00"/>
    <x v="4"/>
    <x v="942"/>
  </r>
  <r>
    <d v="2024-08-03T00:00:00"/>
    <x v="7"/>
    <x v="943"/>
  </r>
  <r>
    <d v="2024-08-03T00:00:00"/>
    <x v="0"/>
    <x v="944"/>
  </r>
  <r>
    <d v="2024-08-03T00:00:00"/>
    <x v="8"/>
    <x v="945"/>
  </r>
  <r>
    <d v="2024-08-03T00:00:00"/>
    <x v="9"/>
    <x v="946"/>
  </r>
  <r>
    <d v="2024-08-03T00:00:00"/>
    <x v="3"/>
    <x v="947"/>
  </r>
  <r>
    <d v="2024-08-03T00:00:00"/>
    <x v="5"/>
    <x v="948"/>
  </r>
  <r>
    <d v="2024-08-04T00:00:00"/>
    <x v="6"/>
    <x v="949"/>
  </r>
  <r>
    <d v="2024-08-04T00:00:00"/>
    <x v="4"/>
    <x v="950"/>
  </r>
  <r>
    <d v="2024-08-04T00:00:00"/>
    <x v="9"/>
    <x v="951"/>
  </r>
  <r>
    <d v="2024-08-04T00:00:00"/>
    <x v="5"/>
    <x v="952"/>
  </r>
  <r>
    <d v="2024-08-04T00:00:00"/>
    <x v="8"/>
    <x v="953"/>
  </r>
  <r>
    <d v="2024-08-04T00:00:00"/>
    <x v="1"/>
    <x v="954"/>
  </r>
  <r>
    <d v="2024-08-04T00:00:00"/>
    <x v="7"/>
    <x v="955"/>
  </r>
  <r>
    <d v="2024-08-04T00:00:00"/>
    <x v="2"/>
    <x v="956"/>
  </r>
  <r>
    <d v="2024-08-04T00:00:00"/>
    <x v="0"/>
    <x v="957"/>
  </r>
  <r>
    <d v="2024-08-04T00:00:00"/>
    <x v="3"/>
    <x v="958"/>
  </r>
  <r>
    <d v="2024-08-05T00:00:00"/>
    <x v="9"/>
    <x v="959"/>
  </r>
  <r>
    <d v="2024-08-05T00:00:00"/>
    <x v="8"/>
    <x v="960"/>
  </r>
  <r>
    <d v="2024-08-05T00:00:00"/>
    <x v="5"/>
    <x v="961"/>
  </r>
  <r>
    <d v="2024-08-05T00:00:00"/>
    <x v="4"/>
    <x v="962"/>
  </r>
  <r>
    <d v="2024-08-05T00:00:00"/>
    <x v="1"/>
    <x v="963"/>
  </r>
  <r>
    <d v="2024-08-05T00:00:00"/>
    <x v="6"/>
    <x v="964"/>
  </r>
  <r>
    <d v="2024-08-05T00:00:00"/>
    <x v="7"/>
    <x v="965"/>
  </r>
  <r>
    <d v="2024-08-05T00:00:00"/>
    <x v="0"/>
    <x v="966"/>
  </r>
  <r>
    <d v="2024-08-05T00:00:00"/>
    <x v="2"/>
    <x v="967"/>
  </r>
  <r>
    <d v="2024-08-05T00:00:00"/>
    <x v="3"/>
    <x v="968"/>
  </r>
  <r>
    <d v="2024-08-06T00:00:00"/>
    <x v="6"/>
    <x v="969"/>
  </r>
  <r>
    <d v="2024-08-06T00:00:00"/>
    <x v="4"/>
    <x v="970"/>
  </r>
  <r>
    <d v="2024-08-06T00:00:00"/>
    <x v="0"/>
    <x v="971"/>
  </r>
  <r>
    <d v="2024-08-06T00:00:00"/>
    <x v="8"/>
    <x v="972"/>
  </r>
  <r>
    <d v="2024-08-06T00:00:00"/>
    <x v="5"/>
    <x v="973"/>
  </r>
  <r>
    <d v="2024-08-06T00:00:00"/>
    <x v="1"/>
    <x v="974"/>
  </r>
  <r>
    <d v="2024-08-06T00:00:00"/>
    <x v="2"/>
    <x v="975"/>
  </r>
  <r>
    <d v="2024-08-06T00:00:00"/>
    <x v="3"/>
    <x v="976"/>
  </r>
  <r>
    <d v="2024-08-06T00:00:00"/>
    <x v="7"/>
    <x v="977"/>
  </r>
  <r>
    <d v="2024-08-06T00:00:00"/>
    <x v="9"/>
    <x v="978"/>
  </r>
  <r>
    <d v="2024-08-07T00:00:00"/>
    <x v="1"/>
    <x v="979"/>
  </r>
  <r>
    <d v="2024-08-07T00:00:00"/>
    <x v="4"/>
    <x v="980"/>
  </r>
  <r>
    <d v="2024-08-07T00:00:00"/>
    <x v="2"/>
    <x v="981"/>
  </r>
  <r>
    <d v="2024-08-07T00:00:00"/>
    <x v="6"/>
    <x v="982"/>
  </r>
  <r>
    <d v="2024-08-07T00:00:00"/>
    <x v="7"/>
    <x v="983"/>
  </r>
  <r>
    <d v="2024-08-07T00:00:00"/>
    <x v="8"/>
    <x v="984"/>
  </r>
  <r>
    <d v="2024-08-07T00:00:00"/>
    <x v="0"/>
    <x v="985"/>
  </r>
  <r>
    <d v="2024-08-07T00:00:00"/>
    <x v="9"/>
    <x v="986"/>
  </r>
  <r>
    <d v="2024-08-07T00:00:00"/>
    <x v="5"/>
    <x v="987"/>
  </r>
  <r>
    <d v="2024-08-07T00:00:00"/>
    <x v="3"/>
    <x v="988"/>
  </r>
  <r>
    <d v="2024-08-08T00:00:00"/>
    <x v="5"/>
    <x v="989"/>
  </r>
  <r>
    <d v="2024-08-08T00:00:00"/>
    <x v="6"/>
    <x v="990"/>
  </r>
  <r>
    <d v="2024-08-08T00:00:00"/>
    <x v="1"/>
    <x v="991"/>
  </r>
  <r>
    <d v="2024-08-08T00:00:00"/>
    <x v="2"/>
    <x v="992"/>
  </r>
  <r>
    <d v="2024-08-08T00:00:00"/>
    <x v="0"/>
    <x v="993"/>
  </r>
  <r>
    <d v="2024-08-08T00:00:00"/>
    <x v="3"/>
    <x v="994"/>
  </r>
  <r>
    <d v="2024-08-08T00:00:00"/>
    <x v="4"/>
    <x v="995"/>
  </r>
  <r>
    <d v="2024-08-08T00:00:00"/>
    <x v="8"/>
    <x v="996"/>
  </r>
  <r>
    <d v="2024-08-08T00:00:00"/>
    <x v="9"/>
    <x v="997"/>
  </r>
  <r>
    <d v="2024-08-08T00:00:00"/>
    <x v="7"/>
    <x v="998"/>
  </r>
  <r>
    <d v="2024-08-09T00:00:00"/>
    <x v="6"/>
    <x v="999"/>
  </r>
  <r>
    <d v="2024-08-09T00:00:00"/>
    <x v="7"/>
    <x v="1000"/>
  </r>
  <r>
    <d v="2024-08-09T00:00:00"/>
    <x v="3"/>
    <x v="1001"/>
  </r>
  <r>
    <d v="2024-08-09T00:00:00"/>
    <x v="0"/>
    <x v="1002"/>
  </r>
  <r>
    <d v="2024-08-09T00:00:00"/>
    <x v="9"/>
    <x v="1003"/>
  </r>
  <r>
    <d v="2024-08-09T00:00:00"/>
    <x v="1"/>
    <x v="1004"/>
  </r>
  <r>
    <d v="2024-08-09T00:00:00"/>
    <x v="4"/>
    <x v="1005"/>
  </r>
  <r>
    <d v="2024-08-09T00:00:00"/>
    <x v="2"/>
    <x v="1006"/>
  </r>
  <r>
    <d v="2024-08-09T00:00:00"/>
    <x v="5"/>
    <x v="1007"/>
  </r>
  <r>
    <d v="2024-08-09T00:00:00"/>
    <x v="8"/>
    <x v="1008"/>
  </r>
  <r>
    <d v="2024-08-10T00:00:00"/>
    <x v="0"/>
    <x v="1009"/>
  </r>
  <r>
    <d v="2024-08-10T00:00:00"/>
    <x v="3"/>
    <x v="1010"/>
  </r>
  <r>
    <d v="2024-08-10T00:00:00"/>
    <x v="7"/>
    <x v="1011"/>
  </r>
  <r>
    <d v="2024-08-10T00:00:00"/>
    <x v="5"/>
    <x v="1012"/>
  </r>
  <r>
    <d v="2024-08-10T00:00:00"/>
    <x v="6"/>
    <x v="1013"/>
  </r>
  <r>
    <d v="2024-08-10T00:00:00"/>
    <x v="8"/>
    <x v="1014"/>
  </r>
  <r>
    <d v="2024-08-10T00:00:00"/>
    <x v="2"/>
    <x v="1015"/>
  </r>
  <r>
    <d v="2024-08-10T00:00:00"/>
    <x v="9"/>
    <x v="1016"/>
  </r>
  <r>
    <d v="2024-08-10T00:00:00"/>
    <x v="4"/>
    <x v="1017"/>
  </r>
  <r>
    <d v="2024-08-10T00:00:00"/>
    <x v="1"/>
    <x v="1018"/>
  </r>
  <r>
    <d v="2024-08-11T00:00:00"/>
    <x v="1"/>
    <x v="1019"/>
  </r>
  <r>
    <d v="2024-08-11T00:00:00"/>
    <x v="9"/>
    <x v="1020"/>
  </r>
  <r>
    <d v="2024-08-11T00:00:00"/>
    <x v="2"/>
    <x v="1021"/>
  </r>
  <r>
    <d v="2024-08-11T00:00:00"/>
    <x v="5"/>
    <x v="1022"/>
  </r>
  <r>
    <d v="2024-08-11T00:00:00"/>
    <x v="8"/>
    <x v="1023"/>
  </r>
  <r>
    <d v="2024-08-11T00:00:00"/>
    <x v="6"/>
    <x v="1024"/>
  </r>
  <r>
    <d v="2024-08-11T00:00:00"/>
    <x v="0"/>
    <x v="1025"/>
  </r>
  <r>
    <d v="2024-08-11T00:00:00"/>
    <x v="7"/>
    <x v="1026"/>
  </r>
  <r>
    <d v="2024-08-11T00:00:00"/>
    <x v="4"/>
    <x v="1027"/>
  </r>
  <r>
    <d v="2024-08-11T00:00:00"/>
    <x v="3"/>
    <x v="1028"/>
  </r>
  <r>
    <d v="2024-08-12T00:00:00"/>
    <x v="8"/>
    <x v="1029"/>
  </r>
  <r>
    <d v="2024-08-12T00:00:00"/>
    <x v="2"/>
    <x v="1030"/>
  </r>
  <r>
    <d v="2024-08-12T00:00:00"/>
    <x v="6"/>
    <x v="1031"/>
  </r>
  <r>
    <d v="2024-08-12T00:00:00"/>
    <x v="4"/>
    <x v="1032"/>
  </r>
  <r>
    <d v="2024-08-12T00:00:00"/>
    <x v="3"/>
    <x v="1033"/>
  </r>
  <r>
    <d v="2024-08-12T00:00:00"/>
    <x v="1"/>
    <x v="1034"/>
  </r>
  <r>
    <d v="2024-08-12T00:00:00"/>
    <x v="7"/>
    <x v="1035"/>
  </r>
  <r>
    <d v="2024-08-12T00:00:00"/>
    <x v="5"/>
    <x v="1036"/>
  </r>
  <r>
    <d v="2024-08-12T00:00:00"/>
    <x v="9"/>
    <x v="1037"/>
  </r>
  <r>
    <d v="2024-08-12T00:00:00"/>
    <x v="0"/>
    <x v="1038"/>
  </r>
  <r>
    <d v="2024-08-13T00:00:00"/>
    <x v="8"/>
    <x v="1039"/>
  </r>
  <r>
    <d v="2024-08-13T00:00:00"/>
    <x v="3"/>
    <x v="1040"/>
  </r>
  <r>
    <d v="2024-08-13T00:00:00"/>
    <x v="1"/>
    <x v="1041"/>
  </r>
  <r>
    <d v="2024-08-13T00:00:00"/>
    <x v="7"/>
    <x v="1042"/>
  </r>
  <r>
    <d v="2024-08-13T00:00:00"/>
    <x v="4"/>
    <x v="1043"/>
  </r>
  <r>
    <d v="2024-08-13T00:00:00"/>
    <x v="6"/>
    <x v="1044"/>
  </r>
  <r>
    <d v="2024-08-13T00:00:00"/>
    <x v="9"/>
    <x v="1045"/>
  </r>
  <r>
    <d v="2024-08-13T00:00:00"/>
    <x v="2"/>
    <x v="1046"/>
  </r>
  <r>
    <d v="2024-08-13T00:00:00"/>
    <x v="5"/>
    <x v="1047"/>
  </r>
  <r>
    <d v="2024-08-13T00:00:00"/>
    <x v="0"/>
    <x v="1048"/>
  </r>
  <r>
    <d v="2024-08-14T00:00:00"/>
    <x v="8"/>
    <x v="1049"/>
  </r>
  <r>
    <d v="2024-08-14T00:00:00"/>
    <x v="4"/>
    <x v="1050"/>
  </r>
  <r>
    <d v="2024-08-14T00:00:00"/>
    <x v="5"/>
    <x v="1051"/>
  </r>
  <r>
    <d v="2024-08-14T00:00:00"/>
    <x v="9"/>
    <x v="1052"/>
  </r>
  <r>
    <d v="2024-08-14T00:00:00"/>
    <x v="6"/>
    <x v="1053"/>
  </r>
  <r>
    <d v="2024-08-14T00:00:00"/>
    <x v="1"/>
    <x v="1054"/>
  </r>
  <r>
    <d v="2024-08-14T00:00:00"/>
    <x v="0"/>
    <x v="1055"/>
  </r>
  <r>
    <d v="2024-08-14T00:00:00"/>
    <x v="3"/>
    <x v="1056"/>
  </r>
  <r>
    <d v="2024-08-14T00:00:00"/>
    <x v="2"/>
    <x v="1057"/>
  </r>
  <r>
    <d v="2024-08-14T00:00:00"/>
    <x v="7"/>
    <x v="1058"/>
  </r>
  <r>
    <d v="2024-08-15T00:00:00"/>
    <x v="8"/>
    <x v="1059"/>
  </r>
  <r>
    <d v="2024-08-15T00:00:00"/>
    <x v="7"/>
    <x v="1060"/>
  </r>
  <r>
    <d v="2024-08-15T00:00:00"/>
    <x v="1"/>
    <x v="1061"/>
  </r>
  <r>
    <d v="2024-08-15T00:00:00"/>
    <x v="9"/>
    <x v="1062"/>
  </r>
  <r>
    <d v="2024-08-15T00:00:00"/>
    <x v="2"/>
    <x v="1063"/>
  </r>
  <r>
    <d v="2024-08-15T00:00:00"/>
    <x v="0"/>
    <x v="1064"/>
  </r>
  <r>
    <d v="2024-08-15T00:00:00"/>
    <x v="5"/>
    <x v="1065"/>
  </r>
  <r>
    <d v="2024-08-15T00:00:00"/>
    <x v="3"/>
    <x v="1066"/>
  </r>
  <r>
    <d v="2024-08-15T00:00:00"/>
    <x v="6"/>
    <x v="1067"/>
  </r>
  <r>
    <d v="2024-08-15T00:00:00"/>
    <x v="4"/>
    <x v="1068"/>
  </r>
  <r>
    <d v="2024-08-16T00:00:00"/>
    <x v="1"/>
    <x v="1069"/>
  </r>
  <r>
    <d v="2024-08-16T00:00:00"/>
    <x v="7"/>
    <x v="1070"/>
  </r>
  <r>
    <d v="2024-08-16T00:00:00"/>
    <x v="3"/>
    <x v="1071"/>
  </r>
  <r>
    <d v="2024-08-16T00:00:00"/>
    <x v="5"/>
    <x v="1072"/>
  </r>
  <r>
    <d v="2024-08-16T00:00:00"/>
    <x v="6"/>
    <x v="1073"/>
  </r>
  <r>
    <d v="2024-08-16T00:00:00"/>
    <x v="9"/>
    <x v="1074"/>
  </r>
  <r>
    <d v="2024-08-16T00:00:00"/>
    <x v="8"/>
    <x v="1075"/>
  </r>
  <r>
    <d v="2024-08-16T00:00:00"/>
    <x v="2"/>
    <x v="1076"/>
  </r>
  <r>
    <d v="2024-08-16T00:00:00"/>
    <x v="0"/>
    <x v="1077"/>
  </r>
  <r>
    <d v="2024-08-16T00:00:00"/>
    <x v="4"/>
    <x v="1078"/>
  </r>
  <r>
    <d v="2024-08-17T00:00:00"/>
    <x v="9"/>
    <x v="1079"/>
  </r>
  <r>
    <d v="2024-08-17T00:00:00"/>
    <x v="0"/>
    <x v="1080"/>
  </r>
  <r>
    <d v="2024-08-17T00:00:00"/>
    <x v="5"/>
    <x v="1081"/>
  </r>
  <r>
    <d v="2024-08-17T00:00:00"/>
    <x v="3"/>
    <x v="1082"/>
  </r>
  <r>
    <d v="2024-08-17T00:00:00"/>
    <x v="4"/>
    <x v="1083"/>
  </r>
  <r>
    <d v="2024-08-17T00:00:00"/>
    <x v="8"/>
    <x v="1084"/>
  </r>
  <r>
    <d v="2024-08-17T00:00:00"/>
    <x v="6"/>
    <x v="1085"/>
  </r>
  <r>
    <d v="2024-08-17T00:00:00"/>
    <x v="7"/>
    <x v="1086"/>
  </r>
  <r>
    <d v="2024-08-17T00:00:00"/>
    <x v="2"/>
    <x v="1087"/>
  </r>
  <r>
    <d v="2024-08-17T00:00:00"/>
    <x v="1"/>
    <x v="1088"/>
  </r>
  <r>
    <d v="2024-08-18T00:00:00"/>
    <x v="6"/>
    <x v="1089"/>
  </r>
  <r>
    <d v="2024-08-18T00:00:00"/>
    <x v="5"/>
    <x v="1090"/>
  </r>
  <r>
    <d v="2024-08-18T00:00:00"/>
    <x v="2"/>
    <x v="1091"/>
  </r>
  <r>
    <d v="2024-08-18T00:00:00"/>
    <x v="9"/>
    <x v="1092"/>
  </r>
  <r>
    <d v="2024-08-18T00:00:00"/>
    <x v="0"/>
    <x v="1093"/>
  </r>
  <r>
    <d v="2024-08-18T00:00:00"/>
    <x v="3"/>
    <x v="1094"/>
  </r>
  <r>
    <d v="2024-08-18T00:00:00"/>
    <x v="1"/>
    <x v="1095"/>
  </r>
  <r>
    <d v="2024-08-18T00:00:00"/>
    <x v="8"/>
    <x v="1096"/>
  </r>
  <r>
    <d v="2024-08-18T00:00:00"/>
    <x v="4"/>
    <x v="1097"/>
  </r>
  <r>
    <d v="2024-08-18T00:00:00"/>
    <x v="7"/>
    <x v="1098"/>
  </r>
  <r>
    <d v="2024-08-19T00:00:00"/>
    <x v="9"/>
    <x v="1099"/>
  </r>
  <r>
    <d v="2024-08-19T00:00:00"/>
    <x v="1"/>
    <x v="1100"/>
  </r>
  <r>
    <d v="2024-08-19T00:00:00"/>
    <x v="0"/>
    <x v="1101"/>
  </r>
  <r>
    <d v="2024-08-19T00:00:00"/>
    <x v="4"/>
    <x v="1102"/>
  </r>
  <r>
    <d v="2024-08-19T00:00:00"/>
    <x v="8"/>
    <x v="1103"/>
  </r>
  <r>
    <d v="2024-08-19T00:00:00"/>
    <x v="7"/>
    <x v="1104"/>
  </r>
  <r>
    <d v="2024-08-19T00:00:00"/>
    <x v="3"/>
    <x v="1105"/>
  </r>
  <r>
    <d v="2024-08-19T00:00:00"/>
    <x v="6"/>
    <x v="1106"/>
  </r>
  <r>
    <d v="2024-08-19T00:00:00"/>
    <x v="2"/>
    <x v="1107"/>
  </r>
  <r>
    <d v="2024-08-19T00:00:00"/>
    <x v="5"/>
    <x v="1108"/>
  </r>
  <r>
    <d v="2024-08-20T00:00:00"/>
    <x v="4"/>
    <x v="1109"/>
  </r>
  <r>
    <d v="2024-08-20T00:00:00"/>
    <x v="6"/>
    <x v="1110"/>
  </r>
  <r>
    <d v="2024-08-20T00:00:00"/>
    <x v="2"/>
    <x v="1111"/>
  </r>
  <r>
    <d v="2024-08-20T00:00:00"/>
    <x v="0"/>
    <x v="1112"/>
  </r>
  <r>
    <d v="2024-08-20T00:00:00"/>
    <x v="7"/>
    <x v="1113"/>
  </r>
  <r>
    <d v="2024-08-20T00:00:00"/>
    <x v="3"/>
    <x v="1114"/>
  </r>
  <r>
    <d v="2024-08-20T00:00:00"/>
    <x v="1"/>
    <x v="1115"/>
  </r>
  <r>
    <d v="2024-08-20T00:00:00"/>
    <x v="8"/>
    <x v="1116"/>
  </r>
  <r>
    <d v="2024-08-20T00:00:00"/>
    <x v="9"/>
    <x v="1117"/>
  </r>
  <r>
    <d v="2024-08-20T00:00:00"/>
    <x v="5"/>
    <x v="11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3A2F8-0BA6-A94F-BA01-30000A2517C5}" name="数据透视表2" cacheId="1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O4:Q13" firstHeaderRow="0" firstDataRow="1" firstDataCol="1" rowPageCount="1" colPageCount="1"/>
  <pivotFields count="7">
    <pivotField axis="axisPage"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7">
        <item x="3"/>
        <item x="4"/>
        <item x="5"/>
        <item x="0"/>
        <item x="1"/>
        <item x="2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dataField="1" showAll="0"/>
  </pivotFields>
  <rowFields count="2">
    <field x="1"/>
    <field x="2"/>
  </rowFields>
  <rowItems count="9">
    <i>
      <x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求和项:sub_success_to_paid_gmv" fld="6" baseField="0" baseItem="0"/>
    <dataField name="平均值项:sub_success_to_paid_uv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3B63A-7FD2-E44E-A29A-EB3E345DDBA6}" name="数据透视表3" cacheId="1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G2:H13" firstHeaderRow="1" firstDataRow="1" firstDataCol="1"/>
  <pivotFields count="3">
    <pivotField numFmtId="31" showAll="0"/>
    <pivotField axis="axisRow" showAll="0">
      <items count="11">
        <item x="9"/>
        <item x="3"/>
        <item x="2"/>
        <item x="4"/>
        <item x="0"/>
        <item x="6"/>
        <item x="7"/>
        <item x="1"/>
        <item x="5"/>
        <item x="8"/>
        <item t="default"/>
      </items>
    </pivotField>
    <pivotField dataField="1" showAll="0">
      <items count="1120">
        <item x="240"/>
        <item x="315"/>
        <item x="324"/>
        <item x="293"/>
        <item x="306"/>
        <item x="256"/>
        <item x="865"/>
        <item x="236"/>
        <item x="906"/>
        <item x="283"/>
        <item x="263"/>
        <item x="869"/>
        <item x="895"/>
        <item x="278"/>
        <item x="887"/>
        <item x="918"/>
        <item x="849"/>
        <item x="415"/>
        <item x="620"/>
        <item x="602"/>
        <item x="441"/>
        <item x="330"/>
        <item x="696"/>
        <item x="761"/>
        <item x="400"/>
        <item x="190"/>
        <item x="385"/>
        <item x="377"/>
        <item x="179"/>
        <item x="243"/>
        <item x="618"/>
        <item x="390"/>
        <item x="586"/>
        <item x="592"/>
        <item x="835"/>
        <item x="326"/>
        <item x="800"/>
        <item x="452"/>
        <item x="665"/>
        <item x="517"/>
        <item x="483"/>
        <item x="521"/>
        <item x="683"/>
        <item x="298"/>
        <item x="703"/>
        <item x="219"/>
        <item x="655"/>
        <item x="184"/>
        <item x="207"/>
        <item x="359"/>
        <item x="465"/>
        <item x="780"/>
        <item x="552"/>
        <item x="133"/>
        <item x="793"/>
        <item x="339"/>
        <item x="824"/>
        <item x="472"/>
        <item x="562"/>
        <item x="162"/>
        <item x="288"/>
        <item x="960"/>
        <item x="1008"/>
        <item x="277"/>
        <item x="635"/>
        <item x="892"/>
        <item x="903"/>
        <item x="357"/>
        <item x="425"/>
        <item x="1075"/>
        <item x="251"/>
        <item x="502"/>
        <item x="919"/>
        <item x="996"/>
        <item x="972"/>
        <item x="842"/>
        <item x="953"/>
        <item x="231"/>
        <item x="546"/>
        <item x="929"/>
        <item x="312"/>
        <item x="816"/>
        <item x="307"/>
        <item x="93"/>
        <item x="770"/>
        <item x="1029"/>
        <item x="645"/>
        <item x="569"/>
        <item x="535"/>
        <item x="678"/>
        <item x="945"/>
        <item x="1039"/>
        <item x="1014"/>
        <item x="492"/>
        <item x="1023"/>
        <item x="883"/>
        <item x="1116"/>
        <item x="868"/>
        <item x="224"/>
        <item x="1084"/>
        <item x="856"/>
        <item x="1059"/>
        <item x="984"/>
        <item x="259"/>
        <item x="1049"/>
        <item x="1103"/>
        <item x="1096"/>
        <item x="432"/>
        <item x="154"/>
        <item x="753"/>
        <item x="142"/>
        <item x="109"/>
        <item x="487"/>
        <item x="114"/>
        <item x="915"/>
        <item x="490"/>
        <item x="500"/>
        <item x="124"/>
        <item x="412"/>
        <item x="403"/>
        <item x="870"/>
        <item x="516"/>
        <item x="638"/>
        <item x="617"/>
        <item x="688"/>
        <item x="332"/>
        <item x="478"/>
        <item x="767"/>
        <item x="423"/>
        <item x="701"/>
        <item x="819"/>
        <item x="376"/>
        <item x="987"/>
        <item x="360"/>
        <item x="961"/>
        <item x="689"/>
        <item x="839"/>
        <item x="462"/>
        <item x="447"/>
        <item x="832"/>
        <item x="433"/>
        <item x="605"/>
        <item x="627"/>
        <item x="671"/>
        <item x="380"/>
        <item x="523"/>
        <item x="239"/>
        <item x="713"/>
        <item x="550"/>
        <item x="560"/>
        <item x="1108"/>
        <item x="395"/>
        <item x="143"/>
        <item x="818"/>
        <item x="925"/>
        <item x="346"/>
        <item x="349"/>
        <item x="973"/>
        <item x="773"/>
        <item x="232"/>
        <item x="547"/>
        <item x="1036"/>
        <item x="139"/>
        <item x="296"/>
        <item x="1047"/>
        <item x="1022"/>
        <item x="989"/>
        <item x="457"/>
        <item x="662"/>
        <item x="199"/>
        <item x="952"/>
        <item x="648"/>
        <item x="1051"/>
        <item x="573"/>
        <item x="779"/>
        <item x="581"/>
        <item x="801"/>
        <item x="284"/>
        <item x="751"/>
        <item x="88"/>
        <item x="1090"/>
        <item x="304"/>
        <item x="272"/>
        <item x="1118"/>
        <item x="596"/>
        <item x="317"/>
        <item x="658"/>
        <item x="206"/>
        <item x="536"/>
        <item x="151"/>
        <item x="228"/>
        <item x="182"/>
        <item x="789"/>
        <item x="216"/>
        <item x="1072"/>
        <item x="1081"/>
        <item x="1065"/>
        <item x="118"/>
        <item x="864"/>
        <item x="55"/>
        <item x="1012"/>
        <item x="935"/>
        <item x="38"/>
        <item x="167"/>
        <item x="902"/>
        <item x="250"/>
        <item x="101"/>
        <item x="948"/>
        <item x="20"/>
        <item x="97"/>
        <item x="127"/>
        <item x="60"/>
        <item x="1007"/>
        <item x="319"/>
        <item x="171"/>
        <item x="876"/>
        <item x="851"/>
        <item x="261"/>
        <item x="716"/>
        <item x="43"/>
        <item x="909"/>
        <item x="661"/>
        <item x="75"/>
        <item x="840"/>
        <item x="417"/>
        <item x="649"/>
        <item x="636"/>
        <item x="507"/>
        <item x="897"/>
        <item x="881"/>
        <item x="131"/>
        <item x="830"/>
        <item x="436"/>
        <item x="1054"/>
        <item x="720"/>
        <item x="215"/>
        <item x="763"/>
        <item x="777"/>
        <item x="784"/>
        <item x="575"/>
        <item x="362"/>
        <item x="480"/>
        <item x="424"/>
        <item x="549"/>
        <item x="205"/>
        <item x="623"/>
        <item x="513"/>
        <item x="440"/>
        <item x="559"/>
        <item x="8"/>
        <item x="646"/>
        <item x="496"/>
        <item x="796"/>
        <item x="979"/>
        <item x="449"/>
        <item x="746"/>
        <item x="81"/>
        <item x="170"/>
        <item x="527"/>
        <item x="63"/>
        <item x="1041"/>
        <item x="471"/>
        <item x="585"/>
        <item x="229"/>
        <item x="693"/>
        <item x="372"/>
        <item x="1061"/>
        <item x="589"/>
        <item x="1069"/>
        <item x="735"/>
        <item x="926"/>
        <item x="163"/>
        <item x="402"/>
        <item x="53"/>
        <item x="705"/>
        <item x="974"/>
        <item x="614"/>
        <item x="1115"/>
        <item x="297"/>
        <item x="192"/>
        <item x="144"/>
        <item x="820"/>
        <item x="350"/>
        <item x="991"/>
        <item x="381"/>
        <item x="11"/>
        <item x="604"/>
        <item x="541"/>
        <item x="807"/>
        <item x="963"/>
        <item x="285"/>
        <item x="1088"/>
        <item x="932"/>
        <item x="248"/>
        <item x="271"/>
        <item x="318"/>
        <item x="46"/>
        <item x="1018"/>
        <item x="672"/>
        <item x="680"/>
        <item x="468"/>
        <item x="533"/>
        <item x="153"/>
        <item x="397"/>
        <item x="95"/>
        <item x="940"/>
        <item x="1004"/>
        <item x="300"/>
        <item x="233"/>
        <item x="5"/>
        <item x="340"/>
        <item x="10"/>
        <item x="71"/>
        <item x="186"/>
        <item x="305"/>
        <item x="908"/>
        <item x="715"/>
        <item x="328"/>
        <item x="750"/>
        <item x="866"/>
        <item x="815"/>
        <item x="337"/>
        <item x="245"/>
        <item x="327"/>
        <item x="292"/>
        <item x="286"/>
        <item x="853"/>
        <item x="910"/>
        <item x="260"/>
        <item x="32"/>
        <item x="100"/>
        <item x="316"/>
        <item x="257"/>
        <item x="122"/>
        <item x="1034"/>
        <item x="878"/>
        <item x="23"/>
        <item x="246"/>
        <item x="916"/>
        <item x="274"/>
        <item x="867"/>
        <item x="1019"/>
        <item x="874"/>
        <item x="254"/>
        <item x="1100"/>
        <item x="508"/>
        <item x="847"/>
        <item x="238"/>
        <item x="1095"/>
        <item x="954"/>
        <item x="898"/>
        <item x="857"/>
        <item x="112"/>
        <item x="762"/>
        <item x="619"/>
        <item x="303"/>
        <item x="314"/>
        <item x="879"/>
        <item x="631"/>
        <item x="89"/>
        <item x="640"/>
        <item x="884"/>
        <item x="321"/>
        <item x="563"/>
        <item x="361"/>
        <item x="352"/>
        <item x="267"/>
        <item x="482"/>
        <item x="896"/>
        <item x="920"/>
        <item x="290"/>
        <item x="698"/>
        <item x="576"/>
        <item x="977"/>
        <item x="203"/>
        <item x="708"/>
        <item x="379"/>
        <item x="900"/>
        <item x="554"/>
        <item x="834"/>
        <item x="369"/>
        <item x="276"/>
        <item x="443"/>
        <item x="253"/>
        <item x="280"/>
        <item x="364"/>
        <item x="855"/>
        <item x="863"/>
        <item x="525"/>
        <item x="222"/>
        <item x="135"/>
        <item x="413"/>
        <item x="494"/>
        <item x="429"/>
        <item x="983"/>
        <item x="266"/>
        <item x="595"/>
        <item x="823"/>
        <item x="760"/>
        <item x="875"/>
        <item x="654"/>
        <item x="476"/>
        <item x="845"/>
        <item x="451"/>
        <item x="806"/>
        <item x="572"/>
        <item x="343"/>
        <item x="769"/>
        <item x="567"/>
        <item x="244"/>
        <item x="889"/>
        <item x="544"/>
        <item x="1113"/>
        <item x="791"/>
        <item x="632"/>
        <item x="512"/>
        <item x="786"/>
        <item x="582"/>
        <item x="742"/>
        <item x="768"/>
        <item x="210"/>
        <item x="704"/>
        <item x="373"/>
        <item x="140"/>
        <item x="323"/>
        <item x="383"/>
        <item x="506"/>
        <item x="426"/>
        <item x="888"/>
        <item x="514"/>
        <item x="938"/>
        <item x="613"/>
        <item x="406"/>
        <item x="723"/>
        <item x="336"/>
        <item x="313"/>
        <item x="838"/>
        <item x="522"/>
        <item x="608"/>
        <item x="1058"/>
        <item x="458"/>
        <item x="173"/>
        <item x="660"/>
        <item x="998"/>
        <item x="392"/>
        <item x="600"/>
        <item x="498"/>
        <item x="358"/>
        <item x="464"/>
        <item x="642"/>
        <item x="161"/>
        <item x="904"/>
        <item x="583"/>
        <item x="213"/>
        <item x="774"/>
        <item x="459"/>
        <item x="685"/>
        <item x="399"/>
        <item x="194"/>
        <item x="64"/>
        <item x="485"/>
        <item x="407"/>
        <item x="252"/>
        <item x="1"/>
        <item x="166"/>
        <item x="928"/>
        <item x="150"/>
        <item x="652"/>
        <item x="12"/>
        <item x="439"/>
        <item x="234"/>
        <item x="737"/>
        <item x="1042"/>
        <item x="299"/>
        <item x="555"/>
        <item x="943"/>
        <item x="74"/>
        <item x="939"/>
        <item x="470"/>
        <item x="1060"/>
        <item x="804"/>
        <item x="792"/>
        <item x="273"/>
        <item x="788"/>
        <item x="187"/>
        <item x="281"/>
        <item x="982"/>
        <item x="594"/>
        <item x="675"/>
        <item x="764"/>
        <item x="913"/>
        <item x="691"/>
        <item x="626"/>
        <item x="711"/>
        <item x="934"/>
        <item x="389"/>
        <item x="524"/>
        <item x="1086"/>
        <item x="393"/>
        <item x="676"/>
        <item x="132"/>
        <item x="434"/>
        <item x="537"/>
        <item x="534"/>
        <item x="812"/>
        <item x="663"/>
        <item x="185"/>
        <item x="176"/>
        <item x="860"/>
        <item x="289"/>
        <item x="366"/>
        <item x="990"/>
        <item x="616"/>
        <item x="899"/>
        <item x="606"/>
        <item x="90"/>
        <item x="335"/>
        <item x="342"/>
        <item x="221"/>
        <item x="965"/>
        <item x="826"/>
        <item x="146"/>
        <item x="382"/>
        <item x="419"/>
        <item x="1053"/>
        <item x="1067"/>
        <item x="21"/>
        <item x="656"/>
        <item x="414"/>
        <item x="505"/>
        <item x="612"/>
        <item x="754"/>
        <item x="809"/>
        <item x="813"/>
        <item x="542"/>
        <item x="474"/>
        <item x="102"/>
        <item x="802"/>
        <item x="334"/>
        <item x="418"/>
        <item x="200"/>
        <item x="158"/>
        <item x="885"/>
        <item x="1011"/>
        <item x="94"/>
        <item x="846"/>
        <item x="1000"/>
        <item x="697"/>
        <item x="518"/>
        <item x="664"/>
        <item x="123"/>
        <item x="684"/>
        <item x="371"/>
        <item x="776"/>
        <item x="54"/>
        <item x="637"/>
        <item x="969"/>
        <item x="825"/>
        <item x="1070"/>
        <item x="949"/>
        <item x="264"/>
        <item x="540"/>
        <item x="891"/>
        <item x="570"/>
        <item x="955"/>
        <item x="587"/>
        <item x="758"/>
        <item x="749"/>
        <item x="873"/>
        <item x="850"/>
        <item x="798"/>
        <item x="598"/>
        <item x="160"/>
        <item x="172"/>
        <item x="197"/>
        <item x="1013"/>
        <item x="643"/>
        <item x="923"/>
        <item x="446"/>
        <item x="1035"/>
        <item x="1085"/>
        <item x="966"/>
        <item x="621"/>
        <item x="401"/>
        <item x="702"/>
        <item x="463"/>
        <item x="568"/>
        <item x="454"/>
        <item x="1098"/>
        <item x="96"/>
        <item x="673"/>
        <item x="1044"/>
        <item x="435"/>
        <item x="687"/>
        <item x="180"/>
        <item x="964"/>
        <item x="1064"/>
        <item x="836"/>
        <item x="489"/>
        <item x="196"/>
        <item x="781"/>
        <item x="481"/>
        <item x="999"/>
        <item x="31"/>
        <item x="1101"/>
        <item x="1073"/>
        <item x="529"/>
        <item x="771"/>
        <item x="1089"/>
        <item x="957"/>
        <item x="944"/>
        <item x="993"/>
        <item x="917"/>
        <item x="765"/>
        <item x="117"/>
        <item x="355"/>
        <item x="105"/>
        <item x="416"/>
        <item x="1110"/>
        <item x="553"/>
        <item x="931"/>
        <item x="398"/>
        <item x="717"/>
        <item x="1106"/>
        <item x="1112"/>
        <item x="145"/>
        <item x="1077"/>
        <item x="609"/>
        <item x="209"/>
        <item x="83"/>
        <item x="721"/>
        <item x="241"/>
        <item x="386"/>
        <item x="322"/>
        <item x="1104"/>
        <item x="120"/>
        <item x="1009"/>
        <item x="116"/>
        <item x="1024"/>
        <item x="421"/>
        <item x="821"/>
        <item x="1026"/>
        <item x="1031"/>
        <item x="1080"/>
        <item x="223"/>
        <item x="104"/>
        <item x="309"/>
        <item x="134"/>
        <item x="962"/>
        <item x="985"/>
        <item x="531"/>
        <item x="345"/>
        <item x="848"/>
        <item x="467"/>
        <item x="590"/>
        <item x="817"/>
        <item x="177"/>
        <item x="519"/>
        <item x="651"/>
        <item x="674"/>
        <item x="486"/>
        <item x="365"/>
        <item x="45"/>
        <item x="217"/>
        <item x="338"/>
        <item x="1025"/>
        <item x="1055"/>
        <item x="580"/>
        <item x="756"/>
        <item x="1038"/>
        <item x="370"/>
        <item x="700"/>
        <item x="829"/>
        <item x="625"/>
        <item x="1002"/>
        <item x="249"/>
        <item x="607"/>
        <item x="469"/>
        <item x="1093"/>
        <item x="181"/>
        <item x="971"/>
        <item x="121"/>
        <item x="510"/>
        <item x="556"/>
        <item x="1048"/>
        <item x="82"/>
        <item x="942"/>
        <item x="294"/>
        <item x="548"/>
        <item x="262"/>
        <item x="709"/>
        <item x="422"/>
        <item x="937"/>
        <item x="629"/>
        <item x="111"/>
        <item x="772"/>
        <item x="110"/>
        <item x="287"/>
        <item x="692"/>
        <item x="679"/>
        <item x="805"/>
        <item x="168"/>
        <item x="157"/>
        <item x="950"/>
        <item x="566"/>
        <item x="571"/>
        <item x="302"/>
        <item x="924"/>
        <item x="882"/>
        <item x="450"/>
        <item x="1083"/>
        <item x="351"/>
        <item x="666"/>
        <item x="1102"/>
        <item x="1109"/>
        <item x="448"/>
        <item x="230"/>
        <item x="644"/>
        <item x="861"/>
        <item x="1017"/>
        <item x="99"/>
        <item x="138"/>
        <item x="195"/>
        <item x="493"/>
        <item x="504"/>
        <item x="893"/>
        <item x="341"/>
        <item x="270"/>
        <item x="970"/>
        <item x="126"/>
        <item x="877"/>
        <item x="797"/>
        <item x="103"/>
        <item x="17"/>
        <item x="782"/>
        <item x="901"/>
        <item x="1027"/>
        <item x="1097"/>
        <item x="1032"/>
        <item x="911"/>
        <item x="7"/>
        <item x="201"/>
        <item x="1005"/>
        <item x="736"/>
        <item x="211"/>
        <item x="1078"/>
        <item x="394"/>
        <item x="610"/>
        <item x="410"/>
        <item x="980"/>
        <item x="431"/>
        <item x="67"/>
        <item x="225"/>
        <item x="159"/>
        <item x="72"/>
        <item x="141"/>
        <item x="1068"/>
        <item x="408"/>
        <item x="13"/>
        <item x="995"/>
        <item x="828"/>
        <item x="85"/>
        <item x="428"/>
        <item x="601"/>
        <item x="460"/>
        <item x="545"/>
        <item x="858"/>
        <item x="1050"/>
        <item x="388"/>
        <item x="329"/>
        <item x="1043"/>
        <item x="634"/>
        <item x="670"/>
        <item x="628"/>
        <item x="811"/>
        <item x="438"/>
        <item x="520"/>
        <item x="787"/>
        <item x="593"/>
        <item x="844"/>
        <item x="706"/>
        <item x="189"/>
        <item x="714"/>
        <item x="193"/>
        <item x="475"/>
        <item x="375"/>
        <item x="967"/>
        <item x="641"/>
        <item x="831"/>
        <item x="956"/>
        <item x="532"/>
        <item x="353"/>
        <item x="368"/>
        <item x="690"/>
        <item x="178"/>
        <item x="667"/>
        <item x="113"/>
        <item x="744"/>
        <item x="681"/>
        <item x="726"/>
        <item x="479"/>
        <item x="752"/>
        <item x="165"/>
        <item x="794"/>
        <item x="501"/>
        <item x="650"/>
        <item x="558"/>
        <item x="6"/>
        <item x="574"/>
        <item x="453"/>
        <item x="22"/>
        <item x="975"/>
        <item x="561"/>
        <item x="803"/>
        <item x="941"/>
        <item x="26"/>
        <item x="1046"/>
        <item x="497"/>
        <item x="73"/>
        <item x="515"/>
        <item x="137"/>
        <item x="1015"/>
        <item x="1021"/>
        <item x="128"/>
        <item x="348"/>
        <item x="218"/>
        <item x="1030"/>
        <item x="738"/>
        <item x="1091"/>
        <item x="204"/>
        <item x="28"/>
        <item x="445"/>
        <item x="1111"/>
        <item x="35"/>
        <item x="44"/>
        <item x="922"/>
        <item x="18"/>
        <item x="733"/>
        <item x="1107"/>
        <item x="320"/>
        <item x="981"/>
        <item x="107"/>
        <item x="34"/>
        <item x="579"/>
        <item x="58"/>
        <item x="52"/>
        <item x="725"/>
        <item x="59"/>
        <item x="1087"/>
        <item x="47"/>
        <item x="69"/>
        <item x="745"/>
        <item x="155"/>
        <item x="936"/>
        <item x="1057"/>
        <item x="147"/>
        <item x="258"/>
        <item x="992"/>
        <item x="92"/>
        <item x="84"/>
        <item x="265"/>
        <item x="37"/>
        <item x="48"/>
        <item x="226"/>
        <item x="778"/>
        <item x="311"/>
        <item x="291"/>
        <item x="49"/>
        <item x="275"/>
        <item x="1076"/>
        <item x="1006"/>
        <item x="50"/>
        <item x="1063"/>
        <item x="279"/>
        <item x="242"/>
        <item x="68"/>
        <item x="785"/>
        <item x="0"/>
        <item x="718"/>
        <item x="872"/>
        <item x="747"/>
        <item x="301"/>
        <item x="404"/>
        <item x="65"/>
        <item x="42"/>
        <item x="890"/>
        <item x="39"/>
        <item x="880"/>
        <item x="611"/>
        <item x="76"/>
        <item x="237"/>
        <item x="905"/>
        <item x="734"/>
        <item x="914"/>
        <item x="759"/>
        <item x="854"/>
        <item x="862"/>
        <item x="603"/>
        <item x="27"/>
        <item x="19"/>
        <item x="409"/>
        <item x="722"/>
        <item x="420"/>
        <item x="694"/>
        <item x="331"/>
        <item x="743"/>
        <item x="444"/>
        <item x="396"/>
        <item x="51"/>
        <item x="921"/>
        <item x="430"/>
        <item x="968"/>
        <item x="843"/>
        <item x="622"/>
        <item x="1105"/>
        <item x="630"/>
        <item x="639"/>
        <item x="62"/>
        <item x="119"/>
        <item x="530"/>
        <item x="958"/>
        <item x="827"/>
        <item x="686"/>
        <item x="363"/>
        <item x="833"/>
        <item x="387"/>
        <item x="677"/>
        <item x="344"/>
        <item x="129"/>
        <item x="731"/>
        <item x="183"/>
        <item x="543"/>
        <item x="795"/>
        <item x="707"/>
        <item x="551"/>
        <item x="461"/>
        <item x="1033"/>
        <item x="378"/>
        <item x="354"/>
        <item x="584"/>
        <item x="1114"/>
        <item x="473"/>
        <item x="976"/>
        <item x="136"/>
        <item x="4"/>
        <item x="564"/>
        <item x="577"/>
        <item x="208"/>
        <item x="191"/>
        <item x="810"/>
        <item x="499"/>
        <item x="657"/>
        <item x="994"/>
        <item x="484"/>
        <item x="1028"/>
        <item x="528"/>
        <item x="80"/>
        <item x="1040"/>
        <item x="78"/>
        <item x="511"/>
        <item x="740"/>
        <item x="175"/>
        <item x="988"/>
        <item x="799"/>
        <item x="1056"/>
        <item x="930"/>
        <item x="455"/>
        <item x="668"/>
        <item x="591"/>
        <item x="2"/>
        <item x="947"/>
        <item x="1094"/>
        <item x="719"/>
        <item x="495"/>
        <item x="214"/>
        <item x="164"/>
        <item x="30"/>
        <item x="757"/>
        <item x="1066"/>
        <item x="1001"/>
        <item x="24"/>
        <item x="710"/>
        <item x="98"/>
        <item x="14"/>
        <item x="1010"/>
        <item x="156"/>
        <item x="79"/>
        <item x="220"/>
        <item x="1071"/>
        <item x="1082"/>
        <item x="148"/>
        <item x="108"/>
        <item x="56"/>
        <item x="729"/>
        <item x="41"/>
        <item x="741"/>
        <item x="87"/>
        <item x="728"/>
        <item x="61"/>
        <item x="77"/>
        <item x="16"/>
        <item x="3"/>
        <item x="33"/>
        <item x="29"/>
        <item x="739"/>
        <item x="727"/>
        <item x="912"/>
        <item x="268"/>
        <item x="730"/>
        <item x="269"/>
        <item x="255"/>
        <item x="325"/>
        <item x="783"/>
        <item x="308"/>
        <item x="310"/>
        <item x="282"/>
        <item x="927"/>
        <item x="295"/>
        <item x="405"/>
        <item x="624"/>
        <item x="907"/>
        <item x="411"/>
        <item x="247"/>
        <item x="437"/>
        <item x="442"/>
        <item x="615"/>
        <item x="775"/>
        <item x="374"/>
        <item x="766"/>
        <item x="333"/>
        <item x="886"/>
        <item x="91"/>
        <item x="633"/>
        <item x="1099"/>
        <item x="933"/>
        <item x="125"/>
        <item x="1062"/>
        <item x="427"/>
        <item x="212"/>
        <item x="859"/>
        <item x="1052"/>
        <item x="1037"/>
        <item x="1045"/>
        <item x="695"/>
        <item x="1117"/>
        <item x="894"/>
        <item x="198"/>
        <item x="959"/>
        <item x="837"/>
        <item x="841"/>
        <item x="235"/>
        <item x="456"/>
        <item x="871"/>
        <item x="130"/>
        <item x="647"/>
        <item x="391"/>
        <item x="699"/>
        <item x="356"/>
        <item x="491"/>
        <item x="202"/>
        <item x="347"/>
        <item x="653"/>
        <item x="986"/>
        <item x="578"/>
        <item x="1003"/>
        <item x="539"/>
        <item x="509"/>
        <item x="557"/>
        <item x="526"/>
        <item x="367"/>
        <item x="978"/>
        <item x="822"/>
        <item x="188"/>
        <item x="712"/>
        <item x="384"/>
        <item x="682"/>
        <item x="503"/>
        <item x="565"/>
        <item x="997"/>
        <item x="588"/>
        <item x="149"/>
        <item x="1074"/>
        <item x="477"/>
        <item x="599"/>
        <item x="1079"/>
        <item x="790"/>
        <item x="1020"/>
        <item x="1092"/>
        <item x="106"/>
        <item x="946"/>
        <item x="808"/>
        <item x="852"/>
        <item x="115"/>
        <item x="669"/>
        <item x="597"/>
        <item x="538"/>
        <item x="174"/>
        <item x="659"/>
        <item x="1016"/>
        <item x="466"/>
        <item x="488"/>
        <item x="152"/>
        <item x="951"/>
        <item x="814"/>
        <item x="169"/>
        <item x="57"/>
        <item x="70"/>
        <item x="15"/>
        <item x="66"/>
        <item x="755"/>
        <item x="9"/>
        <item x="25"/>
        <item x="227"/>
        <item x="40"/>
        <item x="724"/>
        <item x="36"/>
        <item x="86"/>
        <item x="732"/>
        <item x="748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平均值项:Retention rat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FC52-FD7F-6148-AB50-C24AF0AF4C5F}">
  <dimension ref="B1:Z397"/>
  <sheetViews>
    <sheetView topLeftCell="P1" workbookViewId="0">
      <selection activeCell="R41" sqref="R41:R47"/>
    </sheetView>
  </sheetViews>
  <sheetFormatPr baseColWidth="10" defaultRowHeight="16"/>
  <cols>
    <col min="2" max="2" width="34" customWidth="1"/>
    <col min="3" max="3" width="10.83203125" style="131"/>
    <col min="15" max="15" width="13.1640625" bestFit="1" customWidth="1"/>
    <col min="16" max="16" width="33.83203125" bestFit="1" customWidth="1"/>
    <col min="17" max="17" width="34" bestFit="1" customWidth="1"/>
    <col min="18" max="18" width="15" bestFit="1" customWidth="1"/>
    <col min="19" max="19" width="8.83203125" bestFit="1" customWidth="1"/>
    <col min="20" max="20" width="7.33203125" bestFit="1" customWidth="1"/>
    <col min="21" max="21" width="34" bestFit="1" customWidth="1"/>
    <col min="22" max="23" width="15" bestFit="1" customWidth="1"/>
    <col min="24" max="24" width="8.83203125" bestFit="1" customWidth="1"/>
    <col min="25" max="25" width="7.33203125" bestFit="1" customWidth="1"/>
    <col min="26" max="26" width="38.33203125" bestFit="1" customWidth="1"/>
    <col min="27" max="27" width="38.5" bestFit="1" customWidth="1"/>
  </cols>
  <sheetData>
    <row r="1" spans="2:17">
      <c r="B1" s="1" t="s">
        <v>0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</row>
    <row r="2" spans="2:17">
      <c r="B2" s="2" t="s">
        <v>1</v>
      </c>
      <c r="G2" s="7">
        <v>45750</v>
      </c>
      <c r="H2" t="s">
        <v>91</v>
      </c>
      <c r="I2">
        <v>11075</v>
      </c>
      <c r="K2">
        <v>0</v>
      </c>
      <c r="L2">
        <v>0</v>
      </c>
      <c r="M2">
        <v>0</v>
      </c>
      <c r="O2" s="8" t="s">
        <v>84</v>
      </c>
      <c r="P2" t="s">
        <v>97</v>
      </c>
    </row>
    <row r="3" spans="2:17">
      <c r="B3" s="2" t="s">
        <v>2</v>
      </c>
      <c r="G3" s="7">
        <v>45750</v>
      </c>
      <c r="H3" t="s">
        <v>91</v>
      </c>
      <c r="I3">
        <v>11075</v>
      </c>
      <c r="J3" t="s">
        <v>92</v>
      </c>
      <c r="K3">
        <v>0</v>
      </c>
      <c r="L3">
        <v>0</v>
      </c>
      <c r="M3">
        <v>0</v>
      </c>
    </row>
    <row r="4" spans="2:17">
      <c r="B4" s="2" t="s">
        <v>3</v>
      </c>
      <c r="G4" s="7">
        <v>45750</v>
      </c>
      <c r="H4" t="s">
        <v>91</v>
      </c>
      <c r="I4">
        <v>11075</v>
      </c>
      <c r="J4" t="s">
        <v>93</v>
      </c>
      <c r="K4">
        <v>0</v>
      </c>
      <c r="L4">
        <v>0</v>
      </c>
      <c r="M4">
        <v>0</v>
      </c>
      <c r="O4" s="8" t="s">
        <v>98</v>
      </c>
      <c r="P4" t="s">
        <v>100</v>
      </c>
      <c r="Q4" t="s">
        <v>138</v>
      </c>
    </row>
    <row r="5" spans="2:17">
      <c r="B5" s="3" t="s">
        <v>4</v>
      </c>
      <c r="G5" s="7">
        <v>45750</v>
      </c>
      <c r="H5" t="s">
        <v>91</v>
      </c>
      <c r="I5">
        <v>11075</v>
      </c>
      <c r="J5" t="s">
        <v>94</v>
      </c>
      <c r="K5">
        <v>2</v>
      </c>
      <c r="L5">
        <v>0</v>
      </c>
      <c r="M5">
        <v>0</v>
      </c>
      <c r="O5" s="9" t="s">
        <v>91</v>
      </c>
      <c r="P5" s="10">
        <v>9991.8669136046283</v>
      </c>
      <c r="Q5" s="10">
        <v>5.2088888888888887</v>
      </c>
    </row>
    <row r="6" spans="2:17">
      <c r="B6" s="3" t="s">
        <v>5</v>
      </c>
      <c r="G6" s="7">
        <v>45750</v>
      </c>
      <c r="H6" t="s">
        <v>91</v>
      </c>
      <c r="I6">
        <v>11076</v>
      </c>
      <c r="K6">
        <v>0</v>
      </c>
      <c r="L6">
        <v>0</v>
      </c>
      <c r="M6">
        <v>0</v>
      </c>
      <c r="O6" s="13">
        <v>11075</v>
      </c>
      <c r="P6" s="10">
        <v>4053.4890318414432</v>
      </c>
      <c r="Q6" s="10">
        <v>6.2837837837837842</v>
      </c>
    </row>
    <row r="7" spans="2:17">
      <c r="B7" s="2" t="s">
        <v>6</v>
      </c>
      <c r="G7" s="7">
        <v>45750</v>
      </c>
      <c r="H7" t="s">
        <v>91</v>
      </c>
      <c r="I7">
        <v>11076</v>
      </c>
      <c r="J7" t="s">
        <v>93</v>
      </c>
      <c r="K7">
        <v>0</v>
      </c>
      <c r="L7">
        <v>0</v>
      </c>
      <c r="M7">
        <v>0</v>
      </c>
      <c r="O7" s="13">
        <v>11076</v>
      </c>
      <c r="P7" s="10">
        <v>2580.7530262259224</v>
      </c>
      <c r="Q7" s="10">
        <v>4.4594594594594597</v>
      </c>
    </row>
    <row r="8" spans="2:17">
      <c r="B8" s="2" t="s">
        <v>7</v>
      </c>
      <c r="G8" s="7">
        <v>45750</v>
      </c>
      <c r="H8" t="s">
        <v>91</v>
      </c>
      <c r="I8">
        <v>11076</v>
      </c>
      <c r="J8" t="s">
        <v>94</v>
      </c>
      <c r="K8">
        <v>1</v>
      </c>
      <c r="L8">
        <v>0</v>
      </c>
      <c r="M8">
        <v>0</v>
      </c>
      <c r="O8" s="13">
        <v>11077</v>
      </c>
      <c r="P8" s="10">
        <v>3357.6248555372699</v>
      </c>
      <c r="Q8" s="10">
        <v>4.8961038961038961</v>
      </c>
    </row>
    <row r="9" spans="2:17">
      <c r="B9" s="2" t="s">
        <v>8</v>
      </c>
      <c r="G9" s="7">
        <v>45750</v>
      </c>
      <c r="H9" t="s">
        <v>91</v>
      </c>
      <c r="I9">
        <v>11077</v>
      </c>
      <c r="K9">
        <v>0</v>
      </c>
      <c r="L9">
        <v>0</v>
      </c>
      <c r="M9">
        <v>0</v>
      </c>
      <c r="O9" s="9" t="s">
        <v>95</v>
      </c>
      <c r="P9" s="10">
        <v>342682.58250445942</v>
      </c>
      <c r="Q9" s="10">
        <v>56.298245614035089</v>
      </c>
    </row>
    <row r="10" spans="2:17">
      <c r="B10" s="2" t="s">
        <v>9</v>
      </c>
      <c r="G10" s="7">
        <v>45750</v>
      </c>
      <c r="H10" t="s">
        <v>91</v>
      </c>
      <c r="I10">
        <v>11077</v>
      </c>
      <c r="J10" t="s">
        <v>92</v>
      </c>
      <c r="K10">
        <v>0</v>
      </c>
      <c r="L10">
        <v>0</v>
      </c>
      <c r="M10">
        <v>0</v>
      </c>
      <c r="O10" s="13">
        <v>11072</v>
      </c>
      <c r="P10" s="10">
        <v>131377.23987582268</v>
      </c>
      <c r="Q10" s="10">
        <v>64.84482758620689</v>
      </c>
    </row>
    <row r="11" spans="2:17">
      <c r="B11" s="3" t="s">
        <v>10</v>
      </c>
      <c r="G11" s="7">
        <v>45750</v>
      </c>
      <c r="H11" t="s">
        <v>91</v>
      </c>
      <c r="I11">
        <v>11077</v>
      </c>
      <c r="J11" t="s">
        <v>93</v>
      </c>
      <c r="K11">
        <v>0</v>
      </c>
      <c r="L11">
        <v>0</v>
      </c>
      <c r="M11">
        <v>0</v>
      </c>
      <c r="O11" s="13">
        <v>11073</v>
      </c>
      <c r="P11" s="10">
        <v>106351.36010121289</v>
      </c>
      <c r="Q11" s="10">
        <v>51.10526315789474</v>
      </c>
    </row>
    <row r="12" spans="2:17">
      <c r="B12" s="1" t="s">
        <v>11</v>
      </c>
      <c r="G12" s="7">
        <v>45750</v>
      </c>
      <c r="H12" t="s">
        <v>91</v>
      </c>
      <c r="I12">
        <v>11077</v>
      </c>
      <c r="J12" t="s">
        <v>94</v>
      </c>
      <c r="K12">
        <v>0</v>
      </c>
      <c r="L12">
        <v>0</v>
      </c>
      <c r="M12">
        <v>0</v>
      </c>
      <c r="O12" s="13">
        <v>11074</v>
      </c>
      <c r="P12" s="10">
        <v>104953.98252742378</v>
      </c>
      <c r="Q12" s="10">
        <v>52.732142857142854</v>
      </c>
    </row>
    <row r="13" spans="2:17">
      <c r="B13" s="3" t="s">
        <v>12</v>
      </c>
      <c r="G13" s="7">
        <v>45750</v>
      </c>
      <c r="H13" t="s">
        <v>95</v>
      </c>
      <c r="I13">
        <v>11072</v>
      </c>
      <c r="K13">
        <v>0</v>
      </c>
      <c r="L13">
        <v>0</v>
      </c>
      <c r="M13">
        <v>0</v>
      </c>
      <c r="O13" s="9" t="s">
        <v>99</v>
      </c>
      <c r="P13" s="10">
        <v>352674.44941806403</v>
      </c>
      <c r="Q13" s="10">
        <v>27.270202020202021</v>
      </c>
    </row>
    <row r="14" spans="2:17">
      <c r="B14" s="3" t="s">
        <v>13</v>
      </c>
      <c r="G14" s="7">
        <v>45750</v>
      </c>
      <c r="H14" t="s">
        <v>95</v>
      </c>
      <c r="I14">
        <v>11072</v>
      </c>
      <c r="J14" t="s">
        <v>92</v>
      </c>
      <c r="K14">
        <v>33</v>
      </c>
      <c r="L14">
        <v>33</v>
      </c>
      <c r="M14">
        <v>360.18448177687998</v>
      </c>
    </row>
    <row r="15" spans="2:17">
      <c r="B15" s="3" t="s">
        <v>14</v>
      </c>
      <c r="G15" s="7">
        <v>45750</v>
      </c>
      <c r="H15" t="s">
        <v>95</v>
      </c>
      <c r="I15">
        <v>11072</v>
      </c>
      <c r="J15" t="s">
        <v>94</v>
      </c>
      <c r="K15">
        <v>453</v>
      </c>
      <c r="L15">
        <v>111</v>
      </c>
      <c r="M15">
        <v>5013.0442524504697</v>
      </c>
    </row>
    <row r="16" spans="2:17">
      <c r="B16" s="3" t="s">
        <v>15</v>
      </c>
      <c r="G16" s="7">
        <v>45750</v>
      </c>
      <c r="H16" t="s">
        <v>95</v>
      </c>
      <c r="I16">
        <v>11073</v>
      </c>
      <c r="K16">
        <v>0</v>
      </c>
      <c r="L16">
        <v>0</v>
      </c>
      <c r="M16">
        <v>0</v>
      </c>
    </row>
    <row r="17" spans="2:26">
      <c r="B17" s="3" t="s">
        <v>16</v>
      </c>
      <c r="G17" s="7">
        <v>45750</v>
      </c>
      <c r="H17" t="s">
        <v>95</v>
      </c>
      <c r="I17">
        <v>11073</v>
      </c>
      <c r="J17" t="s">
        <v>92</v>
      </c>
      <c r="K17">
        <v>8</v>
      </c>
      <c r="L17">
        <v>8</v>
      </c>
      <c r="M17">
        <v>85.240696991657103</v>
      </c>
    </row>
    <row r="18" spans="2:26">
      <c r="B18" s="3" t="s">
        <v>17</v>
      </c>
      <c r="G18" s="7">
        <v>45750</v>
      </c>
      <c r="H18" t="s">
        <v>95</v>
      </c>
      <c r="I18">
        <v>11073</v>
      </c>
      <c r="J18" t="s">
        <v>94</v>
      </c>
      <c r="K18">
        <v>364</v>
      </c>
      <c r="L18">
        <v>85</v>
      </c>
      <c r="M18">
        <v>3784.6198658110802</v>
      </c>
    </row>
    <row r="19" spans="2:26">
      <c r="B19" s="3" t="s">
        <v>18</v>
      </c>
      <c r="G19" s="7">
        <v>45750</v>
      </c>
      <c r="H19" t="s">
        <v>95</v>
      </c>
      <c r="I19">
        <v>11074</v>
      </c>
      <c r="K19">
        <v>0</v>
      </c>
      <c r="L19">
        <v>0</v>
      </c>
      <c r="M19">
        <v>0</v>
      </c>
      <c r="P19" s="12" t="s">
        <v>115</v>
      </c>
      <c r="T19" s="12" t="s">
        <v>136</v>
      </c>
      <c r="U19" s="12"/>
      <c r="V19" s="12"/>
      <c r="X19" t="s">
        <v>137</v>
      </c>
    </row>
    <row r="20" spans="2:26">
      <c r="B20" s="3" t="s">
        <v>19</v>
      </c>
      <c r="G20" s="7">
        <v>45750</v>
      </c>
      <c r="H20" t="s">
        <v>95</v>
      </c>
      <c r="I20">
        <v>11074</v>
      </c>
      <c r="J20" t="s">
        <v>92</v>
      </c>
      <c r="K20">
        <v>12</v>
      </c>
      <c r="L20">
        <v>12</v>
      </c>
      <c r="M20">
        <v>125.017559189236</v>
      </c>
      <c r="O20" s="11" t="s">
        <v>98</v>
      </c>
      <c r="P20" s="11" t="s">
        <v>92</v>
      </c>
      <c r="Q20" s="11" t="s">
        <v>93</v>
      </c>
      <c r="R20" s="11" t="s">
        <v>94</v>
      </c>
      <c r="T20" s="11" t="s">
        <v>92</v>
      </c>
      <c r="U20" s="11" t="s">
        <v>93</v>
      </c>
      <c r="V20" s="11" t="s">
        <v>94</v>
      </c>
      <c r="X20" s="11" t="s">
        <v>92</v>
      </c>
      <c r="Y20" s="11" t="s">
        <v>93</v>
      </c>
      <c r="Z20" s="11" t="s">
        <v>94</v>
      </c>
    </row>
    <row r="21" spans="2:26">
      <c r="B21" s="2" t="s">
        <v>20</v>
      </c>
      <c r="G21" s="7">
        <v>45750</v>
      </c>
      <c r="H21" t="s">
        <v>95</v>
      </c>
      <c r="I21">
        <v>11074</v>
      </c>
      <c r="J21" t="s">
        <v>94</v>
      </c>
      <c r="K21">
        <v>356</v>
      </c>
      <c r="L21">
        <v>92</v>
      </c>
      <c r="M21">
        <v>4277.4266804527997</v>
      </c>
      <c r="O21" s="14" t="s">
        <v>91</v>
      </c>
      <c r="P21" s="45"/>
      <c r="Q21" s="45"/>
      <c r="R21" s="45"/>
      <c r="S21" s="46"/>
      <c r="T21" s="15">
        <v>10.19047619047619</v>
      </c>
      <c r="U21" s="15">
        <v>0.35714285714285715</v>
      </c>
      <c r="V21" s="15">
        <v>14.30952380952381</v>
      </c>
    </row>
    <row r="22" spans="2:26">
      <c r="B22" s="1" t="s">
        <v>21</v>
      </c>
      <c r="G22" s="7">
        <v>45751</v>
      </c>
      <c r="H22" t="s">
        <v>91</v>
      </c>
      <c r="I22">
        <v>11075</v>
      </c>
      <c r="K22">
        <v>0</v>
      </c>
      <c r="L22">
        <v>0</v>
      </c>
      <c r="M22">
        <v>0</v>
      </c>
      <c r="O22" s="13">
        <v>11075</v>
      </c>
      <c r="P22" s="46">
        <v>40.548521206354607</v>
      </c>
      <c r="Q22" s="46">
        <v>4.0324423977960215</v>
      </c>
      <c r="R22" s="46">
        <v>213.15770197882762</v>
      </c>
      <c r="S22" s="46"/>
      <c r="T22" s="10">
        <v>11.642857142857142</v>
      </c>
      <c r="U22" s="10">
        <v>0.42857142857142855</v>
      </c>
      <c r="V22" s="10">
        <v>17.5</v>
      </c>
    </row>
    <row r="23" spans="2:26">
      <c r="B23" s="2" t="s">
        <v>22</v>
      </c>
      <c r="G23" s="7">
        <v>45751</v>
      </c>
      <c r="H23" t="s">
        <v>91</v>
      </c>
      <c r="I23">
        <v>11075</v>
      </c>
      <c r="J23" t="s">
        <v>92</v>
      </c>
      <c r="K23">
        <v>0</v>
      </c>
      <c r="L23">
        <v>0</v>
      </c>
      <c r="M23">
        <v>0</v>
      </c>
      <c r="O23" s="13">
        <v>11076</v>
      </c>
      <c r="P23" s="46">
        <v>34.270456103907733</v>
      </c>
      <c r="Q23" s="46">
        <v>4.0911175217650415</v>
      </c>
      <c r="R23" s="46">
        <v>128.47984742320457</v>
      </c>
      <c r="S23" s="46"/>
      <c r="T23" s="10">
        <v>9.7142857142857135</v>
      </c>
      <c r="U23" s="10">
        <v>0.42857142857142855</v>
      </c>
      <c r="V23" s="10">
        <v>11.285714285714286</v>
      </c>
    </row>
    <row r="24" spans="2:26">
      <c r="B24" s="4" t="s">
        <v>23</v>
      </c>
      <c r="G24" s="7">
        <v>45751</v>
      </c>
      <c r="H24" t="s">
        <v>91</v>
      </c>
      <c r="I24">
        <v>11075</v>
      </c>
      <c r="J24" t="s">
        <v>93</v>
      </c>
      <c r="K24">
        <v>1</v>
      </c>
      <c r="L24">
        <v>0</v>
      </c>
      <c r="M24">
        <v>0</v>
      </c>
      <c r="O24" s="13">
        <v>11077</v>
      </c>
      <c r="P24" s="46">
        <v>31.562034988092016</v>
      </c>
      <c r="Q24" s="46">
        <v>2.0957884858235571</v>
      </c>
      <c r="R24" s="46">
        <v>181.5716701825063</v>
      </c>
      <c r="S24" s="46"/>
      <c r="T24" s="10">
        <v>9.2142857142857135</v>
      </c>
      <c r="U24" s="10">
        <v>0.21428571428571427</v>
      </c>
      <c r="V24" s="10">
        <v>14.142857142857142</v>
      </c>
    </row>
    <row r="25" spans="2:26">
      <c r="B25" s="3" t="s">
        <v>24</v>
      </c>
      <c r="G25" s="7">
        <v>45751</v>
      </c>
      <c r="H25" t="s">
        <v>91</v>
      </c>
      <c r="I25">
        <v>11075</v>
      </c>
      <c r="J25" t="s">
        <v>94</v>
      </c>
      <c r="K25">
        <v>19</v>
      </c>
      <c r="L25">
        <v>3</v>
      </c>
      <c r="M25">
        <v>20.843417096728999</v>
      </c>
      <c r="O25" s="14" t="s">
        <v>95</v>
      </c>
      <c r="P25" s="45"/>
      <c r="Q25" s="45"/>
      <c r="R25" s="45"/>
      <c r="S25" s="46"/>
      <c r="T25" s="15">
        <v>39.88095238095238</v>
      </c>
      <c r="U25" s="15"/>
      <c r="V25" s="15">
        <v>143.54761904761904</v>
      </c>
    </row>
    <row r="26" spans="2:26">
      <c r="B26" s="2" t="s">
        <v>25</v>
      </c>
      <c r="G26" s="7">
        <v>45751</v>
      </c>
      <c r="H26" t="s">
        <v>91</v>
      </c>
      <c r="I26">
        <v>11076</v>
      </c>
      <c r="K26">
        <v>0</v>
      </c>
      <c r="L26">
        <v>0</v>
      </c>
      <c r="M26">
        <v>0</v>
      </c>
      <c r="O26" s="13">
        <v>11072</v>
      </c>
      <c r="P26" s="46">
        <v>543.6020986517359</v>
      </c>
      <c r="Q26" s="46"/>
      <c r="R26" s="46">
        <v>6884.3407545242999</v>
      </c>
      <c r="S26" s="46"/>
      <c r="T26" s="10">
        <v>50.071428571428569</v>
      </c>
      <c r="U26" s="10"/>
      <c r="V26" s="10">
        <v>164.5</v>
      </c>
    </row>
    <row r="27" spans="2:26">
      <c r="B27" s="2" t="s">
        <v>26</v>
      </c>
      <c r="G27" s="7">
        <v>45751</v>
      </c>
      <c r="H27" t="s">
        <v>91</v>
      </c>
      <c r="I27">
        <v>11076</v>
      </c>
      <c r="J27" t="s">
        <v>92</v>
      </c>
      <c r="K27">
        <v>1</v>
      </c>
      <c r="L27">
        <v>1</v>
      </c>
      <c r="M27">
        <v>2.6187980433263398</v>
      </c>
      <c r="O27" s="13">
        <v>11073</v>
      </c>
      <c r="P27" s="46">
        <v>361.46001331474321</v>
      </c>
      <c r="Q27" s="46"/>
      <c r="R27" s="46">
        <v>5679.8270069794153</v>
      </c>
      <c r="S27" s="46"/>
      <c r="T27" s="10">
        <v>33.785714285714285</v>
      </c>
      <c r="U27" s="10"/>
      <c r="V27" s="10">
        <v>132.28571428571428</v>
      </c>
    </row>
    <row r="28" spans="2:26">
      <c r="B28" s="2" t="s">
        <v>27</v>
      </c>
      <c r="G28" s="7">
        <v>45751</v>
      </c>
      <c r="H28" t="s">
        <v>91</v>
      </c>
      <c r="I28">
        <v>11076</v>
      </c>
      <c r="J28" t="s">
        <v>93</v>
      </c>
      <c r="K28">
        <v>1</v>
      </c>
      <c r="L28">
        <v>0</v>
      </c>
      <c r="M28">
        <v>0</v>
      </c>
      <c r="O28" s="13">
        <v>11074</v>
      </c>
      <c r="P28" s="46">
        <v>373.98846866618862</v>
      </c>
      <c r="Q28" s="46"/>
      <c r="R28" s="46">
        <v>5683.5599966809386</v>
      </c>
      <c r="S28" s="46"/>
      <c r="T28" s="10">
        <v>35.785714285714285</v>
      </c>
      <c r="U28" s="10"/>
      <c r="V28" s="10">
        <v>133.85714285714286</v>
      </c>
    </row>
    <row r="29" spans="2:26">
      <c r="B29" s="5" t="s">
        <v>28</v>
      </c>
      <c r="G29" s="7">
        <v>45751</v>
      </c>
      <c r="H29" t="s">
        <v>91</v>
      </c>
      <c r="I29">
        <v>11076</v>
      </c>
      <c r="J29" t="s">
        <v>94</v>
      </c>
      <c r="K29">
        <v>5</v>
      </c>
      <c r="L29">
        <v>2</v>
      </c>
      <c r="M29">
        <v>14.946570850959001</v>
      </c>
      <c r="P29" s="46"/>
      <c r="Q29" s="46"/>
      <c r="R29" s="46"/>
      <c r="S29" s="46"/>
      <c r="T29" s="46"/>
      <c r="U29" s="46"/>
      <c r="V29" s="46"/>
      <c r="X29" t="s">
        <v>137</v>
      </c>
    </row>
    <row r="30" spans="2:26">
      <c r="B30" s="3" t="s">
        <v>29</v>
      </c>
      <c r="G30" s="7">
        <v>45751</v>
      </c>
      <c r="H30" t="s">
        <v>91</v>
      </c>
      <c r="I30">
        <v>11077</v>
      </c>
      <c r="K30">
        <v>0</v>
      </c>
      <c r="L30">
        <v>0</v>
      </c>
      <c r="M30">
        <v>0</v>
      </c>
      <c r="P30" s="46"/>
      <c r="Q30" s="46"/>
      <c r="R30" s="46"/>
      <c r="S30" s="46"/>
      <c r="T30" s="11" t="s">
        <v>92</v>
      </c>
      <c r="U30" s="11" t="s">
        <v>93</v>
      </c>
      <c r="V30" s="11" t="s">
        <v>94</v>
      </c>
      <c r="X30" s="11" t="s">
        <v>92</v>
      </c>
      <c r="Y30" s="11" t="s">
        <v>93</v>
      </c>
      <c r="Z30" s="11" t="s">
        <v>94</v>
      </c>
    </row>
    <row r="31" spans="2:26">
      <c r="B31" s="2" t="s">
        <v>2</v>
      </c>
      <c r="G31" s="7">
        <v>45751</v>
      </c>
      <c r="H31" t="s">
        <v>91</v>
      </c>
      <c r="I31">
        <v>11077</v>
      </c>
      <c r="J31" t="s">
        <v>92</v>
      </c>
      <c r="K31">
        <v>2</v>
      </c>
      <c r="L31">
        <v>2</v>
      </c>
      <c r="M31">
        <v>7.60879804332634</v>
      </c>
      <c r="O31" t="s">
        <v>112</v>
      </c>
      <c r="P31" s="46">
        <f>P22+P26</f>
        <v>584.15061985809052</v>
      </c>
      <c r="Q31" s="46">
        <f>Q22+Q26</f>
        <v>4.0324423977960215</v>
      </c>
      <c r="R31" s="46">
        <f>R22+R26</f>
        <v>7097.4984565031273</v>
      </c>
      <c r="S31" s="46"/>
      <c r="T31" s="46">
        <f>T22+T26</f>
        <v>61.714285714285708</v>
      </c>
      <c r="U31" s="46">
        <f>U22+U26</f>
        <v>0.42857142857142855</v>
      </c>
      <c r="V31" s="46">
        <f>V22+V26</f>
        <v>182</v>
      </c>
      <c r="X31">
        <f>P31/T31</f>
        <v>9.4654035625153572</v>
      </c>
      <c r="Y31">
        <f t="shared" ref="Y31:Z33" si="0">Q31/U31</f>
        <v>9.4090322615240503</v>
      </c>
      <c r="Z31">
        <f t="shared" si="0"/>
        <v>38.997244266500701</v>
      </c>
    </row>
    <row r="32" spans="2:26">
      <c r="B32" s="2" t="s">
        <v>30</v>
      </c>
      <c r="G32" s="7">
        <v>45751</v>
      </c>
      <c r="H32" t="s">
        <v>91</v>
      </c>
      <c r="I32">
        <v>11077</v>
      </c>
      <c r="J32" t="s">
        <v>93</v>
      </c>
      <c r="K32">
        <v>0</v>
      </c>
      <c r="L32">
        <v>0</v>
      </c>
      <c r="M32">
        <v>0</v>
      </c>
      <c r="O32" t="s">
        <v>113</v>
      </c>
      <c r="P32" s="46">
        <f t="shared" ref="P32:R33" si="1">P23+P27</f>
        <v>395.73046941865096</v>
      </c>
      <c r="Q32" s="46">
        <f t="shared" ref="Q32" si="2">Q23+Q27</f>
        <v>4.0911175217650415</v>
      </c>
      <c r="R32" s="46">
        <f t="shared" si="1"/>
        <v>5808.30685440262</v>
      </c>
      <c r="S32" s="46"/>
      <c r="T32" s="46">
        <f t="shared" ref="T32:V33" si="3">T23+T27</f>
        <v>43.5</v>
      </c>
      <c r="U32" s="46">
        <f t="shared" si="3"/>
        <v>0.42857142857142855</v>
      </c>
      <c r="V32" s="46">
        <f t="shared" si="3"/>
        <v>143.57142857142856</v>
      </c>
      <c r="X32">
        <f t="shared" ref="X32:X33" si="4">P32/T32</f>
        <v>9.0972521705436993</v>
      </c>
      <c r="Y32">
        <f t="shared" si="0"/>
        <v>9.5459408841184299</v>
      </c>
      <c r="Z32">
        <f t="shared" si="0"/>
        <v>40.455868637630196</v>
      </c>
    </row>
    <row r="33" spans="2:26">
      <c r="B33" s="2" t="s">
        <v>31</v>
      </c>
      <c r="G33" s="7">
        <v>45751</v>
      </c>
      <c r="H33" t="s">
        <v>91</v>
      </c>
      <c r="I33">
        <v>11077</v>
      </c>
      <c r="J33" t="s">
        <v>94</v>
      </c>
      <c r="K33">
        <v>10</v>
      </c>
      <c r="L33">
        <v>2</v>
      </c>
      <c r="M33">
        <v>18.391086869294799</v>
      </c>
      <c r="O33" t="s">
        <v>114</v>
      </c>
      <c r="P33" s="46">
        <f t="shared" si="1"/>
        <v>405.55050365428065</v>
      </c>
      <c r="Q33" s="46">
        <f t="shared" ref="Q33" si="5">Q24+Q28</f>
        <v>2.0957884858235571</v>
      </c>
      <c r="R33" s="46">
        <f t="shared" si="1"/>
        <v>5865.1316668634445</v>
      </c>
      <c r="S33" s="46"/>
      <c r="T33" s="46">
        <f t="shared" ref="T33" si="6">T24+T28</f>
        <v>45</v>
      </c>
      <c r="U33" s="46">
        <f t="shared" si="3"/>
        <v>0.21428571428571427</v>
      </c>
      <c r="V33" s="46">
        <f t="shared" si="3"/>
        <v>148</v>
      </c>
      <c r="X33">
        <f t="shared" si="4"/>
        <v>9.0122334145395691</v>
      </c>
      <c r="Y33">
        <f t="shared" si="0"/>
        <v>9.7803462671766006</v>
      </c>
      <c r="Z33">
        <f t="shared" si="0"/>
        <v>39.629268019347599</v>
      </c>
    </row>
    <row r="34" spans="2:26">
      <c r="B34" s="3" t="s">
        <v>32</v>
      </c>
      <c r="G34" s="7">
        <v>45751</v>
      </c>
      <c r="H34" t="s">
        <v>95</v>
      </c>
      <c r="I34">
        <v>11072</v>
      </c>
      <c r="K34">
        <v>0</v>
      </c>
      <c r="L34">
        <v>0</v>
      </c>
      <c r="M34">
        <v>0</v>
      </c>
    </row>
    <row r="35" spans="2:26">
      <c r="B35" s="3" t="s">
        <v>33</v>
      </c>
      <c r="G35" s="7">
        <v>45751</v>
      </c>
      <c r="H35" t="s">
        <v>95</v>
      </c>
      <c r="I35">
        <v>11072</v>
      </c>
      <c r="J35" t="s">
        <v>92</v>
      </c>
      <c r="K35">
        <v>22</v>
      </c>
      <c r="L35">
        <v>22</v>
      </c>
      <c r="M35">
        <v>201.398517993453</v>
      </c>
    </row>
    <row r="36" spans="2:26">
      <c r="B36" s="3" t="s">
        <v>34</v>
      </c>
      <c r="G36" s="7">
        <v>45751</v>
      </c>
      <c r="H36" t="s">
        <v>95</v>
      </c>
      <c r="I36">
        <v>11072</v>
      </c>
      <c r="J36" t="s">
        <v>94</v>
      </c>
      <c r="K36">
        <v>489</v>
      </c>
      <c r="L36">
        <v>124</v>
      </c>
      <c r="M36">
        <v>5489.9061731763304</v>
      </c>
      <c r="P36" s="62"/>
    </row>
    <row r="37" spans="2:26">
      <c r="B37" s="3" t="s">
        <v>35</v>
      </c>
      <c r="G37" s="7">
        <v>45751</v>
      </c>
      <c r="H37" t="s">
        <v>95</v>
      </c>
      <c r="I37">
        <v>11072</v>
      </c>
      <c r="J37" t="s">
        <v>96</v>
      </c>
      <c r="K37">
        <v>0</v>
      </c>
      <c r="L37">
        <v>0</v>
      </c>
      <c r="M37">
        <v>0</v>
      </c>
    </row>
    <row r="38" spans="2:26">
      <c r="B38" s="1" t="s">
        <v>11</v>
      </c>
      <c r="G38" s="7">
        <v>45751</v>
      </c>
      <c r="H38" t="s">
        <v>95</v>
      </c>
      <c r="I38">
        <v>11073</v>
      </c>
      <c r="K38">
        <v>0</v>
      </c>
      <c r="L38">
        <v>0</v>
      </c>
      <c r="M38">
        <v>0</v>
      </c>
    </row>
    <row r="39" spans="2:26">
      <c r="B39" s="2" t="s">
        <v>20</v>
      </c>
      <c r="G39" s="7">
        <v>45751</v>
      </c>
      <c r="H39" t="s">
        <v>95</v>
      </c>
      <c r="I39">
        <v>11073</v>
      </c>
      <c r="J39" t="s">
        <v>92</v>
      </c>
      <c r="K39">
        <v>14</v>
      </c>
      <c r="L39">
        <v>14</v>
      </c>
      <c r="M39">
        <v>142.22400438849101</v>
      </c>
      <c r="O39" s="11" t="s">
        <v>98</v>
      </c>
      <c r="P39" s="11" t="s">
        <v>100</v>
      </c>
      <c r="Q39" s="11" t="s">
        <v>138</v>
      </c>
    </row>
    <row r="40" spans="2:26">
      <c r="B40" s="1" t="s">
        <v>36</v>
      </c>
      <c r="G40" s="7">
        <v>45751</v>
      </c>
      <c r="H40" t="s">
        <v>95</v>
      </c>
      <c r="I40">
        <v>11073</v>
      </c>
      <c r="J40" t="s">
        <v>94</v>
      </c>
      <c r="K40">
        <v>387</v>
      </c>
      <c r="L40">
        <v>83</v>
      </c>
      <c r="M40">
        <v>3920.96762329493</v>
      </c>
      <c r="O40" s="14" t="s">
        <v>91</v>
      </c>
      <c r="P40" s="15">
        <v>9991.8669136046283</v>
      </c>
      <c r="Q40" s="15">
        <v>5.2088888888888887</v>
      </c>
    </row>
    <row r="41" spans="2:26">
      <c r="B41" s="2" t="s">
        <v>37</v>
      </c>
      <c r="G41" s="7">
        <v>45751</v>
      </c>
      <c r="H41" t="s">
        <v>95</v>
      </c>
      <c r="I41">
        <v>11074</v>
      </c>
      <c r="K41">
        <v>0</v>
      </c>
      <c r="L41">
        <v>0</v>
      </c>
      <c r="M41">
        <v>0</v>
      </c>
      <c r="O41" s="13">
        <v>11075</v>
      </c>
      <c r="P41" s="10">
        <v>4053.4890318414432</v>
      </c>
      <c r="Q41" s="10">
        <v>6.2837837837837842</v>
      </c>
      <c r="R41" s="47"/>
    </row>
    <row r="42" spans="2:26">
      <c r="B42" s="4" t="s">
        <v>38</v>
      </c>
      <c r="G42" s="7">
        <v>45751</v>
      </c>
      <c r="H42" t="s">
        <v>95</v>
      </c>
      <c r="I42">
        <v>11074</v>
      </c>
      <c r="J42" t="s">
        <v>92</v>
      </c>
      <c r="K42">
        <v>22</v>
      </c>
      <c r="L42">
        <v>22</v>
      </c>
      <c r="M42">
        <v>225.359690410924</v>
      </c>
      <c r="O42" s="13">
        <v>11076</v>
      </c>
      <c r="P42" s="10">
        <v>2580.7530262259224</v>
      </c>
      <c r="Q42" s="10">
        <v>4.4594594594594597</v>
      </c>
      <c r="R42" s="47">
        <f>P42-P41</f>
        <v>-1472.7360056155208</v>
      </c>
    </row>
    <row r="43" spans="2:26">
      <c r="B43" s="2" t="s">
        <v>39</v>
      </c>
      <c r="G43" s="7">
        <v>45751</v>
      </c>
      <c r="H43" t="s">
        <v>95</v>
      </c>
      <c r="I43">
        <v>11074</v>
      </c>
      <c r="J43" t="s">
        <v>94</v>
      </c>
      <c r="K43">
        <v>391</v>
      </c>
      <c r="L43">
        <v>94</v>
      </c>
      <c r="M43">
        <v>3985.3981751790002</v>
      </c>
      <c r="O43" s="13">
        <v>11077</v>
      </c>
      <c r="P43" s="10">
        <v>3357.6248555372699</v>
      </c>
      <c r="Q43" s="10">
        <v>4.8961038961038961</v>
      </c>
      <c r="R43" s="47">
        <f>P43-P41</f>
        <v>-695.86417630417327</v>
      </c>
    </row>
    <row r="44" spans="2:26">
      <c r="B44" s="2" t="s">
        <v>40</v>
      </c>
      <c r="G44" s="7">
        <v>45752</v>
      </c>
      <c r="H44" t="s">
        <v>91</v>
      </c>
      <c r="I44">
        <v>11075</v>
      </c>
      <c r="K44">
        <v>0</v>
      </c>
      <c r="L44">
        <v>0</v>
      </c>
      <c r="M44">
        <v>0</v>
      </c>
      <c r="O44" s="14" t="s">
        <v>95</v>
      </c>
      <c r="P44" s="15">
        <v>342682.58250445942</v>
      </c>
      <c r="Q44" s="15">
        <v>56.298245614035089</v>
      </c>
      <c r="R44" s="47"/>
    </row>
    <row r="45" spans="2:26">
      <c r="B45" s="2" t="s">
        <v>26</v>
      </c>
      <c r="G45" s="7">
        <v>45752</v>
      </c>
      <c r="H45" t="s">
        <v>91</v>
      </c>
      <c r="I45">
        <v>11075</v>
      </c>
      <c r="J45" t="s">
        <v>92</v>
      </c>
      <c r="K45">
        <v>2</v>
      </c>
      <c r="L45">
        <v>2</v>
      </c>
      <c r="M45">
        <v>5.1307502738225601</v>
      </c>
      <c r="O45" s="13">
        <v>11072</v>
      </c>
      <c r="P45" s="10">
        <v>131377.23987582268</v>
      </c>
      <c r="Q45" s="10">
        <v>64.84482758620689</v>
      </c>
      <c r="R45" s="47"/>
    </row>
    <row r="46" spans="2:26">
      <c r="B46" s="5" t="s">
        <v>41</v>
      </c>
      <c r="G46" s="7">
        <v>45752</v>
      </c>
      <c r="H46" t="s">
        <v>91</v>
      </c>
      <c r="I46">
        <v>11075</v>
      </c>
      <c r="J46" t="s">
        <v>93</v>
      </c>
      <c r="K46">
        <v>2</v>
      </c>
      <c r="L46">
        <v>1</v>
      </c>
      <c r="M46">
        <v>9.0434732246226197</v>
      </c>
      <c r="O46" s="13">
        <v>11073</v>
      </c>
      <c r="P46" s="10">
        <v>106351.36010121289</v>
      </c>
      <c r="Q46" s="10">
        <v>51.10526315789474</v>
      </c>
      <c r="R46" s="47">
        <f>P46-P45</f>
        <v>-25025.879774609784</v>
      </c>
    </row>
    <row r="47" spans="2:26">
      <c r="G47" s="7">
        <v>45752</v>
      </c>
      <c r="H47" t="s">
        <v>91</v>
      </c>
      <c r="I47">
        <v>11075</v>
      </c>
      <c r="J47" t="s">
        <v>94</v>
      </c>
      <c r="K47">
        <v>25</v>
      </c>
      <c r="L47">
        <v>8</v>
      </c>
      <c r="M47">
        <v>140.84380164985799</v>
      </c>
      <c r="O47" s="13">
        <v>11074</v>
      </c>
      <c r="P47" s="10">
        <v>104953.98252742378</v>
      </c>
      <c r="Q47" s="10">
        <v>52.732142857142854</v>
      </c>
      <c r="R47" s="47">
        <f>P47-P45</f>
        <v>-26423.257348398896</v>
      </c>
    </row>
    <row r="48" spans="2:26">
      <c r="B48" s="3" t="s">
        <v>42</v>
      </c>
      <c r="G48" s="7">
        <v>45752</v>
      </c>
      <c r="H48" t="s">
        <v>91</v>
      </c>
      <c r="I48">
        <v>11076</v>
      </c>
      <c r="K48">
        <v>0</v>
      </c>
      <c r="L48">
        <v>0</v>
      </c>
      <c r="M48">
        <v>0</v>
      </c>
    </row>
    <row r="49" spans="2:13">
      <c r="B49" s="2" t="s">
        <v>2</v>
      </c>
      <c r="G49" s="7">
        <v>45752</v>
      </c>
      <c r="H49" t="s">
        <v>91</v>
      </c>
      <c r="I49">
        <v>11076</v>
      </c>
      <c r="J49" t="s">
        <v>92</v>
      </c>
      <c r="K49">
        <v>0</v>
      </c>
      <c r="L49">
        <v>0</v>
      </c>
      <c r="M49">
        <v>0</v>
      </c>
    </row>
    <row r="50" spans="2:13">
      <c r="B50" s="2" t="s">
        <v>43</v>
      </c>
      <c r="G50" s="7">
        <v>45752</v>
      </c>
      <c r="H50" t="s">
        <v>91</v>
      </c>
      <c r="I50">
        <v>11076</v>
      </c>
      <c r="J50" t="s">
        <v>93</v>
      </c>
      <c r="K50">
        <v>0</v>
      </c>
      <c r="L50">
        <v>0</v>
      </c>
      <c r="M50">
        <v>0</v>
      </c>
    </row>
    <row r="51" spans="2:13">
      <c r="B51" s="2" t="s">
        <v>44</v>
      </c>
      <c r="G51" s="7">
        <v>45752</v>
      </c>
      <c r="H51" t="s">
        <v>91</v>
      </c>
      <c r="I51">
        <v>11076</v>
      </c>
      <c r="J51" t="s">
        <v>94</v>
      </c>
      <c r="K51">
        <v>6</v>
      </c>
      <c r="L51">
        <v>2</v>
      </c>
      <c r="M51">
        <v>47.2116145951967</v>
      </c>
    </row>
    <row r="52" spans="2:13">
      <c r="B52" s="5" t="s">
        <v>45</v>
      </c>
      <c r="G52" s="7">
        <v>45752</v>
      </c>
      <c r="H52" t="s">
        <v>91</v>
      </c>
      <c r="I52">
        <v>11077</v>
      </c>
      <c r="K52">
        <v>0</v>
      </c>
      <c r="L52">
        <v>0</v>
      </c>
      <c r="M52">
        <v>0</v>
      </c>
    </row>
    <row r="53" spans="2:13">
      <c r="B53" s="2" t="s">
        <v>46</v>
      </c>
      <c r="G53" s="7">
        <v>45752</v>
      </c>
      <c r="H53" t="s">
        <v>91</v>
      </c>
      <c r="I53">
        <v>11077</v>
      </c>
      <c r="J53" t="s">
        <v>92</v>
      </c>
      <c r="K53">
        <v>5</v>
      </c>
      <c r="L53">
        <v>5</v>
      </c>
      <c r="M53">
        <v>15.869684959691201</v>
      </c>
    </row>
    <row r="54" spans="2:13">
      <c r="B54" s="5" t="s">
        <v>47</v>
      </c>
      <c r="G54" s="7">
        <v>45752</v>
      </c>
      <c r="H54" t="s">
        <v>91</v>
      </c>
      <c r="I54">
        <v>11077</v>
      </c>
      <c r="J54" t="s">
        <v>93</v>
      </c>
      <c r="K54">
        <v>2</v>
      </c>
      <c r="L54">
        <v>1</v>
      </c>
      <c r="M54">
        <v>9.8113878303364697</v>
      </c>
    </row>
    <row r="55" spans="2:13">
      <c r="B55" s="2" t="s">
        <v>48</v>
      </c>
      <c r="G55" s="7">
        <v>45752</v>
      </c>
      <c r="H55" t="s">
        <v>91</v>
      </c>
      <c r="I55">
        <v>11077</v>
      </c>
      <c r="J55" t="s">
        <v>94</v>
      </c>
      <c r="K55">
        <v>13</v>
      </c>
      <c r="L55">
        <v>3</v>
      </c>
      <c r="M55">
        <v>21.289952982371901</v>
      </c>
    </row>
    <row r="56" spans="2:13">
      <c r="B56" s="2" t="s">
        <v>49</v>
      </c>
      <c r="G56" s="7">
        <v>45752</v>
      </c>
      <c r="H56" t="s">
        <v>95</v>
      </c>
      <c r="I56">
        <v>11072</v>
      </c>
      <c r="K56">
        <v>0</v>
      </c>
      <c r="L56">
        <v>0</v>
      </c>
      <c r="M56">
        <v>0</v>
      </c>
    </row>
    <row r="57" spans="2:13">
      <c r="B57" s="5" t="s">
        <v>28</v>
      </c>
      <c r="G57" s="7">
        <v>45752</v>
      </c>
      <c r="H57" t="s">
        <v>95</v>
      </c>
      <c r="I57">
        <v>11072</v>
      </c>
      <c r="J57" t="s">
        <v>92</v>
      </c>
      <c r="K57">
        <v>42</v>
      </c>
      <c r="L57">
        <v>42</v>
      </c>
      <c r="M57">
        <v>415.805803882904</v>
      </c>
    </row>
    <row r="58" spans="2:13">
      <c r="B58" s="3" t="s">
        <v>50</v>
      </c>
      <c r="G58" s="7">
        <v>45752</v>
      </c>
      <c r="H58" t="s">
        <v>95</v>
      </c>
      <c r="I58">
        <v>11072</v>
      </c>
      <c r="J58" t="s">
        <v>94</v>
      </c>
      <c r="K58">
        <v>513</v>
      </c>
      <c r="L58">
        <v>120</v>
      </c>
      <c r="M58">
        <v>4871.3818998692695</v>
      </c>
    </row>
    <row r="59" spans="2:13">
      <c r="B59" s="2" t="s">
        <v>51</v>
      </c>
      <c r="G59" s="7">
        <v>45752</v>
      </c>
      <c r="H59" t="s">
        <v>95</v>
      </c>
      <c r="I59">
        <v>11073</v>
      </c>
      <c r="K59">
        <v>0</v>
      </c>
      <c r="L59">
        <v>0</v>
      </c>
      <c r="M59">
        <v>0</v>
      </c>
    </row>
    <row r="60" spans="2:13">
      <c r="B60" s="4" t="s">
        <v>52</v>
      </c>
      <c r="G60" s="7">
        <v>45752</v>
      </c>
      <c r="H60" t="s">
        <v>95</v>
      </c>
      <c r="I60">
        <v>11073</v>
      </c>
      <c r="J60" t="s">
        <v>92</v>
      </c>
      <c r="K60">
        <v>21</v>
      </c>
      <c r="L60">
        <v>21</v>
      </c>
      <c r="M60">
        <v>222.743839767884</v>
      </c>
    </row>
    <row r="61" spans="2:13">
      <c r="B61" s="3" t="s">
        <v>53</v>
      </c>
      <c r="G61" s="7">
        <v>45752</v>
      </c>
      <c r="H61" t="s">
        <v>95</v>
      </c>
      <c r="I61">
        <v>11073</v>
      </c>
      <c r="J61" t="s">
        <v>94</v>
      </c>
      <c r="K61">
        <v>441</v>
      </c>
      <c r="L61">
        <v>122</v>
      </c>
      <c r="M61">
        <v>5390.5023019070504</v>
      </c>
    </row>
    <row r="62" spans="2:13">
      <c r="B62" s="3" t="s">
        <v>54</v>
      </c>
      <c r="G62" s="7">
        <v>45752</v>
      </c>
      <c r="H62" t="s">
        <v>95</v>
      </c>
      <c r="I62">
        <v>11074</v>
      </c>
      <c r="K62">
        <v>0</v>
      </c>
      <c r="L62">
        <v>0</v>
      </c>
      <c r="M62">
        <v>0</v>
      </c>
    </row>
    <row r="63" spans="2:13">
      <c r="B63" s="2" t="s">
        <v>55</v>
      </c>
      <c r="G63" s="7">
        <v>45752</v>
      </c>
      <c r="H63" t="s">
        <v>95</v>
      </c>
      <c r="I63">
        <v>11074</v>
      </c>
      <c r="J63" t="s">
        <v>92</v>
      </c>
      <c r="K63">
        <v>31</v>
      </c>
      <c r="L63">
        <v>31</v>
      </c>
      <c r="M63">
        <v>302.05771322974601</v>
      </c>
    </row>
    <row r="64" spans="2:13">
      <c r="B64" s="2" t="s">
        <v>56</v>
      </c>
      <c r="G64" s="7">
        <v>45752</v>
      </c>
      <c r="H64" t="s">
        <v>95</v>
      </c>
      <c r="I64">
        <v>11074</v>
      </c>
      <c r="J64" t="s">
        <v>94</v>
      </c>
      <c r="K64">
        <v>420</v>
      </c>
      <c r="L64">
        <v>90</v>
      </c>
      <c r="M64">
        <v>3939.0050147977499</v>
      </c>
    </row>
    <row r="65" spans="2:13">
      <c r="B65" s="2" t="s">
        <v>57</v>
      </c>
      <c r="G65" s="7">
        <v>45753</v>
      </c>
      <c r="H65" t="s">
        <v>91</v>
      </c>
      <c r="I65">
        <v>11075</v>
      </c>
      <c r="K65">
        <v>0</v>
      </c>
      <c r="L65">
        <v>0</v>
      </c>
      <c r="M65">
        <v>0</v>
      </c>
    </row>
    <row r="66" spans="2:13">
      <c r="B66" s="2" t="s">
        <v>58</v>
      </c>
      <c r="G66" s="7">
        <v>45753</v>
      </c>
      <c r="H66" t="s">
        <v>91</v>
      </c>
      <c r="I66">
        <v>11075</v>
      </c>
      <c r="J66" t="s">
        <v>92</v>
      </c>
      <c r="K66">
        <v>9</v>
      </c>
      <c r="L66">
        <v>9</v>
      </c>
      <c r="M66">
        <v>31.645845584322799</v>
      </c>
    </row>
    <row r="67" spans="2:13">
      <c r="B67" s="5" t="s">
        <v>28</v>
      </c>
      <c r="G67" s="7">
        <v>45753</v>
      </c>
      <c r="H67" t="s">
        <v>91</v>
      </c>
      <c r="I67">
        <v>11075</v>
      </c>
      <c r="J67" t="s">
        <v>93</v>
      </c>
      <c r="K67">
        <v>1</v>
      </c>
      <c r="L67">
        <v>0</v>
      </c>
      <c r="M67">
        <v>0</v>
      </c>
    </row>
    <row r="68" spans="2:13">
      <c r="B68" s="2" t="s">
        <v>2</v>
      </c>
      <c r="G68" s="7">
        <v>45753</v>
      </c>
      <c r="H68" t="s">
        <v>91</v>
      </c>
      <c r="I68">
        <v>11075</v>
      </c>
      <c r="J68" t="s">
        <v>94</v>
      </c>
      <c r="K68">
        <v>43</v>
      </c>
      <c r="L68">
        <v>15</v>
      </c>
      <c r="M68">
        <v>186.936256076809</v>
      </c>
    </row>
    <row r="69" spans="2:13">
      <c r="B69" s="4" t="s">
        <v>59</v>
      </c>
      <c r="G69" s="7">
        <v>45753</v>
      </c>
      <c r="H69" t="s">
        <v>91</v>
      </c>
      <c r="I69">
        <v>11076</v>
      </c>
      <c r="K69">
        <v>0</v>
      </c>
      <c r="L69">
        <v>0</v>
      </c>
      <c r="M69">
        <v>0</v>
      </c>
    </row>
    <row r="70" spans="2:13">
      <c r="B70" s="3" t="s">
        <v>60</v>
      </c>
      <c r="G70" s="7">
        <v>45753</v>
      </c>
      <c r="H70" t="s">
        <v>91</v>
      </c>
      <c r="I70">
        <v>11076</v>
      </c>
      <c r="J70" t="s">
        <v>92</v>
      </c>
      <c r="K70">
        <v>1</v>
      </c>
      <c r="L70">
        <v>1</v>
      </c>
      <c r="M70">
        <v>2.5653751369112801</v>
      </c>
    </row>
    <row r="71" spans="2:13">
      <c r="B71" s="3" t="s">
        <v>61</v>
      </c>
      <c r="G71" s="7">
        <v>45753</v>
      </c>
      <c r="H71" t="s">
        <v>91</v>
      </c>
      <c r="I71">
        <v>11076</v>
      </c>
      <c r="J71" t="s">
        <v>93</v>
      </c>
      <c r="K71">
        <v>0</v>
      </c>
      <c r="L71">
        <v>0</v>
      </c>
      <c r="M71">
        <v>0</v>
      </c>
    </row>
    <row r="72" spans="2:13">
      <c r="B72" s="3" t="s">
        <v>62</v>
      </c>
      <c r="G72" s="7">
        <v>45753</v>
      </c>
      <c r="H72" t="s">
        <v>91</v>
      </c>
      <c r="I72">
        <v>11076</v>
      </c>
      <c r="J72" t="s">
        <v>94</v>
      </c>
      <c r="K72">
        <v>10</v>
      </c>
      <c r="L72">
        <v>4</v>
      </c>
      <c r="M72">
        <v>25.0003931861722</v>
      </c>
    </row>
    <row r="73" spans="2:13">
      <c r="B73" s="2" t="s">
        <v>63</v>
      </c>
      <c r="G73" s="7">
        <v>45753</v>
      </c>
      <c r="H73" t="s">
        <v>91</v>
      </c>
      <c r="I73">
        <v>11077</v>
      </c>
      <c r="K73">
        <v>0</v>
      </c>
      <c r="L73">
        <v>0</v>
      </c>
      <c r="M73">
        <v>0</v>
      </c>
    </row>
    <row r="74" spans="2:13">
      <c r="B74" s="3" t="s">
        <v>64</v>
      </c>
      <c r="G74" s="7">
        <v>45753</v>
      </c>
      <c r="H74" t="s">
        <v>91</v>
      </c>
      <c r="I74">
        <v>11077</v>
      </c>
      <c r="J74" t="s">
        <v>92</v>
      </c>
      <c r="K74">
        <v>1</v>
      </c>
      <c r="L74">
        <v>1</v>
      </c>
      <c r="M74">
        <v>2.5653751369112801</v>
      </c>
    </row>
    <row r="75" spans="2:13">
      <c r="B75" s="2" t="s">
        <v>65</v>
      </c>
      <c r="G75" s="7">
        <v>45753</v>
      </c>
      <c r="H75" t="s">
        <v>91</v>
      </c>
      <c r="I75">
        <v>11077</v>
      </c>
      <c r="J75" t="s">
        <v>93</v>
      </c>
      <c r="K75">
        <v>0</v>
      </c>
      <c r="L75">
        <v>0</v>
      </c>
      <c r="M75">
        <v>0</v>
      </c>
    </row>
    <row r="76" spans="2:13">
      <c r="B76" s="2" t="s">
        <v>66</v>
      </c>
      <c r="G76" s="7">
        <v>45753</v>
      </c>
      <c r="H76" t="s">
        <v>91</v>
      </c>
      <c r="I76">
        <v>11077</v>
      </c>
      <c r="J76" t="s">
        <v>94</v>
      </c>
      <c r="K76">
        <v>19</v>
      </c>
      <c r="L76">
        <v>6</v>
      </c>
      <c r="M76">
        <v>93.280272122435505</v>
      </c>
    </row>
    <row r="77" spans="2:13">
      <c r="G77" s="7">
        <v>45753</v>
      </c>
      <c r="H77" t="s">
        <v>95</v>
      </c>
      <c r="I77">
        <v>11072</v>
      </c>
      <c r="K77">
        <v>0</v>
      </c>
      <c r="L77">
        <v>0</v>
      </c>
      <c r="M77">
        <v>0</v>
      </c>
    </row>
    <row r="78" spans="2:13">
      <c r="G78" s="7">
        <v>45753</v>
      </c>
      <c r="H78" t="s">
        <v>95</v>
      </c>
      <c r="I78">
        <v>11072</v>
      </c>
      <c r="J78" t="s">
        <v>92</v>
      </c>
      <c r="K78">
        <v>57</v>
      </c>
      <c r="L78">
        <v>57</v>
      </c>
      <c r="M78">
        <v>628.41235918195503</v>
      </c>
    </row>
    <row r="79" spans="2:13">
      <c r="B79" s="2" t="s">
        <v>67</v>
      </c>
      <c r="G79" s="7">
        <v>45753</v>
      </c>
      <c r="H79" t="s">
        <v>95</v>
      </c>
      <c r="I79">
        <v>11072</v>
      </c>
      <c r="J79" t="s">
        <v>94</v>
      </c>
      <c r="K79">
        <v>692</v>
      </c>
      <c r="L79">
        <v>166</v>
      </c>
      <c r="M79">
        <v>7502.5852971910699</v>
      </c>
    </row>
    <row r="80" spans="2:13">
      <c r="B80" s="2" t="s">
        <v>68</v>
      </c>
      <c r="G80" s="7">
        <v>45753</v>
      </c>
      <c r="H80" t="s">
        <v>95</v>
      </c>
      <c r="I80">
        <v>11073</v>
      </c>
      <c r="K80">
        <v>0</v>
      </c>
      <c r="L80">
        <v>0</v>
      </c>
      <c r="M80">
        <v>0</v>
      </c>
    </row>
    <row r="81" spans="2:13">
      <c r="B81" s="5" t="s">
        <v>69</v>
      </c>
      <c r="G81" s="7">
        <v>45753</v>
      </c>
      <c r="H81" t="s">
        <v>95</v>
      </c>
      <c r="I81">
        <v>11073</v>
      </c>
      <c r="J81" t="s">
        <v>92</v>
      </c>
      <c r="K81">
        <v>24</v>
      </c>
      <c r="L81">
        <v>24</v>
      </c>
      <c r="M81">
        <v>273.21015175659397</v>
      </c>
    </row>
    <row r="82" spans="2:13">
      <c r="B82" s="4" t="s">
        <v>70</v>
      </c>
      <c r="G82" s="7">
        <v>45753</v>
      </c>
      <c r="H82" t="s">
        <v>95</v>
      </c>
      <c r="I82">
        <v>11073</v>
      </c>
      <c r="J82" t="s">
        <v>94</v>
      </c>
      <c r="K82">
        <v>561</v>
      </c>
      <c r="L82">
        <v>129</v>
      </c>
      <c r="M82">
        <v>6076.7461404971</v>
      </c>
    </row>
    <row r="83" spans="2:13">
      <c r="B83" s="3" t="s">
        <v>71</v>
      </c>
      <c r="G83" s="7">
        <v>45753</v>
      </c>
      <c r="H83" t="s">
        <v>95</v>
      </c>
      <c r="I83">
        <v>11074</v>
      </c>
      <c r="K83">
        <v>0</v>
      </c>
      <c r="L83">
        <v>0</v>
      </c>
      <c r="M83">
        <v>0</v>
      </c>
    </row>
    <row r="84" spans="2:13">
      <c r="B84" s="3" t="s">
        <v>72</v>
      </c>
      <c r="G84" s="7">
        <v>45753</v>
      </c>
      <c r="H84" t="s">
        <v>95</v>
      </c>
      <c r="I84">
        <v>11074</v>
      </c>
      <c r="J84" t="s">
        <v>92</v>
      </c>
      <c r="K84">
        <v>35</v>
      </c>
      <c r="L84">
        <v>35</v>
      </c>
      <c r="M84">
        <v>350.45403260884501</v>
      </c>
    </row>
    <row r="85" spans="2:13">
      <c r="B85" s="3" t="s">
        <v>73</v>
      </c>
      <c r="G85" s="7">
        <v>45753</v>
      </c>
      <c r="H85" t="s">
        <v>95</v>
      </c>
      <c r="I85">
        <v>11074</v>
      </c>
      <c r="J85" t="s">
        <v>94</v>
      </c>
      <c r="K85">
        <v>597</v>
      </c>
      <c r="L85">
        <v>149</v>
      </c>
      <c r="M85">
        <v>6480.0983080502301</v>
      </c>
    </row>
    <row r="86" spans="2:13">
      <c r="B86" s="2" t="s">
        <v>74</v>
      </c>
      <c r="G86" s="7">
        <v>45754</v>
      </c>
      <c r="H86" t="s">
        <v>91</v>
      </c>
      <c r="I86">
        <v>11075</v>
      </c>
      <c r="K86">
        <v>0</v>
      </c>
      <c r="L86">
        <v>0</v>
      </c>
      <c r="M86">
        <v>0</v>
      </c>
    </row>
    <row r="87" spans="2:13">
      <c r="B87" s="5" t="s">
        <v>75</v>
      </c>
      <c r="G87" s="7">
        <v>45754</v>
      </c>
      <c r="H87" t="s">
        <v>91</v>
      </c>
      <c r="I87">
        <v>11075</v>
      </c>
      <c r="J87" t="s">
        <v>92</v>
      </c>
      <c r="K87">
        <v>3</v>
      </c>
      <c r="L87">
        <v>3</v>
      </c>
      <c r="M87">
        <v>11.759281054146699</v>
      </c>
    </row>
    <row r="88" spans="2:13">
      <c r="B88" s="2" t="s">
        <v>2</v>
      </c>
      <c r="G88" s="7">
        <v>45754</v>
      </c>
      <c r="H88" t="s">
        <v>91</v>
      </c>
      <c r="I88">
        <v>11075</v>
      </c>
      <c r="J88" t="s">
        <v>93</v>
      </c>
      <c r="K88">
        <v>2</v>
      </c>
      <c r="L88">
        <v>0</v>
      </c>
      <c r="M88">
        <v>0</v>
      </c>
    </row>
    <row r="89" spans="2:13">
      <c r="B89" s="5" t="s">
        <v>76</v>
      </c>
      <c r="G89" s="7">
        <v>45754</v>
      </c>
      <c r="H89" t="s">
        <v>91</v>
      </c>
      <c r="I89">
        <v>11075</v>
      </c>
      <c r="J89" t="s">
        <v>94</v>
      </c>
      <c r="K89">
        <v>43</v>
      </c>
      <c r="L89">
        <v>8</v>
      </c>
      <c r="M89">
        <v>97.345663696931496</v>
      </c>
    </row>
    <row r="90" spans="2:13">
      <c r="B90" s="2" t="s">
        <v>77</v>
      </c>
      <c r="G90" s="7">
        <v>45754</v>
      </c>
      <c r="H90" t="s">
        <v>91</v>
      </c>
      <c r="I90">
        <v>11076</v>
      </c>
      <c r="K90">
        <v>0</v>
      </c>
      <c r="L90">
        <v>0</v>
      </c>
      <c r="M90">
        <v>0</v>
      </c>
    </row>
    <row r="91" spans="2:13">
      <c r="B91" s="2" t="s">
        <v>78</v>
      </c>
      <c r="G91" s="7">
        <v>45754</v>
      </c>
      <c r="H91" t="s">
        <v>91</v>
      </c>
      <c r="I91">
        <v>11076</v>
      </c>
      <c r="J91" t="s">
        <v>92</v>
      </c>
      <c r="K91">
        <v>11</v>
      </c>
      <c r="L91">
        <v>11</v>
      </c>
      <c r="M91">
        <v>36.300429126005596</v>
      </c>
    </row>
    <row r="92" spans="2:13">
      <c r="B92" s="5" t="s">
        <v>79</v>
      </c>
      <c r="G92" s="7">
        <v>45754</v>
      </c>
      <c r="H92" t="s">
        <v>91</v>
      </c>
      <c r="I92">
        <v>11076</v>
      </c>
      <c r="J92" t="s">
        <v>93</v>
      </c>
      <c r="K92">
        <v>2</v>
      </c>
      <c r="L92">
        <v>0</v>
      </c>
      <c r="M92">
        <v>0</v>
      </c>
    </row>
    <row r="93" spans="2:13">
      <c r="B93" s="2" t="s">
        <v>80</v>
      </c>
      <c r="G93" s="7">
        <v>45754</v>
      </c>
      <c r="H93" t="s">
        <v>91</v>
      </c>
      <c r="I93">
        <v>11076</v>
      </c>
      <c r="J93" t="s">
        <v>94</v>
      </c>
      <c r="K93">
        <v>29</v>
      </c>
      <c r="L93">
        <v>10</v>
      </c>
      <c r="M93">
        <v>113.61989426448</v>
      </c>
    </row>
    <row r="94" spans="2:13">
      <c r="B94" s="5" t="s">
        <v>81</v>
      </c>
      <c r="G94" s="7">
        <v>45754</v>
      </c>
      <c r="H94" t="s">
        <v>91</v>
      </c>
      <c r="I94">
        <v>11077</v>
      </c>
      <c r="K94">
        <v>0</v>
      </c>
      <c r="L94">
        <v>0</v>
      </c>
      <c r="M94">
        <v>0</v>
      </c>
    </row>
    <row r="95" spans="2:13">
      <c r="B95" s="2" t="s">
        <v>82</v>
      </c>
      <c r="G95" s="7">
        <v>45754</v>
      </c>
      <c r="H95" t="s">
        <v>91</v>
      </c>
      <c r="I95">
        <v>11077</v>
      </c>
      <c r="J95" t="s">
        <v>92</v>
      </c>
      <c r="K95">
        <v>5</v>
      </c>
      <c r="L95">
        <v>5</v>
      </c>
      <c r="M95">
        <v>12.830565354981299</v>
      </c>
    </row>
    <row r="96" spans="2:13">
      <c r="B96" s="2" t="s">
        <v>83</v>
      </c>
      <c r="G96" s="7">
        <v>45754</v>
      </c>
      <c r="H96" t="s">
        <v>91</v>
      </c>
      <c r="I96">
        <v>11077</v>
      </c>
      <c r="J96" t="s">
        <v>93</v>
      </c>
      <c r="K96">
        <v>1</v>
      </c>
      <c r="L96">
        <v>0</v>
      </c>
      <c r="M96">
        <v>0</v>
      </c>
    </row>
    <row r="97" spans="2:13">
      <c r="B97" s="5"/>
      <c r="G97" s="7">
        <v>45754</v>
      </c>
      <c r="H97" t="s">
        <v>91</v>
      </c>
      <c r="I97">
        <v>11077</v>
      </c>
      <c r="J97" t="s">
        <v>94</v>
      </c>
      <c r="K97">
        <v>35</v>
      </c>
      <c r="L97">
        <v>10</v>
      </c>
      <c r="M97">
        <v>102.538240862059</v>
      </c>
    </row>
    <row r="98" spans="2:13">
      <c r="B98" s="2"/>
      <c r="G98" s="7">
        <v>45754</v>
      </c>
      <c r="H98" t="s">
        <v>95</v>
      </c>
      <c r="I98">
        <v>11072</v>
      </c>
      <c r="K98">
        <v>0</v>
      </c>
      <c r="L98">
        <v>0</v>
      </c>
      <c r="M98">
        <v>0</v>
      </c>
    </row>
    <row r="99" spans="2:13">
      <c r="B99" s="2"/>
      <c r="G99" s="7">
        <v>45754</v>
      </c>
      <c r="H99" t="s">
        <v>95</v>
      </c>
      <c r="I99">
        <v>11072</v>
      </c>
      <c r="J99" t="s">
        <v>92</v>
      </c>
      <c r="K99">
        <v>53</v>
      </c>
      <c r="L99">
        <v>53</v>
      </c>
      <c r="M99">
        <v>553.21598690870803</v>
      </c>
    </row>
    <row r="100" spans="2:13">
      <c r="G100" s="7">
        <v>45754</v>
      </c>
      <c r="H100" t="s">
        <v>95</v>
      </c>
      <c r="I100">
        <v>11072</v>
      </c>
      <c r="J100" t="s">
        <v>94</v>
      </c>
      <c r="K100">
        <v>670</v>
      </c>
      <c r="L100">
        <v>175</v>
      </c>
      <c r="M100">
        <v>7668.9059918011199</v>
      </c>
    </row>
    <row r="101" spans="2:13">
      <c r="G101" s="7">
        <v>45754</v>
      </c>
      <c r="H101" t="s">
        <v>95</v>
      </c>
      <c r="I101">
        <v>11072</v>
      </c>
      <c r="J101" t="s">
        <v>96</v>
      </c>
      <c r="K101">
        <v>0</v>
      </c>
      <c r="L101">
        <v>0</v>
      </c>
      <c r="M101">
        <v>0</v>
      </c>
    </row>
    <row r="102" spans="2:13">
      <c r="G102" s="7">
        <v>45754</v>
      </c>
      <c r="H102" t="s">
        <v>95</v>
      </c>
      <c r="I102">
        <v>11073</v>
      </c>
      <c r="K102">
        <v>0</v>
      </c>
      <c r="L102">
        <v>0</v>
      </c>
      <c r="M102">
        <v>0</v>
      </c>
    </row>
    <row r="103" spans="2:13">
      <c r="G103" s="7">
        <v>45754</v>
      </c>
      <c r="H103" t="s">
        <v>95</v>
      </c>
      <c r="I103">
        <v>11073</v>
      </c>
      <c r="J103" t="s">
        <v>92</v>
      </c>
      <c r="K103">
        <v>31</v>
      </c>
      <c r="L103">
        <v>31</v>
      </c>
      <c r="M103">
        <v>361.01228548229</v>
      </c>
    </row>
    <row r="104" spans="2:13">
      <c r="G104" s="7">
        <v>45754</v>
      </c>
      <c r="H104" t="s">
        <v>95</v>
      </c>
      <c r="I104">
        <v>11073</v>
      </c>
      <c r="J104" t="s">
        <v>94</v>
      </c>
      <c r="K104">
        <v>579</v>
      </c>
      <c r="L104">
        <v>131</v>
      </c>
      <c r="M104">
        <v>6016.6175724500299</v>
      </c>
    </row>
    <row r="105" spans="2:13">
      <c r="G105" s="7">
        <v>45754</v>
      </c>
      <c r="H105" t="s">
        <v>95</v>
      </c>
      <c r="I105">
        <v>11074</v>
      </c>
      <c r="K105">
        <v>0</v>
      </c>
      <c r="L105">
        <v>0</v>
      </c>
      <c r="M105">
        <v>0</v>
      </c>
    </row>
    <row r="106" spans="2:13">
      <c r="G106" s="7">
        <v>45754</v>
      </c>
      <c r="H106" t="s">
        <v>95</v>
      </c>
      <c r="I106">
        <v>11074</v>
      </c>
      <c r="J106" t="s">
        <v>92</v>
      </c>
      <c r="K106">
        <v>35</v>
      </c>
      <c r="L106">
        <v>35</v>
      </c>
      <c r="M106">
        <v>374.832489573619</v>
      </c>
    </row>
    <row r="107" spans="2:13">
      <c r="G107" s="7">
        <v>45754</v>
      </c>
      <c r="H107" t="s">
        <v>95</v>
      </c>
      <c r="I107">
        <v>11074</v>
      </c>
      <c r="J107" t="s">
        <v>94</v>
      </c>
      <c r="K107">
        <v>602</v>
      </c>
      <c r="L107">
        <v>129</v>
      </c>
      <c r="M107">
        <v>5257.9909115459404</v>
      </c>
    </row>
    <row r="108" spans="2:13">
      <c r="G108" s="7">
        <v>45755</v>
      </c>
      <c r="H108" t="s">
        <v>91</v>
      </c>
      <c r="I108">
        <v>11075</v>
      </c>
      <c r="K108">
        <v>0</v>
      </c>
      <c r="L108">
        <v>0</v>
      </c>
      <c r="M108">
        <v>0</v>
      </c>
    </row>
    <row r="109" spans="2:13">
      <c r="G109" s="7">
        <v>45755</v>
      </c>
      <c r="H109" t="s">
        <v>91</v>
      </c>
      <c r="I109">
        <v>11075</v>
      </c>
      <c r="J109" t="s">
        <v>92</v>
      </c>
      <c r="K109">
        <v>10</v>
      </c>
      <c r="L109">
        <v>10</v>
      </c>
      <c r="M109">
        <v>29.135029150961198</v>
      </c>
    </row>
    <row r="110" spans="2:13">
      <c r="G110" s="7">
        <v>45755</v>
      </c>
      <c r="H110" t="s">
        <v>91</v>
      </c>
      <c r="I110">
        <v>11075</v>
      </c>
      <c r="J110" t="s">
        <v>93</v>
      </c>
      <c r="K110">
        <v>1</v>
      </c>
      <c r="L110">
        <v>0</v>
      </c>
      <c r="M110">
        <v>0</v>
      </c>
    </row>
    <row r="111" spans="2:13">
      <c r="G111" s="7">
        <v>45755</v>
      </c>
      <c r="H111" t="s">
        <v>91</v>
      </c>
      <c r="I111">
        <v>11075</v>
      </c>
      <c r="J111" t="s">
        <v>94</v>
      </c>
      <c r="K111">
        <v>63</v>
      </c>
      <c r="L111">
        <v>11</v>
      </c>
      <c r="M111">
        <v>109.229137942403</v>
      </c>
    </row>
    <row r="112" spans="2:13">
      <c r="G112" s="7">
        <v>45755</v>
      </c>
      <c r="H112" t="s">
        <v>91</v>
      </c>
      <c r="I112">
        <v>11076</v>
      </c>
      <c r="K112">
        <v>0</v>
      </c>
      <c r="L112">
        <v>0</v>
      </c>
      <c r="M112">
        <v>0</v>
      </c>
    </row>
    <row r="113" spans="7:13">
      <c r="G113" s="7">
        <v>45755</v>
      </c>
      <c r="H113" t="s">
        <v>91</v>
      </c>
      <c r="I113">
        <v>11076</v>
      </c>
      <c r="J113" t="s">
        <v>92</v>
      </c>
      <c r="K113">
        <v>8</v>
      </c>
      <c r="L113">
        <v>8</v>
      </c>
      <c r="M113">
        <v>27.3509949934354</v>
      </c>
    </row>
    <row r="114" spans="7:13">
      <c r="G114" s="7">
        <v>45755</v>
      </c>
      <c r="H114" t="s">
        <v>91</v>
      </c>
      <c r="I114">
        <v>11076</v>
      </c>
      <c r="J114" t="s">
        <v>93</v>
      </c>
      <c r="K114">
        <v>1</v>
      </c>
      <c r="L114">
        <v>0</v>
      </c>
      <c r="M114">
        <v>0</v>
      </c>
    </row>
    <row r="115" spans="7:13">
      <c r="G115" s="7">
        <v>45755</v>
      </c>
      <c r="H115" t="s">
        <v>91</v>
      </c>
      <c r="I115">
        <v>11076</v>
      </c>
      <c r="J115" t="s">
        <v>94</v>
      </c>
      <c r="K115">
        <v>29</v>
      </c>
      <c r="L115">
        <v>6</v>
      </c>
      <c r="M115">
        <v>54.225475319725597</v>
      </c>
    </row>
    <row r="116" spans="7:13">
      <c r="G116" s="7">
        <v>45755</v>
      </c>
      <c r="H116" t="s">
        <v>91</v>
      </c>
      <c r="I116">
        <v>11077</v>
      </c>
      <c r="K116">
        <v>0</v>
      </c>
      <c r="L116">
        <v>0</v>
      </c>
      <c r="M116">
        <v>0</v>
      </c>
    </row>
    <row r="117" spans="7:13">
      <c r="G117" s="7">
        <v>45755</v>
      </c>
      <c r="H117" t="s">
        <v>91</v>
      </c>
      <c r="I117">
        <v>11077</v>
      </c>
      <c r="J117" t="s">
        <v>92</v>
      </c>
      <c r="K117">
        <v>10</v>
      </c>
      <c r="L117">
        <v>10</v>
      </c>
      <c r="M117">
        <v>31.9664258135243</v>
      </c>
    </row>
    <row r="118" spans="7:13">
      <c r="G118" s="7">
        <v>45755</v>
      </c>
      <c r="H118" t="s">
        <v>91</v>
      </c>
      <c r="I118">
        <v>11077</v>
      </c>
      <c r="J118" t="s">
        <v>93</v>
      </c>
      <c r="K118">
        <v>0</v>
      </c>
      <c r="L118">
        <v>0</v>
      </c>
      <c r="M118">
        <v>0</v>
      </c>
    </row>
    <row r="119" spans="7:13">
      <c r="G119" s="7">
        <v>45755</v>
      </c>
      <c r="H119" t="s">
        <v>91</v>
      </c>
      <c r="I119">
        <v>11077</v>
      </c>
      <c r="J119" t="s">
        <v>94</v>
      </c>
      <c r="K119">
        <v>45</v>
      </c>
      <c r="L119">
        <v>14</v>
      </c>
      <c r="M119">
        <v>175.54524729555899</v>
      </c>
    </row>
    <row r="120" spans="7:13">
      <c r="G120" s="7">
        <v>45755</v>
      </c>
      <c r="H120" t="s">
        <v>95</v>
      </c>
      <c r="I120">
        <v>11072</v>
      </c>
      <c r="K120">
        <v>0</v>
      </c>
      <c r="L120">
        <v>0</v>
      </c>
      <c r="M120">
        <v>0</v>
      </c>
    </row>
    <row r="121" spans="7:13">
      <c r="G121" s="7">
        <v>45755</v>
      </c>
      <c r="H121" t="s">
        <v>95</v>
      </c>
      <c r="I121">
        <v>11072</v>
      </c>
      <c r="J121" t="s">
        <v>92</v>
      </c>
      <c r="K121">
        <v>35</v>
      </c>
      <c r="L121">
        <v>35</v>
      </c>
      <c r="M121">
        <v>326.71959969601602</v>
      </c>
    </row>
    <row r="122" spans="7:13">
      <c r="G122" s="7">
        <v>45755</v>
      </c>
      <c r="H122" t="s">
        <v>95</v>
      </c>
      <c r="I122">
        <v>11072</v>
      </c>
      <c r="J122" t="s">
        <v>94</v>
      </c>
      <c r="K122">
        <v>501</v>
      </c>
      <c r="L122">
        <v>113</v>
      </c>
      <c r="M122">
        <v>4861.90166581208</v>
      </c>
    </row>
    <row r="123" spans="7:13">
      <c r="G123" s="7">
        <v>45755</v>
      </c>
      <c r="H123" t="s">
        <v>95</v>
      </c>
      <c r="I123">
        <v>11073</v>
      </c>
      <c r="K123">
        <v>0</v>
      </c>
      <c r="L123">
        <v>0</v>
      </c>
      <c r="M123">
        <v>0</v>
      </c>
    </row>
    <row r="124" spans="7:13">
      <c r="G124" s="7">
        <v>45755</v>
      </c>
      <c r="H124" t="s">
        <v>95</v>
      </c>
      <c r="I124">
        <v>11073</v>
      </c>
      <c r="J124" t="s">
        <v>92</v>
      </c>
      <c r="K124">
        <v>29</v>
      </c>
      <c r="L124">
        <v>29</v>
      </c>
      <c r="M124">
        <v>299.05884963077602</v>
      </c>
    </row>
    <row r="125" spans="7:13">
      <c r="G125" s="7">
        <v>45755</v>
      </c>
      <c r="H125" t="s">
        <v>95</v>
      </c>
      <c r="I125">
        <v>11073</v>
      </c>
      <c r="J125" t="s">
        <v>94</v>
      </c>
      <c r="K125">
        <v>478</v>
      </c>
      <c r="L125">
        <v>118</v>
      </c>
      <c r="M125">
        <v>5009.6955959365596</v>
      </c>
    </row>
    <row r="126" spans="7:13">
      <c r="G126" s="7">
        <v>45755</v>
      </c>
      <c r="H126" t="s">
        <v>95</v>
      </c>
      <c r="I126">
        <v>11074</v>
      </c>
      <c r="K126">
        <v>0</v>
      </c>
      <c r="L126">
        <v>0</v>
      </c>
      <c r="M126">
        <v>0</v>
      </c>
    </row>
    <row r="127" spans="7:13">
      <c r="G127" s="7">
        <v>45755</v>
      </c>
      <c r="H127" t="s">
        <v>95</v>
      </c>
      <c r="I127">
        <v>11074</v>
      </c>
      <c r="J127" t="s">
        <v>92</v>
      </c>
      <c r="K127">
        <v>30</v>
      </c>
      <c r="L127">
        <v>30</v>
      </c>
      <c r="M127">
        <v>331.19716809471601</v>
      </c>
    </row>
    <row r="128" spans="7:13">
      <c r="G128" s="7">
        <v>45755</v>
      </c>
      <c r="H128" t="s">
        <v>95</v>
      </c>
      <c r="I128">
        <v>11074</v>
      </c>
      <c r="J128" t="s">
        <v>94</v>
      </c>
      <c r="K128">
        <v>506</v>
      </c>
      <c r="L128">
        <v>111</v>
      </c>
      <c r="M128">
        <v>4827.6657386775796</v>
      </c>
    </row>
    <row r="129" spans="7:13">
      <c r="G129" s="7">
        <v>45756</v>
      </c>
      <c r="H129" t="s">
        <v>91</v>
      </c>
      <c r="I129">
        <v>11075</v>
      </c>
      <c r="K129">
        <v>0</v>
      </c>
      <c r="L129">
        <v>0</v>
      </c>
      <c r="M129">
        <v>0</v>
      </c>
    </row>
    <row r="130" spans="7:13">
      <c r="G130" s="7">
        <v>45756</v>
      </c>
      <c r="H130" t="s">
        <v>91</v>
      </c>
      <c r="I130">
        <v>11075</v>
      </c>
      <c r="J130" t="s">
        <v>92</v>
      </c>
      <c r="K130">
        <v>14</v>
      </c>
      <c r="L130">
        <v>14</v>
      </c>
      <c r="M130">
        <v>39.202344829518303</v>
      </c>
    </row>
    <row r="131" spans="7:13">
      <c r="G131" s="7">
        <v>45756</v>
      </c>
      <c r="H131" t="s">
        <v>91</v>
      </c>
      <c r="I131">
        <v>11075</v>
      </c>
      <c r="J131" t="s">
        <v>93</v>
      </c>
      <c r="K131">
        <v>1</v>
      </c>
      <c r="L131">
        <v>0</v>
      </c>
      <c r="M131">
        <v>0</v>
      </c>
    </row>
    <row r="132" spans="7:13">
      <c r="G132" s="7">
        <v>45756</v>
      </c>
      <c r="H132" t="s">
        <v>91</v>
      </c>
      <c r="I132">
        <v>11075</v>
      </c>
      <c r="J132" t="s">
        <v>94</v>
      </c>
      <c r="K132">
        <v>66</v>
      </c>
      <c r="L132">
        <v>18</v>
      </c>
      <c r="M132">
        <v>230.79978590162901</v>
      </c>
    </row>
    <row r="133" spans="7:13">
      <c r="G133" s="7">
        <v>45756</v>
      </c>
      <c r="H133" t="s">
        <v>91</v>
      </c>
      <c r="I133">
        <v>11076</v>
      </c>
      <c r="K133">
        <v>0</v>
      </c>
      <c r="L133">
        <v>0</v>
      </c>
      <c r="M133">
        <v>0</v>
      </c>
    </row>
    <row r="134" spans="7:13">
      <c r="G134" s="7">
        <v>45756</v>
      </c>
      <c r="H134" t="s">
        <v>91</v>
      </c>
      <c r="I134">
        <v>11076</v>
      </c>
      <c r="J134" t="s">
        <v>92</v>
      </c>
      <c r="K134">
        <v>8</v>
      </c>
      <c r="L134">
        <v>8</v>
      </c>
      <c r="M134">
        <v>25.926299510544499</v>
      </c>
    </row>
    <row r="135" spans="7:13">
      <c r="G135" s="7">
        <v>45756</v>
      </c>
      <c r="H135" t="s">
        <v>91</v>
      </c>
      <c r="I135">
        <v>11076</v>
      </c>
      <c r="J135" t="s">
        <v>93</v>
      </c>
      <c r="K135">
        <v>2</v>
      </c>
      <c r="L135">
        <v>0</v>
      </c>
      <c r="M135">
        <v>0</v>
      </c>
    </row>
    <row r="136" spans="7:13">
      <c r="G136" s="7">
        <v>45756</v>
      </c>
      <c r="H136" t="s">
        <v>91</v>
      </c>
      <c r="I136">
        <v>11076</v>
      </c>
      <c r="J136" t="s">
        <v>94</v>
      </c>
      <c r="K136">
        <v>29</v>
      </c>
      <c r="L136">
        <v>9</v>
      </c>
      <c r="M136">
        <v>119.06230228147101</v>
      </c>
    </row>
    <row r="137" spans="7:13">
      <c r="G137" s="7">
        <v>45756</v>
      </c>
      <c r="H137" t="s">
        <v>91</v>
      </c>
      <c r="I137">
        <v>11077</v>
      </c>
      <c r="K137">
        <v>0</v>
      </c>
      <c r="L137">
        <v>0</v>
      </c>
      <c r="M137">
        <v>0</v>
      </c>
    </row>
    <row r="138" spans="7:13">
      <c r="G138" s="7">
        <v>45756</v>
      </c>
      <c r="H138" t="s">
        <v>91</v>
      </c>
      <c r="I138">
        <v>11077</v>
      </c>
      <c r="J138" t="s">
        <v>92</v>
      </c>
      <c r="K138">
        <v>6</v>
      </c>
      <c r="L138">
        <v>6</v>
      </c>
      <c r="M138">
        <v>21.364751344802201</v>
      </c>
    </row>
    <row r="139" spans="7:13">
      <c r="G139" s="7">
        <v>45756</v>
      </c>
      <c r="H139" t="s">
        <v>91</v>
      </c>
      <c r="I139">
        <v>11077</v>
      </c>
      <c r="J139" t="s">
        <v>93</v>
      </c>
      <c r="K139">
        <v>2</v>
      </c>
      <c r="L139">
        <v>0</v>
      </c>
      <c r="M139">
        <v>0</v>
      </c>
    </row>
    <row r="140" spans="7:13">
      <c r="G140" s="7">
        <v>45756</v>
      </c>
      <c r="H140" t="s">
        <v>91</v>
      </c>
      <c r="I140">
        <v>11077</v>
      </c>
      <c r="J140" t="s">
        <v>94</v>
      </c>
      <c r="K140">
        <v>57</v>
      </c>
      <c r="L140">
        <v>17</v>
      </c>
      <c r="M140">
        <v>202.08854766720401</v>
      </c>
    </row>
    <row r="141" spans="7:13">
      <c r="G141" s="7">
        <v>45756</v>
      </c>
      <c r="H141" t="s">
        <v>95</v>
      </c>
      <c r="I141">
        <v>11072</v>
      </c>
      <c r="K141">
        <v>0</v>
      </c>
      <c r="L141">
        <v>0</v>
      </c>
      <c r="M141">
        <v>0</v>
      </c>
    </row>
    <row r="142" spans="7:13">
      <c r="G142" s="7">
        <v>45756</v>
      </c>
      <c r="H142" t="s">
        <v>95</v>
      </c>
      <c r="I142">
        <v>11072</v>
      </c>
      <c r="J142" t="s">
        <v>92</v>
      </c>
      <c r="K142">
        <v>35</v>
      </c>
      <c r="L142">
        <v>35</v>
      </c>
      <c r="M142">
        <v>358.035631348322</v>
      </c>
    </row>
    <row r="143" spans="7:13">
      <c r="G143" s="7">
        <v>45756</v>
      </c>
      <c r="H143" t="s">
        <v>95</v>
      </c>
      <c r="I143">
        <v>11072</v>
      </c>
      <c r="J143" t="s">
        <v>94</v>
      </c>
      <c r="K143">
        <v>494</v>
      </c>
      <c r="L143">
        <v>120</v>
      </c>
      <c r="M143">
        <v>5036.6937953208699</v>
      </c>
    </row>
    <row r="144" spans="7:13">
      <c r="G144" s="7">
        <v>45756</v>
      </c>
      <c r="H144" t="s">
        <v>95</v>
      </c>
      <c r="I144">
        <v>11072</v>
      </c>
      <c r="J144" t="s">
        <v>96</v>
      </c>
      <c r="K144">
        <v>0</v>
      </c>
      <c r="L144">
        <v>0</v>
      </c>
      <c r="M144">
        <v>0</v>
      </c>
    </row>
    <row r="145" spans="7:13">
      <c r="G145" s="7">
        <v>45756</v>
      </c>
      <c r="H145" t="s">
        <v>95</v>
      </c>
      <c r="I145">
        <v>11073</v>
      </c>
      <c r="K145">
        <v>0</v>
      </c>
      <c r="L145">
        <v>0</v>
      </c>
      <c r="M145">
        <v>0</v>
      </c>
    </row>
    <row r="146" spans="7:13">
      <c r="G146" s="7">
        <v>45756</v>
      </c>
      <c r="H146" t="s">
        <v>95</v>
      </c>
      <c r="I146">
        <v>11073</v>
      </c>
      <c r="J146" t="s">
        <v>92</v>
      </c>
      <c r="K146">
        <v>21</v>
      </c>
      <c r="L146">
        <v>21</v>
      </c>
      <c r="M146">
        <v>228.83585545613201</v>
      </c>
    </row>
    <row r="147" spans="7:13">
      <c r="G147" s="7">
        <v>45756</v>
      </c>
      <c r="H147" t="s">
        <v>95</v>
      </c>
      <c r="I147">
        <v>11073</v>
      </c>
      <c r="J147" t="s">
        <v>94</v>
      </c>
      <c r="K147">
        <v>450</v>
      </c>
      <c r="L147">
        <v>111</v>
      </c>
      <c r="M147">
        <v>4827.4191221092697</v>
      </c>
    </row>
    <row r="148" spans="7:13">
      <c r="G148" s="7">
        <v>45756</v>
      </c>
      <c r="H148" t="s">
        <v>95</v>
      </c>
      <c r="I148">
        <v>11073</v>
      </c>
      <c r="J148" t="s">
        <v>96</v>
      </c>
      <c r="K148">
        <v>0</v>
      </c>
      <c r="L148">
        <v>0</v>
      </c>
      <c r="M148">
        <v>0</v>
      </c>
    </row>
    <row r="149" spans="7:13">
      <c r="G149" s="7">
        <v>45756</v>
      </c>
      <c r="H149" t="s">
        <v>95</v>
      </c>
      <c r="I149">
        <v>11074</v>
      </c>
      <c r="K149">
        <v>0</v>
      </c>
      <c r="L149">
        <v>0</v>
      </c>
      <c r="M149">
        <v>0</v>
      </c>
    </row>
    <row r="150" spans="7:13">
      <c r="G150" s="7">
        <v>45756</v>
      </c>
      <c r="H150" t="s">
        <v>95</v>
      </c>
      <c r="I150">
        <v>11074</v>
      </c>
      <c r="J150" t="s">
        <v>92</v>
      </c>
      <c r="K150">
        <v>24</v>
      </c>
      <c r="L150">
        <v>24</v>
      </c>
      <c r="M150">
        <v>264.01815886233999</v>
      </c>
    </row>
    <row r="151" spans="7:13">
      <c r="G151" s="7">
        <v>45756</v>
      </c>
      <c r="H151" t="s">
        <v>95</v>
      </c>
      <c r="I151">
        <v>11074</v>
      </c>
      <c r="J151" t="s">
        <v>94</v>
      </c>
      <c r="K151">
        <v>487</v>
      </c>
      <c r="L151">
        <v>104</v>
      </c>
      <c r="M151">
        <v>4324.78021319458</v>
      </c>
    </row>
    <row r="152" spans="7:13">
      <c r="G152" s="7">
        <v>45756</v>
      </c>
      <c r="H152" t="s">
        <v>95</v>
      </c>
      <c r="I152">
        <v>11074</v>
      </c>
      <c r="J152" t="s">
        <v>96</v>
      </c>
      <c r="K152">
        <v>0</v>
      </c>
      <c r="L152">
        <v>0</v>
      </c>
      <c r="M152">
        <v>0</v>
      </c>
    </row>
    <row r="153" spans="7:13">
      <c r="G153" s="7">
        <v>45757</v>
      </c>
      <c r="H153" t="s">
        <v>91</v>
      </c>
      <c r="I153">
        <v>11075</v>
      </c>
      <c r="K153">
        <v>0</v>
      </c>
      <c r="L153">
        <v>0</v>
      </c>
      <c r="M153">
        <v>0</v>
      </c>
    </row>
    <row r="154" spans="7:13">
      <c r="G154" s="7">
        <v>45757</v>
      </c>
      <c r="H154" t="s">
        <v>91</v>
      </c>
      <c r="I154">
        <v>11075</v>
      </c>
      <c r="J154" t="s">
        <v>92</v>
      </c>
      <c r="K154">
        <v>8</v>
      </c>
      <c r="L154">
        <v>8</v>
      </c>
      <c r="M154">
        <v>34.915957039748697</v>
      </c>
    </row>
    <row r="155" spans="7:13">
      <c r="G155" s="7">
        <v>45757</v>
      </c>
      <c r="H155" t="s">
        <v>91</v>
      </c>
      <c r="I155">
        <v>11075</v>
      </c>
      <c r="J155" t="s">
        <v>93</v>
      </c>
      <c r="K155">
        <v>4</v>
      </c>
      <c r="L155">
        <v>1</v>
      </c>
      <c r="M155">
        <v>10.9413830054034</v>
      </c>
    </row>
    <row r="156" spans="7:13">
      <c r="G156" s="7">
        <v>45757</v>
      </c>
      <c r="H156" t="s">
        <v>91</v>
      </c>
      <c r="I156">
        <v>11075</v>
      </c>
      <c r="J156" t="s">
        <v>94</v>
      </c>
      <c r="K156">
        <v>65</v>
      </c>
      <c r="L156">
        <v>18</v>
      </c>
      <c r="M156">
        <v>180.419060440431</v>
      </c>
    </row>
    <row r="157" spans="7:13">
      <c r="G157" s="7">
        <v>45757</v>
      </c>
      <c r="H157" t="s">
        <v>91</v>
      </c>
      <c r="I157">
        <v>11076</v>
      </c>
      <c r="K157">
        <v>0</v>
      </c>
      <c r="L157">
        <v>0</v>
      </c>
      <c r="M157">
        <v>0</v>
      </c>
    </row>
    <row r="158" spans="7:13">
      <c r="G158" s="7">
        <v>45757</v>
      </c>
      <c r="H158" t="s">
        <v>91</v>
      </c>
      <c r="I158">
        <v>11076</v>
      </c>
      <c r="J158" t="s">
        <v>92</v>
      </c>
      <c r="K158">
        <v>11</v>
      </c>
      <c r="L158">
        <v>11</v>
      </c>
      <c r="M158">
        <v>36.261912624377103</v>
      </c>
    </row>
    <row r="159" spans="7:13">
      <c r="G159" s="7">
        <v>45757</v>
      </c>
      <c r="H159" t="s">
        <v>91</v>
      </c>
      <c r="I159">
        <v>11076</v>
      </c>
      <c r="J159" t="s">
        <v>93</v>
      </c>
      <c r="K159">
        <v>2</v>
      </c>
      <c r="L159">
        <v>1</v>
      </c>
      <c r="M159">
        <v>9.5500000000000007</v>
      </c>
    </row>
    <row r="160" spans="7:13">
      <c r="G160" s="7">
        <v>45757</v>
      </c>
      <c r="H160" t="s">
        <v>91</v>
      </c>
      <c r="I160">
        <v>11076</v>
      </c>
      <c r="J160" t="s">
        <v>94</v>
      </c>
      <c r="K160">
        <v>41</v>
      </c>
      <c r="L160">
        <v>15</v>
      </c>
      <c r="M160">
        <v>144.851476732127</v>
      </c>
    </row>
    <row r="161" spans="7:13">
      <c r="G161" s="7">
        <v>45757</v>
      </c>
      <c r="H161" t="s">
        <v>91</v>
      </c>
      <c r="I161">
        <v>11076</v>
      </c>
      <c r="J161" t="s">
        <v>96</v>
      </c>
      <c r="K161">
        <v>0</v>
      </c>
      <c r="L161">
        <v>0</v>
      </c>
      <c r="M161">
        <v>0</v>
      </c>
    </row>
    <row r="162" spans="7:13">
      <c r="G162" s="7">
        <v>45757</v>
      </c>
      <c r="H162" t="s">
        <v>91</v>
      </c>
      <c r="I162">
        <v>11077</v>
      </c>
      <c r="K162">
        <v>0</v>
      </c>
      <c r="L162">
        <v>0</v>
      </c>
      <c r="M162">
        <v>0</v>
      </c>
    </row>
    <row r="163" spans="7:13">
      <c r="G163" s="7">
        <v>45757</v>
      </c>
      <c r="H163" t="s">
        <v>91</v>
      </c>
      <c r="I163">
        <v>11077</v>
      </c>
      <c r="J163" t="s">
        <v>92</v>
      </c>
      <c r="K163">
        <v>6</v>
      </c>
      <c r="L163">
        <v>6</v>
      </c>
      <c r="M163">
        <v>17.646634725431099</v>
      </c>
    </row>
    <row r="164" spans="7:13">
      <c r="G164" s="7">
        <v>45757</v>
      </c>
      <c r="H164" t="s">
        <v>91</v>
      </c>
      <c r="I164">
        <v>11077</v>
      </c>
      <c r="J164" t="s">
        <v>93</v>
      </c>
      <c r="K164">
        <v>2</v>
      </c>
      <c r="L164">
        <v>1</v>
      </c>
      <c r="M164">
        <v>8.99</v>
      </c>
    </row>
    <row r="165" spans="7:13">
      <c r="G165" s="7">
        <v>45757</v>
      </c>
      <c r="H165" t="s">
        <v>91</v>
      </c>
      <c r="I165">
        <v>11077</v>
      </c>
      <c r="J165" t="s">
        <v>94</v>
      </c>
      <c r="K165">
        <v>50</v>
      </c>
      <c r="L165">
        <v>13</v>
      </c>
      <c r="M165">
        <v>121.35319991908599</v>
      </c>
    </row>
    <row r="166" spans="7:13">
      <c r="G166" s="7">
        <v>45757</v>
      </c>
      <c r="H166" t="s">
        <v>91</v>
      </c>
      <c r="I166">
        <v>11077</v>
      </c>
      <c r="J166" t="s">
        <v>96</v>
      </c>
      <c r="K166">
        <v>0</v>
      </c>
      <c r="L166">
        <v>0</v>
      </c>
      <c r="M166">
        <v>0</v>
      </c>
    </row>
    <row r="167" spans="7:13">
      <c r="G167" s="7">
        <v>45757</v>
      </c>
      <c r="H167" t="s">
        <v>95</v>
      </c>
      <c r="I167">
        <v>11072</v>
      </c>
      <c r="K167">
        <v>0</v>
      </c>
      <c r="L167">
        <v>0</v>
      </c>
      <c r="M167">
        <v>0</v>
      </c>
    </row>
    <row r="168" spans="7:13">
      <c r="G168" s="7">
        <v>45757</v>
      </c>
      <c r="H168" t="s">
        <v>95</v>
      </c>
      <c r="I168">
        <v>11072</v>
      </c>
      <c r="J168" t="s">
        <v>92</v>
      </c>
      <c r="K168">
        <v>39</v>
      </c>
      <c r="L168">
        <v>39</v>
      </c>
      <c r="M168">
        <v>400.024588937668</v>
      </c>
    </row>
    <row r="169" spans="7:13">
      <c r="G169" s="7">
        <v>45757</v>
      </c>
      <c r="H169" t="s">
        <v>95</v>
      </c>
      <c r="I169">
        <v>11072</v>
      </c>
      <c r="J169" t="s">
        <v>94</v>
      </c>
      <c r="K169">
        <v>527</v>
      </c>
      <c r="L169">
        <v>127</v>
      </c>
      <c r="M169">
        <v>5458.2832809159299</v>
      </c>
    </row>
    <row r="170" spans="7:13">
      <c r="G170" s="7">
        <v>45757</v>
      </c>
      <c r="H170" t="s">
        <v>95</v>
      </c>
      <c r="I170">
        <v>11073</v>
      </c>
      <c r="K170">
        <v>0</v>
      </c>
      <c r="L170">
        <v>0</v>
      </c>
      <c r="M170">
        <v>0</v>
      </c>
    </row>
    <row r="171" spans="7:13">
      <c r="G171" s="7">
        <v>45757</v>
      </c>
      <c r="H171" t="s">
        <v>95</v>
      </c>
      <c r="I171">
        <v>11073</v>
      </c>
      <c r="J171" t="s">
        <v>92</v>
      </c>
      <c r="K171">
        <v>24</v>
      </c>
      <c r="L171">
        <v>24</v>
      </c>
      <c r="M171">
        <v>223.365145568548</v>
      </c>
    </row>
    <row r="172" spans="7:13">
      <c r="G172" s="7">
        <v>45757</v>
      </c>
      <c r="H172" t="s">
        <v>95</v>
      </c>
      <c r="I172">
        <v>11073</v>
      </c>
      <c r="J172" t="s">
        <v>94</v>
      </c>
      <c r="K172">
        <v>428</v>
      </c>
      <c r="L172">
        <v>118</v>
      </c>
      <c r="M172">
        <v>4923.5058791558304</v>
      </c>
    </row>
    <row r="173" spans="7:13">
      <c r="G173" s="7">
        <v>45757</v>
      </c>
      <c r="H173" t="s">
        <v>95</v>
      </c>
      <c r="I173">
        <v>11073</v>
      </c>
      <c r="J173" t="s">
        <v>96</v>
      </c>
      <c r="K173">
        <v>0</v>
      </c>
      <c r="L173">
        <v>0</v>
      </c>
      <c r="M173">
        <v>0</v>
      </c>
    </row>
    <row r="174" spans="7:13">
      <c r="G174" s="7">
        <v>45757</v>
      </c>
      <c r="H174" t="s">
        <v>95</v>
      </c>
      <c r="I174">
        <v>11074</v>
      </c>
      <c r="K174">
        <v>0</v>
      </c>
      <c r="L174">
        <v>0</v>
      </c>
      <c r="M174">
        <v>0</v>
      </c>
    </row>
    <row r="175" spans="7:13">
      <c r="G175" s="7">
        <v>45757</v>
      </c>
      <c r="H175" t="s">
        <v>95</v>
      </c>
      <c r="I175">
        <v>11074</v>
      </c>
      <c r="J175" t="s">
        <v>92</v>
      </c>
      <c r="K175">
        <v>29</v>
      </c>
      <c r="L175">
        <v>29</v>
      </c>
      <c r="M175">
        <v>308.75507718914002</v>
      </c>
    </row>
    <row r="176" spans="7:13">
      <c r="G176" s="7">
        <v>45757</v>
      </c>
      <c r="H176" t="s">
        <v>95</v>
      </c>
      <c r="I176">
        <v>11074</v>
      </c>
      <c r="J176" t="s">
        <v>94</v>
      </c>
      <c r="K176">
        <v>460</v>
      </c>
      <c r="L176">
        <v>121</v>
      </c>
      <c r="M176">
        <v>5099.9934563094403</v>
      </c>
    </row>
    <row r="177" spans="7:13">
      <c r="G177" s="7">
        <v>45758</v>
      </c>
      <c r="H177" t="s">
        <v>91</v>
      </c>
      <c r="I177">
        <v>11075</v>
      </c>
      <c r="K177">
        <v>0</v>
      </c>
      <c r="L177">
        <v>0</v>
      </c>
      <c r="M177">
        <v>0</v>
      </c>
    </row>
    <row r="178" spans="7:13">
      <c r="G178" s="7">
        <v>45758</v>
      </c>
      <c r="H178" t="s">
        <v>91</v>
      </c>
      <c r="I178">
        <v>11075</v>
      </c>
      <c r="J178" t="s">
        <v>92</v>
      </c>
      <c r="K178">
        <v>15</v>
      </c>
      <c r="L178">
        <v>15</v>
      </c>
      <c r="M178">
        <v>49.034677161904497</v>
      </c>
    </row>
    <row r="179" spans="7:13">
      <c r="G179" s="7">
        <v>45758</v>
      </c>
      <c r="H179" t="s">
        <v>91</v>
      </c>
      <c r="I179">
        <v>11075</v>
      </c>
      <c r="J179" t="s">
        <v>93</v>
      </c>
      <c r="K179">
        <v>2</v>
      </c>
      <c r="L179">
        <v>0</v>
      </c>
      <c r="M179">
        <v>0</v>
      </c>
    </row>
    <row r="180" spans="7:13">
      <c r="G180" s="7">
        <v>45758</v>
      </c>
      <c r="H180" t="s">
        <v>91</v>
      </c>
      <c r="I180">
        <v>11075</v>
      </c>
      <c r="J180" t="s">
        <v>94</v>
      </c>
      <c r="K180">
        <v>76</v>
      </c>
      <c r="L180">
        <v>18</v>
      </c>
      <c r="M180">
        <v>257.86741233602999</v>
      </c>
    </row>
    <row r="181" spans="7:13">
      <c r="G181" s="7">
        <v>45758</v>
      </c>
      <c r="H181" t="s">
        <v>91</v>
      </c>
      <c r="I181">
        <v>11076</v>
      </c>
      <c r="K181">
        <v>0</v>
      </c>
      <c r="L181">
        <v>0</v>
      </c>
      <c r="M181">
        <v>0</v>
      </c>
    </row>
    <row r="182" spans="7:13">
      <c r="G182" s="7">
        <v>45758</v>
      </c>
      <c r="H182" t="s">
        <v>91</v>
      </c>
      <c r="I182">
        <v>11076</v>
      </c>
      <c r="J182" t="s">
        <v>92</v>
      </c>
      <c r="K182">
        <v>13</v>
      </c>
      <c r="L182">
        <v>13</v>
      </c>
      <c r="M182">
        <v>43.233148041256896</v>
      </c>
    </row>
    <row r="183" spans="7:13">
      <c r="G183" s="7">
        <v>45758</v>
      </c>
      <c r="H183" t="s">
        <v>91</v>
      </c>
      <c r="I183">
        <v>11076</v>
      </c>
      <c r="J183" t="s">
        <v>93</v>
      </c>
      <c r="K183">
        <v>2</v>
      </c>
      <c r="L183">
        <v>0</v>
      </c>
      <c r="M183">
        <v>0</v>
      </c>
    </row>
    <row r="184" spans="7:13">
      <c r="G184" s="7">
        <v>45758</v>
      </c>
      <c r="H184" t="s">
        <v>91</v>
      </c>
      <c r="I184">
        <v>11076</v>
      </c>
      <c r="J184" t="s">
        <v>94</v>
      </c>
      <c r="K184">
        <v>30</v>
      </c>
      <c r="L184">
        <v>11</v>
      </c>
      <c r="M184">
        <v>172.79483587666101</v>
      </c>
    </row>
    <row r="185" spans="7:13">
      <c r="G185" s="7">
        <v>45758</v>
      </c>
      <c r="H185" t="s">
        <v>91</v>
      </c>
      <c r="I185">
        <v>11077</v>
      </c>
      <c r="K185">
        <v>0</v>
      </c>
      <c r="L185">
        <v>0</v>
      </c>
      <c r="M185">
        <v>0</v>
      </c>
    </row>
    <row r="186" spans="7:13">
      <c r="G186" s="7">
        <v>45758</v>
      </c>
      <c r="H186" t="s">
        <v>91</v>
      </c>
      <c r="I186">
        <v>11077</v>
      </c>
      <c r="J186" t="s">
        <v>92</v>
      </c>
      <c r="K186">
        <v>8</v>
      </c>
      <c r="L186">
        <v>8</v>
      </c>
      <c r="M186">
        <v>28.3704846854477</v>
      </c>
    </row>
    <row r="187" spans="7:13">
      <c r="G187" s="7">
        <v>45758</v>
      </c>
      <c r="H187" t="s">
        <v>91</v>
      </c>
      <c r="I187">
        <v>11077</v>
      </c>
      <c r="J187" t="s">
        <v>93</v>
      </c>
      <c r="K187">
        <v>4</v>
      </c>
      <c r="L187">
        <v>0</v>
      </c>
      <c r="M187">
        <v>0</v>
      </c>
    </row>
    <row r="188" spans="7:13">
      <c r="G188" s="7">
        <v>45758</v>
      </c>
      <c r="H188" t="s">
        <v>91</v>
      </c>
      <c r="I188">
        <v>11077</v>
      </c>
      <c r="J188" t="s">
        <v>94</v>
      </c>
      <c r="K188">
        <v>49</v>
      </c>
      <c r="L188">
        <v>18</v>
      </c>
      <c r="M188">
        <v>198.97599707040899</v>
      </c>
    </row>
    <row r="189" spans="7:13">
      <c r="G189" s="7">
        <v>45758</v>
      </c>
      <c r="H189" t="s">
        <v>95</v>
      </c>
      <c r="I189">
        <v>11072</v>
      </c>
      <c r="K189">
        <v>0</v>
      </c>
      <c r="L189">
        <v>0</v>
      </c>
      <c r="M189">
        <v>0</v>
      </c>
    </row>
    <row r="190" spans="7:13">
      <c r="G190" s="7">
        <v>45758</v>
      </c>
      <c r="H190" t="s">
        <v>95</v>
      </c>
      <c r="I190">
        <v>11072</v>
      </c>
      <c r="J190" t="s">
        <v>92</v>
      </c>
      <c r="K190">
        <v>47</v>
      </c>
      <c r="L190">
        <v>47</v>
      </c>
      <c r="M190">
        <v>551.79138909921801</v>
      </c>
    </row>
    <row r="191" spans="7:13">
      <c r="G191" s="7">
        <v>45758</v>
      </c>
      <c r="H191" t="s">
        <v>95</v>
      </c>
      <c r="I191">
        <v>11072</v>
      </c>
      <c r="J191" t="s">
        <v>94</v>
      </c>
      <c r="K191">
        <v>538</v>
      </c>
      <c r="L191">
        <v>135</v>
      </c>
      <c r="M191">
        <v>5752.10979715556</v>
      </c>
    </row>
    <row r="192" spans="7:13">
      <c r="G192" s="7">
        <v>45758</v>
      </c>
      <c r="H192" t="s">
        <v>95</v>
      </c>
      <c r="I192">
        <v>11073</v>
      </c>
      <c r="K192">
        <v>0</v>
      </c>
      <c r="L192">
        <v>0</v>
      </c>
      <c r="M192">
        <v>0</v>
      </c>
    </row>
    <row r="193" spans="7:13">
      <c r="G193" s="7">
        <v>45758</v>
      </c>
      <c r="H193" t="s">
        <v>95</v>
      </c>
      <c r="I193">
        <v>11073</v>
      </c>
      <c r="J193" t="s">
        <v>92</v>
      </c>
      <c r="K193">
        <v>34</v>
      </c>
      <c r="L193">
        <v>34</v>
      </c>
      <c r="M193">
        <v>356.500282108698</v>
      </c>
    </row>
    <row r="194" spans="7:13">
      <c r="G194" s="7">
        <v>45758</v>
      </c>
      <c r="H194" t="s">
        <v>95</v>
      </c>
      <c r="I194">
        <v>11073</v>
      </c>
      <c r="J194" t="s">
        <v>94</v>
      </c>
      <c r="K194">
        <v>431</v>
      </c>
      <c r="L194">
        <v>118</v>
      </c>
      <c r="M194">
        <v>4521.9906626583197</v>
      </c>
    </row>
    <row r="195" spans="7:13">
      <c r="G195" s="7">
        <v>45758</v>
      </c>
      <c r="H195" t="s">
        <v>95</v>
      </c>
      <c r="I195">
        <v>11074</v>
      </c>
      <c r="K195">
        <v>0</v>
      </c>
      <c r="L195">
        <v>0</v>
      </c>
      <c r="M195">
        <v>0</v>
      </c>
    </row>
    <row r="196" spans="7:13">
      <c r="G196" s="7">
        <v>45758</v>
      </c>
      <c r="H196" t="s">
        <v>95</v>
      </c>
      <c r="I196">
        <v>11074</v>
      </c>
      <c r="J196" t="s">
        <v>92</v>
      </c>
      <c r="K196">
        <v>43</v>
      </c>
      <c r="L196">
        <v>43</v>
      </c>
      <c r="M196">
        <v>457.407103582383</v>
      </c>
    </row>
    <row r="197" spans="7:13">
      <c r="G197" s="7">
        <v>45758</v>
      </c>
      <c r="H197" t="s">
        <v>95</v>
      </c>
      <c r="I197">
        <v>11074</v>
      </c>
      <c r="J197" t="s">
        <v>94</v>
      </c>
      <c r="K197">
        <v>479</v>
      </c>
      <c r="L197">
        <v>115</v>
      </c>
      <c r="M197">
        <v>4797.6654861454299</v>
      </c>
    </row>
    <row r="198" spans="7:13">
      <c r="G198" s="7">
        <v>45759</v>
      </c>
      <c r="H198" t="s">
        <v>91</v>
      </c>
      <c r="I198">
        <v>11075</v>
      </c>
      <c r="K198">
        <v>0</v>
      </c>
      <c r="L198">
        <v>0</v>
      </c>
      <c r="M198">
        <v>0</v>
      </c>
    </row>
    <row r="199" spans="7:13">
      <c r="G199" s="7">
        <v>45759</v>
      </c>
      <c r="H199" t="s">
        <v>91</v>
      </c>
      <c r="I199">
        <v>11075</v>
      </c>
      <c r="J199" t="s">
        <v>92</v>
      </c>
      <c r="K199">
        <v>14</v>
      </c>
      <c r="L199">
        <v>14</v>
      </c>
      <c r="M199">
        <v>47.014626592703301</v>
      </c>
    </row>
    <row r="200" spans="7:13">
      <c r="G200" s="7">
        <v>45759</v>
      </c>
      <c r="H200" t="s">
        <v>91</v>
      </c>
      <c r="I200">
        <v>11075</v>
      </c>
      <c r="J200" t="s">
        <v>93</v>
      </c>
      <c r="K200">
        <v>3</v>
      </c>
      <c r="L200">
        <v>1</v>
      </c>
      <c r="M200">
        <v>9.59</v>
      </c>
    </row>
    <row r="201" spans="7:13">
      <c r="G201" s="7">
        <v>45759</v>
      </c>
      <c r="H201" t="s">
        <v>91</v>
      </c>
      <c r="I201">
        <v>11075</v>
      </c>
      <c r="J201" t="s">
        <v>94</v>
      </c>
      <c r="K201">
        <v>67</v>
      </c>
      <c r="L201">
        <v>18</v>
      </c>
      <c r="M201">
        <v>244.54626377475401</v>
      </c>
    </row>
    <row r="202" spans="7:13">
      <c r="G202" s="7">
        <v>45759</v>
      </c>
      <c r="H202" t="s">
        <v>91</v>
      </c>
      <c r="I202">
        <v>11076</v>
      </c>
      <c r="K202">
        <v>0</v>
      </c>
      <c r="L202">
        <v>0</v>
      </c>
      <c r="M202">
        <v>0</v>
      </c>
    </row>
    <row r="203" spans="7:13">
      <c r="G203" s="7">
        <v>45759</v>
      </c>
      <c r="H203" t="s">
        <v>91</v>
      </c>
      <c r="I203">
        <v>11076</v>
      </c>
      <c r="J203" t="s">
        <v>92</v>
      </c>
      <c r="K203">
        <v>3</v>
      </c>
      <c r="L203">
        <v>3</v>
      </c>
      <c r="M203">
        <v>10.7764493222168</v>
      </c>
    </row>
    <row r="204" spans="7:13">
      <c r="G204" s="7">
        <v>45759</v>
      </c>
      <c r="H204" t="s">
        <v>91</v>
      </c>
      <c r="I204">
        <v>11076</v>
      </c>
      <c r="J204" t="s">
        <v>93</v>
      </c>
      <c r="K204">
        <v>1</v>
      </c>
      <c r="L204">
        <v>0</v>
      </c>
      <c r="M204">
        <v>0</v>
      </c>
    </row>
    <row r="205" spans="7:13">
      <c r="G205" s="7">
        <v>45759</v>
      </c>
      <c r="H205" t="s">
        <v>91</v>
      </c>
      <c r="I205">
        <v>11076</v>
      </c>
      <c r="J205" t="s">
        <v>94</v>
      </c>
      <c r="K205">
        <v>25</v>
      </c>
      <c r="L205">
        <v>6</v>
      </c>
      <c r="M205">
        <v>68.656778619180997</v>
      </c>
    </row>
    <row r="206" spans="7:13">
      <c r="G206" s="7">
        <v>45759</v>
      </c>
      <c r="H206" t="s">
        <v>91</v>
      </c>
      <c r="I206">
        <v>11077</v>
      </c>
      <c r="K206">
        <v>0</v>
      </c>
      <c r="L206">
        <v>0</v>
      </c>
      <c r="M206">
        <v>0</v>
      </c>
    </row>
    <row r="207" spans="7:13">
      <c r="G207" s="7">
        <v>45759</v>
      </c>
      <c r="H207" t="s">
        <v>91</v>
      </c>
      <c r="I207">
        <v>11077</v>
      </c>
      <c r="J207" t="s">
        <v>92</v>
      </c>
      <c r="K207">
        <v>6</v>
      </c>
      <c r="L207">
        <v>6</v>
      </c>
      <c r="M207">
        <v>22.950183438655099</v>
      </c>
    </row>
    <row r="208" spans="7:13">
      <c r="G208" s="7">
        <v>45759</v>
      </c>
      <c r="H208" t="s">
        <v>91</v>
      </c>
      <c r="I208">
        <v>11077</v>
      </c>
      <c r="J208" t="s">
        <v>93</v>
      </c>
      <c r="K208">
        <v>0</v>
      </c>
      <c r="L208">
        <v>0</v>
      </c>
      <c r="M208">
        <v>0</v>
      </c>
    </row>
    <row r="209" spans="7:13">
      <c r="G209" s="7">
        <v>45759</v>
      </c>
      <c r="H209" t="s">
        <v>91</v>
      </c>
      <c r="I209">
        <v>11077</v>
      </c>
      <c r="J209" t="s">
        <v>94</v>
      </c>
      <c r="K209">
        <v>47</v>
      </c>
      <c r="L209">
        <v>19</v>
      </c>
      <c r="M209">
        <v>257.37758664219302</v>
      </c>
    </row>
    <row r="210" spans="7:13">
      <c r="G210" s="7">
        <v>45759</v>
      </c>
      <c r="H210" t="s">
        <v>95</v>
      </c>
      <c r="I210">
        <v>11072</v>
      </c>
      <c r="K210">
        <v>0</v>
      </c>
      <c r="L210">
        <v>0</v>
      </c>
      <c r="M210">
        <v>0</v>
      </c>
    </row>
    <row r="211" spans="7:13">
      <c r="G211" s="7">
        <v>45759</v>
      </c>
      <c r="H211" t="s">
        <v>95</v>
      </c>
      <c r="I211">
        <v>11072</v>
      </c>
      <c r="J211" t="s">
        <v>92</v>
      </c>
      <c r="K211">
        <v>51</v>
      </c>
      <c r="L211">
        <v>51</v>
      </c>
      <c r="M211">
        <v>551.88967360015397</v>
      </c>
    </row>
    <row r="212" spans="7:13">
      <c r="G212" s="7">
        <v>45759</v>
      </c>
      <c r="H212" t="s">
        <v>95</v>
      </c>
      <c r="I212">
        <v>11072</v>
      </c>
      <c r="J212" t="s">
        <v>94</v>
      </c>
      <c r="K212">
        <v>545</v>
      </c>
      <c r="L212">
        <v>158</v>
      </c>
      <c r="M212">
        <v>6445.6352921601701</v>
      </c>
    </row>
    <row r="213" spans="7:13">
      <c r="G213" s="7">
        <v>45759</v>
      </c>
      <c r="H213" t="s">
        <v>95</v>
      </c>
      <c r="I213">
        <v>11073</v>
      </c>
      <c r="K213">
        <v>0</v>
      </c>
      <c r="L213">
        <v>0</v>
      </c>
      <c r="M213">
        <v>0</v>
      </c>
    </row>
    <row r="214" spans="7:13">
      <c r="G214" s="7">
        <v>45759</v>
      </c>
      <c r="H214" t="s">
        <v>95</v>
      </c>
      <c r="I214">
        <v>11073</v>
      </c>
      <c r="J214" t="s">
        <v>92</v>
      </c>
      <c r="K214">
        <v>33</v>
      </c>
      <c r="L214">
        <v>33</v>
      </c>
      <c r="M214">
        <v>349.38930140335998</v>
      </c>
    </row>
    <row r="215" spans="7:13">
      <c r="G215" s="7">
        <v>45759</v>
      </c>
      <c r="H215" t="s">
        <v>95</v>
      </c>
      <c r="I215">
        <v>11073</v>
      </c>
      <c r="J215" t="s">
        <v>94</v>
      </c>
      <c r="K215">
        <v>462</v>
      </c>
      <c r="L215">
        <v>131</v>
      </c>
      <c r="M215">
        <v>5447.1364124133197</v>
      </c>
    </row>
    <row r="216" spans="7:13">
      <c r="G216" s="7">
        <v>45759</v>
      </c>
      <c r="H216" t="s">
        <v>95</v>
      </c>
      <c r="I216">
        <v>11074</v>
      </c>
      <c r="K216">
        <v>0</v>
      </c>
      <c r="L216">
        <v>0</v>
      </c>
      <c r="M216">
        <v>0</v>
      </c>
    </row>
    <row r="217" spans="7:13">
      <c r="G217" s="7">
        <v>45759</v>
      </c>
      <c r="H217" t="s">
        <v>95</v>
      </c>
      <c r="I217">
        <v>11074</v>
      </c>
      <c r="J217" t="s">
        <v>92</v>
      </c>
      <c r="K217">
        <v>31</v>
      </c>
      <c r="L217">
        <v>31</v>
      </c>
      <c r="M217">
        <v>322.07392275322098</v>
      </c>
    </row>
    <row r="218" spans="7:13">
      <c r="G218" s="7">
        <v>45759</v>
      </c>
      <c r="H218" t="s">
        <v>95</v>
      </c>
      <c r="I218">
        <v>11074</v>
      </c>
      <c r="J218" t="s">
        <v>94</v>
      </c>
      <c r="K218">
        <v>444</v>
      </c>
      <c r="L218">
        <v>112</v>
      </c>
      <c r="M218">
        <v>4654.0994055664596</v>
      </c>
    </row>
    <row r="219" spans="7:13">
      <c r="G219" s="7">
        <v>45760</v>
      </c>
      <c r="H219" t="s">
        <v>91</v>
      </c>
      <c r="I219">
        <v>11075</v>
      </c>
      <c r="K219">
        <v>0</v>
      </c>
      <c r="L219">
        <v>0</v>
      </c>
      <c r="M219">
        <v>0</v>
      </c>
    </row>
    <row r="220" spans="7:13">
      <c r="G220" s="7">
        <v>45760</v>
      </c>
      <c r="H220" t="s">
        <v>91</v>
      </c>
      <c r="I220">
        <v>11075</v>
      </c>
      <c r="J220" t="s">
        <v>92</v>
      </c>
      <c r="K220">
        <v>16</v>
      </c>
      <c r="L220">
        <v>16</v>
      </c>
      <c r="M220">
        <v>66.243865671784405</v>
      </c>
    </row>
    <row r="221" spans="7:13">
      <c r="G221" s="7">
        <v>45760</v>
      </c>
      <c r="H221" t="s">
        <v>91</v>
      </c>
      <c r="I221">
        <v>11075</v>
      </c>
      <c r="J221" t="s">
        <v>93</v>
      </c>
      <c r="K221">
        <v>4</v>
      </c>
      <c r="L221">
        <v>0</v>
      </c>
      <c r="M221">
        <v>0</v>
      </c>
    </row>
    <row r="222" spans="7:13">
      <c r="G222" s="7">
        <v>45760</v>
      </c>
      <c r="H222" t="s">
        <v>91</v>
      </c>
      <c r="I222">
        <v>11075</v>
      </c>
      <c r="J222" t="s">
        <v>94</v>
      </c>
      <c r="K222">
        <v>93</v>
      </c>
      <c r="L222">
        <v>21</v>
      </c>
      <c r="M222">
        <v>332.11922324424899</v>
      </c>
    </row>
    <row r="223" spans="7:13">
      <c r="G223" s="7">
        <v>45760</v>
      </c>
      <c r="H223" t="s">
        <v>91</v>
      </c>
      <c r="I223">
        <v>11075</v>
      </c>
      <c r="J223" t="s">
        <v>96</v>
      </c>
      <c r="K223">
        <v>0</v>
      </c>
      <c r="L223">
        <v>0</v>
      </c>
      <c r="M223">
        <v>0</v>
      </c>
    </row>
    <row r="224" spans="7:13">
      <c r="G224" s="7">
        <v>45760</v>
      </c>
      <c r="H224" t="s">
        <v>91</v>
      </c>
      <c r="I224">
        <v>11076</v>
      </c>
      <c r="K224">
        <v>0</v>
      </c>
      <c r="L224">
        <v>0</v>
      </c>
      <c r="M224">
        <v>0</v>
      </c>
    </row>
    <row r="225" spans="7:13">
      <c r="G225" s="7">
        <v>45760</v>
      </c>
      <c r="H225" t="s">
        <v>91</v>
      </c>
      <c r="I225">
        <v>11076</v>
      </c>
      <c r="J225" t="s">
        <v>92</v>
      </c>
      <c r="K225">
        <v>9</v>
      </c>
      <c r="L225">
        <v>9</v>
      </c>
      <c r="M225">
        <v>37.533133276736997</v>
      </c>
    </row>
    <row r="226" spans="7:13">
      <c r="G226" s="7">
        <v>45760</v>
      </c>
      <c r="H226" t="s">
        <v>91</v>
      </c>
      <c r="I226">
        <v>11076</v>
      </c>
      <c r="J226" t="s">
        <v>93</v>
      </c>
      <c r="K226">
        <v>1</v>
      </c>
      <c r="L226">
        <v>1</v>
      </c>
      <c r="M226">
        <v>7.3786440336811001</v>
      </c>
    </row>
    <row r="227" spans="7:13">
      <c r="G227" s="7">
        <v>45760</v>
      </c>
      <c r="H227" t="s">
        <v>91</v>
      </c>
      <c r="I227">
        <v>11076</v>
      </c>
      <c r="J227" t="s">
        <v>94</v>
      </c>
      <c r="K227">
        <v>38</v>
      </c>
      <c r="L227">
        <v>15</v>
      </c>
      <c r="M227">
        <v>196.961564747023</v>
      </c>
    </row>
    <row r="228" spans="7:13">
      <c r="G228" s="7">
        <v>45760</v>
      </c>
      <c r="H228" t="s">
        <v>91</v>
      </c>
      <c r="I228">
        <v>11076</v>
      </c>
      <c r="J228" t="s">
        <v>96</v>
      </c>
      <c r="K228">
        <v>0</v>
      </c>
      <c r="L228">
        <v>0</v>
      </c>
      <c r="M228">
        <v>0</v>
      </c>
    </row>
    <row r="229" spans="7:13">
      <c r="G229" s="7">
        <v>45760</v>
      </c>
      <c r="H229" t="s">
        <v>91</v>
      </c>
      <c r="I229">
        <v>11077</v>
      </c>
      <c r="K229">
        <v>0</v>
      </c>
      <c r="L229">
        <v>0</v>
      </c>
      <c r="M229">
        <v>0</v>
      </c>
    </row>
    <row r="230" spans="7:13">
      <c r="G230" s="7">
        <v>45760</v>
      </c>
      <c r="H230" t="s">
        <v>91</v>
      </c>
      <c r="I230">
        <v>11077</v>
      </c>
      <c r="J230" t="s">
        <v>92</v>
      </c>
      <c r="K230">
        <v>13</v>
      </c>
      <c r="L230">
        <v>13</v>
      </c>
      <c r="M230">
        <v>44.229175409545299</v>
      </c>
    </row>
    <row r="231" spans="7:13">
      <c r="G231" s="7">
        <v>45760</v>
      </c>
      <c r="H231" t="s">
        <v>91</v>
      </c>
      <c r="I231">
        <v>11077</v>
      </c>
      <c r="J231" t="s">
        <v>93</v>
      </c>
      <c r="K231">
        <v>1</v>
      </c>
      <c r="L231">
        <v>0</v>
      </c>
      <c r="M231">
        <v>0</v>
      </c>
    </row>
    <row r="232" spans="7:13">
      <c r="G232" s="7">
        <v>45760</v>
      </c>
      <c r="H232" t="s">
        <v>91</v>
      </c>
      <c r="I232">
        <v>11077</v>
      </c>
      <c r="J232" t="s">
        <v>94</v>
      </c>
      <c r="K232">
        <v>58</v>
      </c>
      <c r="L232">
        <v>18</v>
      </c>
      <c r="M232">
        <v>286.73330848469999</v>
      </c>
    </row>
    <row r="233" spans="7:13">
      <c r="G233" s="7">
        <v>45760</v>
      </c>
      <c r="H233" t="s">
        <v>91</v>
      </c>
      <c r="I233">
        <v>11077</v>
      </c>
      <c r="J233" t="s">
        <v>96</v>
      </c>
      <c r="K233">
        <v>0</v>
      </c>
      <c r="L233">
        <v>0</v>
      </c>
      <c r="M233">
        <v>0</v>
      </c>
    </row>
    <row r="234" spans="7:13">
      <c r="G234" s="7">
        <v>45760</v>
      </c>
      <c r="H234" t="s">
        <v>95</v>
      </c>
      <c r="I234">
        <v>11072</v>
      </c>
      <c r="K234">
        <v>0</v>
      </c>
      <c r="L234">
        <v>0</v>
      </c>
      <c r="M234">
        <v>0</v>
      </c>
    </row>
    <row r="235" spans="7:13">
      <c r="G235" s="7">
        <v>45760</v>
      </c>
      <c r="H235" t="s">
        <v>95</v>
      </c>
      <c r="I235">
        <v>11072</v>
      </c>
      <c r="J235" t="s">
        <v>92</v>
      </c>
      <c r="K235">
        <v>89</v>
      </c>
      <c r="L235">
        <v>89</v>
      </c>
      <c r="M235">
        <v>987.79989765423102</v>
      </c>
    </row>
    <row r="236" spans="7:13">
      <c r="G236" s="7">
        <v>45760</v>
      </c>
      <c r="H236" t="s">
        <v>95</v>
      </c>
      <c r="I236">
        <v>11072</v>
      </c>
      <c r="J236" t="s">
        <v>94</v>
      </c>
      <c r="K236">
        <v>778</v>
      </c>
      <c r="L236">
        <v>197</v>
      </c>
      <c r="M236">
        <v>8168.3175177736803</v>
      </c>
    </row>
    <row r="237" spans="7:13">
      <c r="G237" s="7">
        <v>45760</v>
      </c>
      <c r="H237" t="s">
        <v>95</v>
      </c>
      <c r="I237">
        <v>11073</v>
      </c>
      <c r="K237">
        <v>0</v>
      </c>
      <c r="L237">
        <v>0</v>
      </c>
      <c r="M237">
        <v>0</v>
      </c>
    </row>
    <row r="238" spans="7:13">
      <c r="G238" s="7">
        <v>45760</v>
      </c>
      <c r="H238" t="s">
        <v>95</v>
      </c>
      <c r="I238">
        <v>11073</v>
      </c>
      <c r="J238" t="s">
        <v>92</v>
      </c>
      <c r="K238">
        <v>58</v>
      </c>
      <c r="L238">
        <v>58</v>
      </c>
      <c r="M238">
        <v>654.68494620287004</v>
      </c>
    </row>
    <row r="239" spans="7:13">
      <c r="G239" s="7">
        <v>45760</v>
      </c>
      <c r="H239" t="s">
        <v>95</v>
      </c>
      <c r="I239">
        <v>11073</v>
      </c>
      <c r="J239" t="s">
        <v>94</v>
      </c>
      <c r="K239">
        <v>647</v>
      </c>
      <c r="L239">
        <v>163</v>
      </c>
      <c r="M239">
        <v>6802.56486284124</v>
      </c>
    </row>
    <row r="240" spans="7:13">
      <c r="G240" s="7">
        <v>45760</v>
      </c>
      <c r="H240" t="s">
        <v>95</v>
      </c>
      <c r="I240">
        <v>11073</v>
      </c>
      <c r="J240" t="s">
        <v>96</v>
      </c>
      <c r="K240">
        <v>0</v>
      </c>
      <c r="L240">
        <v>0</v>
      </c>
      <c r="M240">
        <v>0</v>
      </c>
    </row>
    <row r="241" spans="7:13">
      <c r="G241" s="7">
        <v>45760</v>
      </c>
      <c r="H241" t="s">
        <v>95</v>
      </c>
      <c r="I241">
        <v>11074</v>
      </c>
      <c r="K241">
        <v>0</v>
      </c>
      <c r="L241">
        <v>0</v>
      </c>
      <c r="M241">
        <v>0</v>
      </c>
    </row>
    <row r="242" spans="7:13">
      <c r="G242" s="7">
        <v>45760</v>
      </c>
      <c r="H242" t="s">
        <v>95</v>
      </c>
      <c r="I242">
        <v>11074</v>
      </c>
      <c r="J242" t="s">
        <v>92</v>
      </c>
      <c r="K242">
        <v>51</v>
      </c>
      <c r="L242">
        <v>51</v>
      </c>
      <c r="M242">
        <v>559.50846368071996</v>
      </c>
    </row>
    <row r="243" spans="7:13">
      <c r="G243" s="7">
        <v>45760</v>
      </c>
      <c r="H243" t="s">
        <v>95</v>
      </c>
      <c r="I243">
        <v>11074</v>
      </c>
      <c r="J243" t="s">
        <v>94</v>
      </c>
      <c r="K243">
        <v>695</v>
      </c>
      <c r="L243">
        <v>186</v>
      </c>
      <c r="M243">
        <v>8419.2641792230406</v>
      </c>
    </row>
    <row r="244" spans="7:13">
      <c r="G244" s="7">
        <v>45761</v>
      </c>
      <c r="H244" t="s">
        <v>91</v>
      </c>
      <c r="I244">
        <v>11075</v>
      </c>
      <c r="K244">
        <v>0</v>
      </c>
      <c r="L244">
        <v>0</v>
      </c>
      <c r="M244">
        <v>0</v>
      </c>
    </row>
    <row r="245" spans="7:13">
      <c r="G245" s="7">
        <v>45761</v>
      </c>
      <c r="H245" t="s">
        <v>91</v>
      </c>
      <c r="I245">
        <v>11075</v>
      </c>
      <c r="J245" t="s">
        <v>92</v>
      </c>
      <c r="K245">
        <v>14</v>
      </c>
      <c r="L245">
        <v>14</v>
      </c>
      <c r="M245">
        <v>47.612620238430402</v>
      </c>
    </row>
    <row r="246" spans="7:13">
      <c r="G246" s="7">
        <v>45761</v>
      </c>
      <c r="H246" t="s">
        <v>91</v>
      </c>
      <c r="I246">
        <v>11075</v>
      </c>
      <c r="J246" t="s">
        <v>93</v>
      </c>
      <c r="K246">
        <v>4</v>
      </c>
      <c r="L246">
        <v>1</v>
      </c>
      <c r="M246">
        <v>8.99</v>
      </c>
    </row>
    <row r="247" spans="7:13">
      <c r="G247" s="7">
        <v>45761</v>
      </c>
      <c r="H247" t="s">
        <v>91</v>
      </c>
      <c r="I247">
        <v>11075</v>
      </c>
      <c r="J247" t="s">
        <v>94</v>
      </c>
      <c r="K247">
        <v>71</v>
      </c>
      <c r="L247">
        <v>19</v>
      </c>
      <c r="M247">
        <v>189.090264397684</v>
      </c>
    </row>
    <row r="248" spans="7:13">
      <c r="G248" s="7">
        <v>45761</v>
      </c>
      <c r="H248" t="s">
        <v>91</v>
      </c>
      <c r="I248">
        <v>11076</v>
      </c>
      <c r="K248">
        <v>0</v>
      </c>
      <c r="L248">
        <v>0</v>
      </c>
      <c r="M248">
        <v>0</v>
      </c>
    </row>
    <row r="249" spans="7:13">
      <c r="G249" s="7">
        <v>45761</v>
      </c>
      <c r="H249" t="s">
        <v>91</v>
      </c>
      <c r="I249">
        <v>11076</v>
      </c>
      <c r="J249" t="s">
        <v>92</v>
      </c>
      <c r="K249">
        <v>15</v>
      </c>
      <c r="L249">
        <v>15</v>
      </c>
      <c r="M249">
        <v>53.6982074628677</v>
      </c>
    </row>
    <row r="250" spans="7:13">
      <c r="G250" s="7">
        <v>45761</v>
      </c>
      <c r="H250" t="s">
        <v>91</v>
      </c>
      <c r="I250">
        <v>11076</v>
      </c>
      <c r="J250" t="s">
        <v>93</v>
      </c>
      <c r="K250">
        <v>3</v>
      </c>
      <c r="L250">
        <v>1</v>
      </c>
      <c r="M250">
        <v>11.227723086526201</v>
      </c>
    </row>
    <row r="251" spans="7:13">
      <c r="G251" s="7">
        <v>45761</v>
      </c>
      <c r="H251" t="s">
        <v>91</v>
      </c>
      <c r="I251">
        <v>11076</v>
      </c>
      <c r="J251" t="s">
        <v>94</v>
      </c>
      <c r="K251">
        <v>40</v>
      </c>
      <c r="L251">
        <v>20</v>
      </c>
      <c r="M251">
        <v>219.09897275428901</v>
      </c>
    </row>
    <row r="252" spans="7:13">
      <c r="G252" s="7">
        <v>45761</v>
      </c>
      <c r="H252" t="s">
        <v>91</v>
      </c>
      <c r="I252">
        <v>11077</v>
      </c>
      <c r="K252">
        <v>0</v>
      </c>
      <c r="L252">
        <v>0</v>
      </c>
      <c r="M252">
        <v>0</v>
      </c>
    </row>
    <row r="253" spans="7:13">
      <c r="G253" s="7">
        <v>45761</v>
      </c>
      <c r="H253" t="s">
        <v>91</v>
      </c>
      <c r="I253">
        <v>11077</v>
      </c>
      <c r="J253" t="s">
        <v>92</v>
      </c>
      <c r="K253">
        <v>11</v>
      </c>
      <c r="L253">
        <v>11</v>
      </c>
      <c r="M253">
        <v>35.957227625752999</v>
      </c>
    </row>
    <row r="254" spans="7:13">
      <c r="G254" s="7">
        <v>45761</v>
      </c>
      <c r="H254" t="s">
        <v>91</v>
      </c>
      <c r="I254">
        <v>11077</v>
      </c>
      <c r="J254" t="s">
        <v>93</v>
      </c>
      <c r="K254">
        <v>1</v>
      </c>
      <c r="L254">
        <v>0</v>
      </c>
      <c r="M254">
        <v>0</v>
      </c>
    </row>
    <row r="255" spans="7:13">
      <c r="G255" s="7">
        <v>45761</v>
      </c>
      <c r="H255" t="s">
        <v>91</v>
      </c>
      <c r="I255">
        <v>11077</v>
      </c>
      <c r="J255" t="s">
        <v>94</v>
      </c>
      <c r="K255">
        <v>39</v>
      </c>
      <c r="L255">
        <v>14</v>
      </c>
      <c r="M255">
        <v>145.19792132410799</v>
      </c>
    </row>
    <row r="256" spans="7:13">
      <c r="G256" s="7">
        <v>45761</v>
      </c>
      <c r="H256" t="s">
        <v>91</v>
      </c>
      <c r="I256">
        <v>11077</v>
      </c>
      <c r="J256" t="s">
        <v>96</v>
      </c>
      <c r="K256">
        <v>0</v>
      </c>
      <c r="L256">
        <v>0</v>
      </c>
      <c r="M256">
        <v>0</v>
      </c>
    </row>
    <row r="257" spans="7:13">
      <c r="G257" s="7">
        <v>45761</v>
      </c>
      <c r="H257" t="s">
        <v>95</v>
      </c>
      <c r="I257">
        <v>11072</v>
      </c>
      <c r="K257">
        <v>0</v>
      </c>
      <c r="L257">
        <v>0</v>
      </c>
      <c r="M257">
        <v>0</v>
      </c>
    </row>
    <row r="258" spans="7:13">
      <c r="G258" s="7">
        <v>45761</v>
      </c>
      <c r="H258" t="s">
        <v>95</v>
      </c>
      <c r="I258">
        <v>11072</v>
      </c>
      <c r="J258" t="s">
        <v>92</v>
      </c>
      <c r="K258">
        <v>62</v>
      </c>
      <c r="L258">
        <v>62</v>
      </c>
      <c r="M258">
        <v>692.41037399050799</v>
      </c>
    </row>
    <row r="259" spans="7:13">
      <c r="G259" s="7">
        <v>45761</v>
      </c>
      <c r="H259" t="s">
        <v>95</v>
      </c>
      <c r="I259">
        <v>11072</v>
      </c>
      <c r="J259" t="s">
        <v>94</v>
      </c>
      <c r="K259">
        <v>822</v>
      </c>
      <c r="L259">
        <v>227</v>
      </c>
      <c r="M259">
        <v>9730.8977114232603</v>
      </c>
    </row>
    <row r="260" spans="7:13">
      <c r="G260" s="7">
        <v>45761</v>
      </c>
      <c r="H260" t="s">
        <v>95</v>
      </c>
      <c r="I260">
        <v>11072</v>
      </c>
      <c r="J260" t="s">
        <v>96</v>
      </c>
      <c r="K260">
        <v>0</v>
      </c>
      <c r="L260">
        <v>0</v>
      </c>
      <c r="M260">
        <v>0</v>
      </c>
    </row>
    <row r="261" spans="7:13">
      <c r="G261" s="7">
        <v>45761</v>
      </c>
      <c r="H261" t="s">
        <v>95</v>
      </c>
      <c r="I261">
        <v>11073</v>
      </c>
      <c r="K261">
        <v>0</v>
      </c>
      <c r="L261">
        <v>0</v>
      </c>
      <c r="M261">
        <v>0</v>
      </c>
    </row>
    <row r="262" spans="7:13">
      <c r="G262" s="7">
        <v>45761</v>
      </c>
      <c r="H262" t="s">
        <v>95</v>
      </c>
      <c r="I262">
        <v>11073</v>
      </c>
      <c r="J262" t="s">
        <v>92</v>
      </c>
      <c r="K262">
        <v>43</v>
      </c>
      <c r="L262">
        <v>43</v>
      </c>
      <c r="M262">
        <v>475.42880831659897</v>
      </c>
    </row>
    <row r="263" spans="7:13">
      <c r="G263" s="7">
        <v>45761</v>
      </c>
      <c r="H263" t="s">
        <v>95</v>
      </c>
      <c r="I263">
        <v>11073</v>
      </c>
      <c r="J263" t="s">
        <v>94</v>
      </c>
      <c r="K263">
        <v>609</v>
      </c>
      <c r="L263">
        <v>162</v>
      </c>
      <c r="M263">
        <v>7312.3744726213099</v>
      </c>
    </row>
    <row r="264" spans="7:13">
      <c r="G264" s="7">
        <v>45761</v>
      </c>
      <c r="H264" t="s">
        <v>95</v>
      </c>
      <c r="I264">
        <v>11074</v>
      </c>
      <c r="K264">
        <v>0</v>
      </c>
      <c r="L264">
        <v>0</v>
      </c>
      <c r="M264">
        <v>0</v>
      </c>
    </row>
    <row r="265" spans="7:13">
      <c r="G265" s="7">
        <v>45761</v>
      </c>
      <c r="H265" t="s">
        <v>95</v>
      </c>
      <c r="I265">
        <v>11074</v>
      </c>
      <c r="J265" t="s">
        <v>92</v>
      </c>
      <c r="K265">
        <v>51</v>
      </c>
      <c r="L265">
        <v>51</v>
      </c>
      <c r="M265">
        <v>499.78354201782099</v>
      </c>
    </row>
    <row r="266" spans="7:13">
      <c r="G266" s="7">
        <v>45761</v>
      </c>
      <c r="H266" t="s">
        <v>95</v>
      </c>
      <c r="I266">
        <v>11074</v>
      </c>
      <c r="J266" t="s">
        <v>94</v>
      </c>
      <c r="K266">
        <v>642</v>
      </c>
      <c r="L266">
        <v>164</v>
      </c>
      <c r="M266">
        <v>7181.0658257226196</v>
      </c>
    </row>
    <row r="267" spans="7:13">
      <c r="G267" s="7">
        <v>45761</v>
      </c>
      <c r="H267" t="s">
        <v>95</v>
      </c>
      <c r="I267">
        <v>11074</v>
      </c>
      <c r="J267" t="s">
        <v>96</v>
      </c>
      <c r="K267">
        <v>0</v>
      </c>
      <c r="L267">
        <v>0</v>
      </c>
      <c r="M267">
        <v>0</v>
      </c>
    </row>
    <row r="268" spans="7:13">
      <c r="G268" s="7">
        <v>45762</v>
      </c>
      <c r="H268" t="s">
        <v>91</v>
      </c>
      <c r="I268">
        <v>11075</v>
      </c>
      <c r="K268">
        <v>0</v>
      </c>
      <c r="L268">
        <v>0</v>
      </c>
      <c r="M268">
        <v>0</v>
      </c>
    </row>
    <row r="269" spans="7:13">
      <c r="G269" s="7">
        <v>45762</v>
      </c>
      <c r="H269" t="s">
        <v>91</v>
      </c>
      <c r="I269">
        <v>11075</v>
      </c>
      <c r="J269" t="s">
        <v>92</v>
      </c>
      <c r="K269">
        <v>15</v>
      </c>
      <c r="L269">
        <v>15</v>
      </c>
      <c r="M269">
        <v>60.266044485408202</v>
      </c>
    </row>
    <row r="270" spans="7:13">
      <c r="G270" s="7">
        <v>45762</v>
      </c>
      <c r="H270" t="s">
        <v>91</v>
      </c>
      <c r="I270">
        <v>11075</v>
      </c>
      <c r="J270" t="s">
        <v>93</v>
      </c>
      <c r="K270">
        <v>3</v>
      </c>
      <c r="L270">
        <v>1</v>
      </c>
      <c r="M270">
        <v>8.1533101100282597</v>
      </c>
    </row>
    <row r="271" spans="7:13">
      <c r="G271" s="7">
        <v>45762</v>
      </c>
      <c r="H271" t="s">
        <v>91</v>
      </c>
      <c r="I271">
        <v>11075</v>
      </c>
      <c r="J271" t="s">
        <v>94</v>
      </c>
      <c r="K271">
        <v>80</v>
      </c>
      <c r="L271">
        <v>21</v>
      </c>
      <c r="M271">
        <v>290.25796021903801</v>
      </c>
    </row>
    <row r="272" spans="7:13">
      <c r="G272" s="7">
        <v>45762</v>
      </c>
      <c r="H272" t="s">
        <v>91</v>
      </c>
      <c r="I272">
        <v>11076</v>
      </c>
      <c r="K272">
        <v>0</v>
      </c>
      <c r="L272">
        <v>0</v>
      </c>
      <c r="M272">
        <v>0</v>
      </c>
    </row>
    <row r="273" spans="7:13">
      <c r="G273" s="7">
        <v>45762</v>
      </c>
      <c r="H273" t="s">
        <v>91</v>
      </c>
      <c r="I273">
        <v>11076</v>
      </c>
      <c r="J273" t="s">
        <v>92</v>
      </c>
      <c r="K273">
        <v>9</v>
      </c>
      <c r="L273">
        <v>9</v>
      </c>
      <c r="M273">
        <v>32.4333236296198</v>
      </c>
    </row>
    <row r="274" spans="7:13">
      <c r="G274" s="7">
        <v>45762</v>
      </c>
      <c r="H274" t="s">
        <v>91</v>
      </c>
      <c r="I274">
        <v>11076</v>
      </c>
      <c r="J274" t="s">
        <v>93</v>
      </c>
      <c r="K274">
        <v>1</v>
      </c>
      <c r="L274">
        <v>0</v>
      </c>
      <c r="M274">
        <v>0</v>
      </c>
    </row>
    <row r="275" spans="7:13">
      <c r="G275" s="7">
        <v>45762</v>
      </c>
      <c r="H275" t="s">
        <v>91</v>
      </c>
      <c r="I275">
        <v>11076</v>
      </c>
      <c r="J275" t="s">
        <v>94</v>
      </c>
      <c r="K275">
        <v>38</v>
      </c>
      <c r="L275">
        <v>12</v>
      </c>
      <c r="M275">
        <v>139.78589549521999</v>
      </c>
    </row>
    <row r="276" spans="7:13">
      <c r="G276" s="7">
        <v>45762</v>
      </c>
      <c r="H276" t="s">
        <v>91</v>
      </c>
      <c r="I276">
        <v>11077</v>
      </c>
      <c r="K276">
        <v>0</v>
      </c>
      <c r="L276">
        <v>0</v>
      </c>
      <c r="M276">
        <v>0</v>
      </c>
    </row>
    <row r="277" spans="7:13">
      <c r="G277" s="7">
        <v>45762</v>
      </c>
      <c r="H277" t="s">
        <v>91</v>
      </c>
      <c r="I277">
        <v>11077</v>
      </c>
      <c r="J277" t="s">
        <v>92</v>
      </c>
      <c r="K277">
        <v>10</v>
      </c>
      <c r="L277">
        <v>10</v>
      </c>
      <c r="M277">
        <v>34.633911972046697</v>
      </c>
    </row>
    <row r="278" spans="7:13">
      <c r="G278" s="7">
        <v>45762</v>
      </c>
      <c r="H278" t="s">
        <v>91</v>
      </c>
      <c r="I278">
        <v>11077</v>
      </c>
      <c r="J278" t="s">
        <v>93</v>
      </c>
      <c r="K278">
        <v>2</v>
      </c>
      <c r="L278">
        <v>0</v>
      </c>
      <c r="M278">
        <v>0</v>
      </c>
    </row>
    <row r="279" spans="7:13">
      <c r="G279" s="7">
        <v>45762</v>
      </c>
      <c r="H279" t="s">
        <v>91</v>
      </c>
      <c r="I279">
        <v>11077</v>
      </c>
      <c r="J279" t="s">
        <v>94</v>
      </c>
      <c r="K279">
        <v>59</v>
      </c>
      <c r="L279">
        <v>13</v>
      </c>
      <c r="M279">
        <v>118.852646816346</v>
      </c>
    </row>
    <row r="280" spans="7:13">
      <c r="G280" s="7">
        <v>45762</v>
      </c>
      <c r="H280" t="s">
        <v>95</v>
      </c>
      <c r="I280">
        <v>11072</v>
      </c>
      <c r="K280">
        <v>0</v>
      </c>
      <c r="L280">
        <v>0</v>
      </c>
      <c r="M280">
        <v>0</v>
      </c>
    </row>
    <row r="281" spans="7:13">
      <c r="G281" s="7">
        <v>45762</v>
      </c>
      <c r="H281" t="s">
        <v>95</v>
      </c>
      <c r="I281">
        <v>11072</v>
      </c>
      <c r="J281" t="s">
        <v>92</v>
      </c>
      <c r="K281">
        <v>46</v>
      </c>
      <c r="L281">
        <v>46</v>
      </c>
      <c r="M281">
        <v>470.06871684927501</v>
      </c>
    </row>
    <row r="282" spans="7:13">
      <c r="G282" s="7">
        <v>45762</v>
      </c>
      <c r="H282" t="s">
        <v>95</v>
      </c>
      <c r="I282">
        <v>11072</v>
      </c>
      <c r="J282" t="s">
        <v>94</v>
      </c>
      <c r="K282">
        <v>623</v>
      </c>
      <c r="L282">
        <v>167</v>
      </c>
      <c r="M282">
        <v>7656.9977183294304</v>
      </c>
    </row>
    <row r="283" spans="7:13">
      <c r="G283" s="7">
        <v>45762</v>
      </c>
      <c r="H283" t="s">
        <v>95</v>
      </c>
      <c r="I283">
        <v>11073</v>
      </c>
      <c r="K283">
        <v>0</v>
      </c>
      <c r="L283">
        <v>0</v>
      </c>
      <c r="M283">
        <v>0</v>
      </c>
    </row>
    <row r="284" spans="7:13">
      <c r="G284" s="7">
        <v>45762</v>
      </c>
      <c r="H284" t="s">
        <v>95</v>
      </c>
      <c r="I284">
        <v>11073</v>
      </c>
      <c r="J284" t="s">
        <v>92</v>
      </c>
      <c r="K284">
        <v>37</v>
      </c>
      <c r="L284">
        <v>37</v>
      </c>
      <c r="M284">
        <v>405.76582524454</v>
      </c>
    </row>
    <row r="285" spans="7:13">
      <c r="G285" s="7">
        <v>45762</v>
      </c>
      <c r="H285" t="s">
        <v>95</v>
      </c>
      <c r="I285">
        <v>11073</v>
      </c>
      <c r="J285" t="s">
        <v>94</v>
      </c>
      <c r="K285">
        <v>469</v>
      </c>
      <c r="L285">
        <v>121</v>
      </c>
      <c r="M285">
        <v>5493.0592487091199</v>
      </c>
    </row>
    <row r="286" spans="7:13">
      <c r="G286" s="7">
        <v>45762</v>
      </c>
      <c r="H286" t="s">
        <v>95</v>
      </c>
      <c r="I286">
        <v>11074</v>
      </c>
      <c r="K286">
        <v>0</v>
      </c>
      <c r="L286">
        <v>0</v>
      </c>
      <c r="M286">
        <v>0</v>
      </c>
    </row>
    <row r="287" spans="7:13">
      <c r="G287" s="7">
        <v>45762</v>
      </c>
      <c r="H287" t="s">
        <v>95</v>
      </c>
      <c r="I287">
        <v>11074</v>
      </c>
      <c r="J287" t="s">
        <v>92</v>
      </c>
      <c r="K287">
        <v>40</v>
      </c>
      <c r="L287">
        <v>40</v>
      </c>
      <c r="M287">
        <v>415.29880827470498</v>
      </c>
    </row>
    <row r="288" spans="7:13">
      <c r="G288" s="7">
        <v>45762</v>
      </c>
      <c r="H288" t="s">
        <v>95</v>
      </c>
      <c r="I288">
        <v>11074</v>
      </c>
      <c r="J288" t="s">
        <v>94</v>
      </c>
      <c r="K288">
        <v>522</v>
      </c>
      <c r="L288">
        <v>129</v>
      </c>
      <c r="M288">
        <v>5815.3248859693103</v>
      </c>
    </row>
    <row r="289" spans="7:13">
      <c r="G289" s="7">
        <v>45763</v>
      </c>
      <c r="H289" t="s">
        <v>91</v>
      </c>
      <c r="I289">
        <v>11075</v>
      </c>
      <c r="K289">
        <v>0</v>
      </c>
      <c r="L289">
        <v>0</v>
      </c>
      <c r="M289">
        <v>0</v>
      </c>
    </row>
    <row r="290" spans="7:13">
      <c r="G290" s="7">
        <v>45763</v>
      </c>
      <c r="H290" t="s">
        <v>91</v>
      </c>
      <c r="I290">
        <v>11075</v>
      </c>
      <c r="J290" t="s">
        <v>92</v>
      </c>
      <c r="K290">
        <v>6</v>
      </c>
      <c r="L290">
        <v>6</v>
      </c>
      <c r="M290">
        <v>19.065597190223301</v>
      </c>
    </row>
    <row r="291" spans="7:13">
      <c r="G291" s="7">
        <v>45763</v>
      </c>
      <c r="H291" t="s">
        <v>91</v>
      </c>
      <c r="I291">
        <v>11075</v>
      </c>
      <c r="J291" t="s">
        <v>93</v>
      </c>
      <c r="K291">
        <v>0</v>
      </c>
      <c r="L291">
        <v>0</v>
      </c>
      <c r="M291">
        <v>0</v>
      </c>
    </row>
    <row r="292" spans="7:13">
      <c r="G292" s="7">
        <v>45763</v>
      </c>
      <c r="H292" t="s">
        <v>91</v>
      </c>
      <c r="I292">
        <v>11075</v>
      </c>
      <c r="J292" t="s">
        <v>94</v>
      </c>
      <c r="K292">
        <v>72</v>
      </c>
      <c r="L292">
        <v>20</v>
      </c>
      <c r="M292">
        <v>231.000504854312</v>
      </c>
    </row>
    <row r="293" spans="7:13">
      <c r="G293" s="7">
        <v>45763</v>
      </c>
      <c r="H293" t="s">
        <v>91</v>
      </c>
      <c r="I293">
        <v>11076</v>
      </c>
      <c r="K293">
        <v>0</v>
      </c>
      <c r="L293">
        <v>0</v>
      </c>
      <c r="M293">
        <v>0</v>
      </c>
    </row>
    <row r="294" spans="7:13">
      <c r="G294" s="7">
        <v>45763</v>
      </c>
      <c r="H294" t="s">
        <v>91</v>
      </c>
      <c r="I294">
        <v>11076</v>
      </c>
      <c r="J294" t="s">
        <v>92</v>
      </c>
      <c r="K294">
        <v>8</v>
      </c>
      <c r="L294">
        <v>8</v>
      </c>
      <c r="M294">
        <v>26.700866415837002</v>
      </c>
    </row>
    <row r="295" spans="7:13">
      <c r="G295" s="7">
        <v>45763</v>
      </c>
      <c r="H295" t="s">
        <v>91</v>
      </c>
      <c r="I295">
        <v>11076</v>
      </c>
      <c r="J295" t="s">
        <v>93</v>
      </c>
      <c r="K295">
        <v>1</v>
      </c>
      <c r="L295">
        <v>1</v>
      </c>
      <c r="M295">
        <v>9.2263843648208397</v>
      </c>
    </row>
    <row r="296" spans="7:13">
      <c r="G296" s="7">
        <v>45763</v>
      </c>
      <c r="H296" t="s">
        <v>91</v>
      </c>
      <c r="I296">
        <v>11076</v>
      </c>
      <c r="J296" t="s">
        <v>94</v>
      </c>
      <c r="K296">
        <v>34</v>
      </c>
      <c r="L296">
        <v>17</v>
      </c>
      <c r="M296">
        <v>168.95908452655601</v>
      </c>
    </row>
    <row r="297" spans="7:13">
      <c r="G297" s="7">
        <v>45763</v>
      </c>
      <c r="H297" t="s">
        <v>91</v>
      </c>
      <c r="I297">
        <v>11076</v>
      </c>
      <c r="J297" t="s">
        <v>96</v>
      </c>
      <c r="K297">
        <v>0</v>
      </c>
      <c r="L297">
        <v>0</v>
      </c>
      <c r="M297">
        <v>0</v>
      </c>
    </row>
    <row r="298" spans="7:13">
      <c r="G298" s="7">
        <v>45763</v>
      </c>
      <c r="H298" t="s">
        <v>91</v>
      </c>
      <c r="I298">
        <v>11077</v>
      </c>
      <c r="K298">
        <v>0</v>
      </c>
      <c r="L298">
        <v>0</v>
      </c>
      <c r="M298">
        <v>0</v>
      </c>
    </row>
    <row r="299" spans="7:13">
      <c r="G299" s="7">
        <v>45763</v>
      </c>
      <c r="H299" t="s">
        <v>91</v>
      </c>
      <c r="I299">
        <v>11077</v>
      </c>
      <c r="J299" t="s">
        <v>92</v>
      </c>
      <c r="K299">
        <v>9</v>
      </c>
      <c r="L299">
        <v>9</v>
      </c>
      <c r="M299">
        <v>31.0206312137014</v>
      </c>
    </row>
    <row r="300" spans="7:13">
      <c r="G300" s="7">
        <v>45763</v>
      </c>
      <c r="H300" t="s">
        <v>91</v>
      </c>
      <c r="I300">
        <v>11077</v>
      </c>
      <c r="J300" t="s">
        <v>93</v>
      </c>
      <c r="K300">
        <v>1</v>
      </c>
      <c r="L300">
        <v>1</v>
      </c>
      <c r="M300">
        <v>11.3610388015298</v>
      </c>
    </row>
    <row r="301" spans="7:13">
      <c r="G301" s="7">
        <v>45763</v>
      </c>
      <c r="H301" t="s">
        <v>91</v>
      </c>
      <c r="I301">
        <v>11077</v>
      </c>
      <c r="J301" t="s">
        <v>94</v>
      </c>
      <c r="K301">
        <v>44</v>
      </c>
      <c r="L301">
        <v>9</v>
      </c>
      <c r="M301">
        <v>109.06254814853</v>
      </c>
    </row>
    <row r="302" spans="7:13">
      <c r="G302" s="7">
        <v>45763</v>
      </c>
      <c r="H302" t="s">
        <v>91</v>
      </c>
      <c r="I302">
        <v>11077</v>
      </c>
      <c r="J302" t="s">
        <v>96</v>
      </c>
      <c r="K302">
        <v>0</v>
      </c>
      <c r="L302">
        <v>0</v>
      </c>
      <c r="M302">
        <v>0</v>
      </c>
    </row>
    <row r="303" spans="7:13">
      <c r="G303" s="7">
        <v>45763</v>
      </c>
      <c r="H303" t="s">
        <v>95</v>
      </c>
      <c r="I303">
        <v>11072</v>
      </c>
      <c r="K303">
        <v>0</v>
      </c>
      <c r="L303">
        <v>0</v>
      </c>
      <c r="M303">
        <v>0</v>
      </c>
    </row>
    <row r="304" spans="7:13">
      <c r="G304" s="7">
        <v>45763</v>
      </c>
      <c r="H304" t="s">
        <v>95</v>
      </c>
      <c r="I304">
        <v>11072</v>
      </c>
      <c r="J304" t="s">
        <v>92</v>
      </c>
      <c r="K304">
        <v>49</v>
      </c>
      <c r="L304">
        <v>49</v>
      </c>
      <c r="M304">
        <v>565.37810869753105</v>
      </c>
    </row>
    <row r="305" spans="7:13">
      <c r="G305" s="7">
        <v>45763</v>
      </c>
      <c r="H305" t="s">
        <v>95</v>
      </c>
      <c r="I305">
        <v>11072</v>
      </c>
      <c r="J305" t="s">
        <v>94</v>
      </c>
      <c r="K305">
        <v>616</v>
      </c>
      <c r="L305">
        <v>155</v>
      </c>
      <c r="M305">
        <v>6590.1464633723399</v>
      </c>
    </row>
    <row r="306" spans="7:13">
      <c r="G306" s="7">
        <v>45763</v>
      </c>
      <c r="H306" t="s">
        <v>95</v>
      </c>
      <c r="I306">
        <v>11073</v>
      </c>
      <c r="K306">
        <v>0</v>
      </c>
      <c r="L306">
        <v>0</v>
      </c>
      <c r="M306">
        <v>0</v>
      </c>
    </row>
    <row r="307" spans="7:13">
      <c r="G307" s="7">
        <v>45763</v>
      </c>
      <c r="H307" t="s">
        <v>95</v>
      </c>
      <c r="I307">
        <v>11073</v>
      </c>
      <c r="J307" t="s">
        <v>92</v>
      </c>
      <c r="K307">
        <v>40</v>
      </c>
      <c r="L307">
        <v>40</v>
      </c>
      <c r="M307">
        <v>448.04197809409902</v>
      </c>
    </row>
    <row r="308" spans="7:13">
      <c r="G308" s="7">
        <v>45763</v>
      </c>
      <c r="H308" t="s">
        <v>95</v>
      </c>
      <c r="I308">
        <v>11073</v>
      </c>
      <c r="J308" t="s">
        <v>94</v>
      </c>
      <c r="K308">
        <v>445</v>
      </c>
      <c r="L308">
        <v>120</v>
      </c>
      <c r="M308">
        <v>5249.5670904764502</v>
      </c>
    </row>
    <row r="309" spans="7:13">
      <c r="G309" s="7">
        <v>45763</v>
      </c>
      <c r="H309" t="s">
        <v>95</v>
      </c>
      <c r="I309">
        <v>11074</v>
      </c>
      <c r="K309">
        <v>0</v>
      </c>
      <c r="L309">
        <v>0</v>
      </c>
      <c r="M309">
        <v>0</v>
      </c>
    </row>
    <row r="310" spans="7:13">
      <c r="G310" s="7">
        <v>45763</v>
      </c>
      <c r="H310" t="s">
        <v>95</v>
      </c>
      <c r="I310">
        <v>11074</v>
      </c>
      <c r="J310" t="s">
        <v>92</v>
      </c>
      <c r="K310">
        <v>34</v>
      </c>
      <c r="L310">
        <v>34</v>
      </c>
      <c r="M310">
        <v>381.273512112155</v>
      </c>
    </row>
    <row r="311" spans="7:13">
      <c r="G311" s="7">
        <v>45763</v>
      </c>
      <c r="H311" t="s">
        <v>95</v>
      </c>
      <c r="I311">
        <v>11074</v>
      </c>
      <c r="J311" t="s">
        <v>94</v>
      </c>
      <c r="K311">
        <v>463</v>
      </c>
      <c r="L311">
        <v>107</v>
      </c>
      <c r="M311">
        <v>4572.6684393959104</v>
      </c>
    </row>
    <row r="312" spans="7:13">
      <c r="G312" s="7">
        <v>45764</v>
      </c>
      <c r="H312" t="s">
        <v>91</v>
      </c>
      <c r="I312">
        <v>11075</v>
      </c>
      <c r="K312">
        <v>0</v>
      </c>
      <c r="L312">
        <v>0</v>
      </c>
      <c r="M312">
        <v>0</v>
      </c>
    </row>
    <row r="313" spans="7:13">
      <c r="G313" s="7">
        <v>45764</v>
      </c>
      <c r="H313" t="s">
        <v>91</v>
      </c>
      <c r="I313">
        <v>11075</v>
      </c>
      <c r="J313" t="s">
        <v>92</v>
      </c>
      <c r="K313">
        <v>14</v>
      </c>
      <c r="L313">
        <v>14</v>
      </c>
      <c r="M313">
        <v>48.744031869908</v>
      </c>
    </row>
    <row r="314" spans="7:13">
      <c r="G314" s="7">
        <v>45764</v>
      </c>
      <c r="H314" t="s">
        <v>91</v>
      </c>
      <c r="I314">
        <v>11075</v>
      </c>
      <c r="J314" t="s">
        <v>93</v>
      </c>
      <c r="K314">
        <v>2</v>
      </c>
      <c r="L314">
        <v>1</v>
      </c>
      <c r="M314">
        <v>8.99</v>
      </c>
    </row>
    <row r="315" spans="7:13">
      <c r="G315" s="7">
        <v>45764</v>
      </c>
      <c r="H315" t="s">
        <v>91</v>
      </c>
      <c r="I315">
        <v>11075</v>
      </c>
      <c r="J315" t="s">
        <v>94</v>
      </c>
      <c r="K315">
        <v>66</v>
      </c>
      <c r="L315">
        <v>18</v>
      </c>
      <c r="M315">
        <v>200.446703263807</v>
      </c>
    </row>
    <row r="316" spans="7:13">
      <c r="G316" s="7">
        <v>45764</v>
      </c>
      <c r="H316" t="s">
        <v>91</v>
      </c>
      <c r="I316">
        <v>11076</v>
      </c>
      <c r="K316">
        <v>0</v>
      </c>
      <c r="L316">
        <v>0</v>
      </c>
      <c r="M316">
        <v>0</v>
      </c>
    </row>
    <row r="317" spans="7:13">
      <c r="G317" s="7">
        <v>45764</v>
      </c>
      <c r="H317" t="s">
        <v>91</v>
      </c>
      <c r="I317">
        <v>11076</v>
      </c>
      <c r="J317" t="s">
        <v>92</v>
      </c>
      <c r="K317">
        <v>8</v>
      </c>
      <c r="L317">
        <v>8</v>
      </c>
      <c r="M317">
        <v>26.838189482425101</v>
      </c>
    </row>
    <row r="318" spans="7:13">
      <c r="G318" s="7">
        <v>45764</v>
      </c>
      <c r="H318" t="s">
        <v>91</v>
      </c>
      <c r="I318">
        <v>11076</v>
      </c>
      <c r="J318" t="s">
        <v>93</v>
      </c>
      <c r="K318">
        <v>3</v>
      </c>
      <c r="L318">
        <v>1</v>
      </c>
      <c r="M318">
        <v>9.93</v>
      </c>
    </row>
    <row r="319" spans="7:13">
      <c r="G319" s="7">
        <v>45764</v>
      </c>
      <c r="H319" t="s">
        <v>91</v>
      </c>
      <c r="I319">
        <v>11076</v>
      </c>
      <c r="J319" t="s">
        <v>94</v>
      </c>
      <c r="K319">
        <v>34</v>
      </c>
      <c r="L319">
        <v>12</v>
      </c>
      <c r="M319">
        <v>123.17190069196501</v>
      </c>
    </row>
    <row r="320" spans="7:13">
      <c r="G320" s="7">
        <v>45764</v>
      </c>
      <c r="H320" t="s">
        <v>91</v>
      </c>
      <c r="I320">
        <v>11077</v>
      </c>
      <c r="K320">
        <v>0</v>
      </c>
      <c r="L320">
        <v>0</v>
      </c>
      <c r="M320">
        <v>0</v>
      </c>
    </row>
    <row r="321" spans="7:13">
      <c r="G321" s="7">
        <v>45764</v>
      </c>
      <c r="H321" t="s">
        <v>91</v>
      </c>
      <c r="I321">
        <v>11077</v>
      </c>
      <c r="J321" t="s">
        <v>92</v>
      </c>
      <c r="K321">
        <v>9</v>
      </c>
      <c r="L321">
        <v>9</v>
      </c>
      <c r="M321">
        <v>31.628667047125798</v>
      </c>
    </row>
    <row r="322" spans="7:13">
      <c r="G322" s="7">
        <v>45764</v>
      </c>
      <c r="H322" t="s">
        <v>91</v>
      </c>
      <c r="I322">
        <v>11077</v>
      </c>
      <c r="J322" t="s">
        <v>93</v>
      </c>
      <c r="K322">
        <v>0</v>
      </c>
      <c r="L322">
        <v>0</v>
      </c>
      <c r="M322">
        <v>0</v>
      </c>
    </row>
    <row r="323" spans="7:13">
      <c r="G323" s="7">
        <v>45764</v>
      </c>
      <c r="H323" t="s">
        <v>91</v>
      </c>
      <c r="I323">
        <v>11077</v>
      </c>
      <c r="J323" t="s">
        <v>94</v>
      </c>
      <c r="K323">
        <v>59</v>
      </c>
      <c r="L323">
        <v>14</v>
      </c>
      <c r="M323">
        <v>159.744599895492</v>
      </c>
    </row>
    <row r="324" spans="7:13">
      <c r="G324" s="7">
        <v>45764</v>
      </c>
      <c r="H324" t="s">
        <v>95</v>
      </c>
      <c r="I324">
        <v>11072</v>
      </c>
      <c r="K324">
        <v>0</v>
      </c>
      <c r="L324">
        <v>0</v>
      </c>
      <c r="M324">
        <v>0</v>
      </c>
    </row>
    <row r="325" spans="7:13">
      <c r="G325" s="7">
        <v>45764</v>
      </c>
      <c r="H325" t="s">
        <v>95</v>
      </c>
      <c r="I325">
        <v>11072</v>
      </c>
      <c r="J325" t="s">
        <v>92</v>
      </c>
      <c r="K325">
        <v>53</v>
      </c>
      <c r="L325">
        <v>53</v>
      </c>
      <c r="M325">
        <v>598.20189454928095</v>
      </c>
    </row>
    <row r="326" spans="7:13">
      <c r="G326" s="7">
        <v>45764</v>
      </c>
      <c r="H326" t="s">
        <v>95</v>
      </c>
      <c r="I326">
        <v>11072</v>
      </c>
      <c r="J326" t="s">
        <v>94</v>
      </c>
      <c r="K326">
        <v>545</v>
      </c>
      <c r="L326">
        <v>154</v>
      </c>
      <c r="M326">
        <v>6448.3907772946404</v>
      </c>
    </row>
    <row r="327" spans="7:13">
      <c r="G327" s="7">
        <v>45764</v>
      </c>
      <c r="H327" t="s">
        <v>95</v>
      </c>
      <c r="I327">
        <v>11073</v>
      </c>
      <c r="K327">
        <v>0</v>
      </c>
      <c r="L327">
        <v>0</v>
      </c>
      <c r="M327">
        <v>0</v>
      </c>
    </row>
    <row r="328" spans="7:13">
      <c r="G328" s="7">
        <v>45764</v>
      </c>
      <c r="H328" t="s">
        <v>95</v>
      </c>
      <c r="I328">
        <v>11073</v>
      </c>
      <c r="J328" t="s">
        <v>92</v>
      </c>
      <c r="K328">
        <v>38</v>
      </c>
      <c r="L328">
        <v>38</v>
      </c>
      <c r="M328">
        <v>340.27554226125801</v>
      </c>
    </row>
    <row r="329" spans="7:13">
      <c r="G329" s="7">
        <v>45764</v>
      </c>
      <c r="H329" t="s">
        <v>95</v>
      </c>
      <c r="I329">
        <v>11073</v>
      </c>
      <c r="J329" t="s">
        <v>94</v>
      </c>
      <c r="K329">
        <v>464</v>
      </c>
      <c r="L329">
        <v>116</v>
      </c>
      <c r="M329">
        <v>4990.2606477596601</v>
      </c>
    </row>
    <row r="330" spans="7:13">
      <c r="G330" s="7">
        <v>45764</v>
      </c>
      <c r="H330" t="s">
        <v>95</v>
      </c>
      <c r="I330">
        <v>11074</v>
      </c>
      <c r="K330">
        <v>0</v>
      </c>
      <c r="L330">
        <v>0</v>
      </c>
      <c r="M330">
        <v>0</v>
      </c>
    </row>
    <row r="331" spans="7:13">
      <c r="G331" s="7">
        <v>45764</v>
      </c>
      <c r="H331" t="s">
        <v>95</v>
      </c>
      <c r="I331">
        <v>11074</v>
      </c>
      <c r="J331" t="s">
        <v>92</v>
      </c>
      <c r="K331">
        <v>30</v>
      </c>
      <c r="L331">
        <v>30</v>
      </c>
      <c r="M331">
        <v>308.91113622717802</v>
      </c>
    </row>
    <row r="332" spans="7:13">
      <c r="G332" s="7">
        <v>45764</v>
      </c>
      <c r="H332" t="s">
        <v>95</v>
      </c>
      <c r="I332">
        <v>11074</v>
      </c>
      <c r="J332" t="s">
        <v>94</v>
      </c>
      <c r="K332">
        <v>492</v>
      </c>
      <c r="L332">
        <v>137</v>
      </c>
      <c r="M332">
        <v>5981.2252316233198</v>
      </c>
    </row>
    <row r="333" spans="7:13">
      <c r="G333" s="7">
        <v>45765</v>
      </c>
      <c r="H333" t="s">
        <v>91</v>
      </c>
      <c r="I333">
        <v>11075</v>
      </c>
      <c r="K333">
        <v>0</v>
      </c>
      <c r="L333">
        <v>0</v>
      </c>
      <c r="M333">
        <v>0</v>
      </c>
    </row>
    <row r="334" spans="7:13">
      <c r="G334" s="7">
        <v>45765</v>
      </c>
      <c r="H334" t="s">
        <v>91</v>
      </c>
      <c r="I334">
        <v>11075</v>
      </c>
      <c r="J334" t="s">
        <v>92</v>
      </c>
      <c r="K334">
        <v>12</v>
      </c>
      <c r="L334">
        <v>12</v>
      </c>
      <c r="M334">
        <v>38.563602640165001</v>
      </c>
    </row>
    <row r="335" spans="7:13">
      <c r="G335" s="7">
        <v>45765</v>
      </c>
      <c r="H335" t="s">
        <v>91</v>
      </c>
      <c r="I335">
        <v>11075</v>
      </c>
      <c r="J335" t="s">
        <v>93</v>
      </c>
      <c r="K335">
        <v>2</v>
      </c>
      <c r="L335">
        <v>0</v>
      </c>
      <c r="M335">
        <v>0</v>
      </c>
    </row>
    <row r="336" spans="7:13">
      <c r="G336" s="7">
        <v>45765</v>
      </c>
      <c r="H336" t="s">
        <v>91</v>
      </c>
      <c r="I336">
        <v>11075</v>
      </c>
      <c r="J336" t="s">
        <v>94</v>
      </c>
      <c r="K336">
        <v>68</v>
      </c>
      <c r="L336">
        <v>20</v>
      </c>
      <c r="M336">
        <v>236.63390697384301</v>
      </c>
    </row>
    <row r="337" spans="7:13">
      <c r="G337" s="7">
        <v>45765</v>
      </c>
      <c r="H337" t="s">
        <v>91</v>
      </c>
      <c r="I337">
        <v>11076</v>
      </c>
      <c r="K337">
        <v>0</v>
      </c>
      <c r="L337">
        <v>0</v>
      </c>
      <c r="M337">
        <v>0</v>
      </c>
    </row>
    <row r="338" spans="7:13">
      <c r="G338" s="7">
        <v>45765</v>
      </c>
      <c r="H338" t="s">
        <v>91</v>
      </c>
      <c r="I338">
        <v>11076</v>
      </c>
      <c r="J338" t="s">
        <v>92</v>
      </c>
      <c r="K338">
        <v>17</v>
      </c>
      <c r="L338">
        <v>17</v>
      </c>
      <c r="M338">
        <v>67.790872619910701</v>
      </c>
    </row>
    <row r="339" spans="7:13">
      <c r="G339" s="7">
        <v>45765</v>
      </c>
      <c r="H339" t="s">
        <v>91</v>
      </c>
      <c r="I339">
        <v>11076</v>
      </c>
      <c r="J339" t="s">
        <v>93</v>
      </c>
      <c r="K339">
        <v>1</v>
      </c>
      <c r="L339">
        <v>0</v>
      </c>
      <c r="M339">
        <v>0</v>
      </c>
    </row>
    <row r="340" spans="7:13">
      <c r="G340" s="7">
        <v>45765</v>
      </c>
      <c r="H340" t="s">
        <v>91</v>
      </c>
      <c r="I340">
        <v>11076</v>
      </c>
      <c r="J340" t="s">
        <v>94</v>
      </c>
      <c r="K340">
        <v>36</v>
      </c>
      <c r="L340">
        <v>8</v>
      </c>
      <c r="M340">
        <v>75.791306715191396</v>
      </c>
    </row>
    <row r="341" spans="7:13">
      <c r="G341" s="7">
        <v>45765</v>
      </c>
      <c r="H341" t="s">
        <v>91</v>
      </c>
      <c r="I341">
        <v>11077</v>
      </c>
      <c r="K341">
        <v>0</v>
      </c>
      <c r="L341">
        <v>0</v>
      </c>
      <c r="M341">
        <v>0</v>
      </c>
    </row>
    <row r="342" spans="7:13">
      <c r="G342" s="7">
        <v>45765</v>
      </c>
      <c r="H342" t="s">
        <v>91</v>
      </c>
      <c r="I342">
        <v>11077</v>
      </c>
      <c r="J342" t="s">
        <v>92</v>
      </c>
      <c r="K342">
        <v>13</v>
      </c>
      <c r="L342">
        <v>13</v>
      </c>
      <c r="M342">
        <v>49.024131612157802</v>
      </c>
    </row>
    <row r="343" spans="7:13">
      <c r="G343" s="7">
        <v>45765</v>
      </c>
      <c r="H343" t="s">
        <v>91</v>
      </c>
      <c r="I343">
        <v>11077</v>
      </c>
      <c r="J343" t="s">
        <v>93</v>
      </c>
      <c r="K343">
        <v>3</v>
      </c>
      <c r="L343">
        <v>1</v>
      </c>
      <c r="M343">
        <v>8.99</v>
      </c>
    </row>
    <row r="344" spans="7:13">
      <c r="G344" s="7">
        <v>45765</v>
      </c>
      <c r="H344" t="s">
        <v>91</v>
      </c>
      <c r="I344">
        <v>11077</v>
      </c>
      <c r="J344" t="s">
        <v>94</v>
      </c>
      <c r="K344">
        <v>59</v>
      </c>
      <c r="L344">
        <v>17</v>
      </c>
      <c r="M344">
        <v>316.45810995915099</v>
      </c>
    </row>
    <row r="345" spans="7:13">
      <c r="G345" s="7">
        <v>45765</v>
      </c>
      <c r="H345" t="s">
        <v>95</v>
      </c>
      <c r="I345">
        <v>11072</v>
      </c>
      <c r="K345">
        <v>0</v>
      </c>
      <c r="L345">
        <v>0</v>
      </c>
      <c r="M345">
        <v>0</v>
      </c>
    </row>
    <row r="346" spans="7:13">
      <c r="G346" s="7">
        <v>45765</v>
      </c>
      <c r="H346" t="s">
        <v>95</v>
      </c>
      <c r="I346">
        <v>11072</v>
      </c>
      <c r="J346" t="s">
        <v>92</v>
      </c>
      <c r="K346">
        <v>44</v>
      </c>
      <c r="L346">
        <v>44</v>
      </c>
      <c r="M346">
        <v>500.30732737694899</v>
      </c>
    </row>
    <row r="347" spans="7:13">
      <c r="G347" s="7">
        <v>45765</v>
      </c>
      <c r="H347" t="s">
        <v>95</v>
      </c>
      <c r="I347">
        <v>11072</v>
      </c>
      <c r="J347" t="s">
        <v>94</v>
      </c>
      <c r="K347">
        <v>644</v>
      </c>
      <c r="L347">
        <v>175</v>
      </c>
      <c r="M347">
        <v>6849.89133676036</v>
      </c>
    </row>
    <row r="348" spans="7:13">
      <c r="G348" s="7">
        <v>45765</v>
      </c>
      <c r="H348" t="s">
        <v>95</v>
      </c>
      <c r="I348">
        <v>11073</v>
      </c>
      <c r="K348">
        <v>0</v>
      </c>
      <c r="L348">
        <v>0</v>
      </c>
      <c r="M348">
        <v>0</v>
      </c>
    </row>
    <row r="349" spans="7:13">
      <c r="G349" s="7">
        <v>45765</v>
      </c>
      <c r="H349" t="s">
        <v>95</v>
      </c>
      <c r="I349">
        <v>11073</v>
      </c>
      <c r="J349" t="s">
        <v>92</v>
      </c>
      <c r="K349">
        <v>24</v>
      </c>
      <c r="L349">
        <v>24</v>
      </c>
      <c r="M349">
        <v>258.14105113577398</v>
      </c>
    </row>
    <row r="350" spans="7:13">
      <c r="G350" s="7">
        <v>45765</v>
      </c>
      <c r="H350" t="s">
        <v>95</v>
      </c>
      <c r="I350">
        <v>11073</v>
      </c>
      <c r="J350" t="s">
        <v>94</v>
      </c>
      <c r="K350">
        <v>509</v>
      </c>
      <c r="L350">
        <v>137</v>
      </c>
      <c r="M350">
        <v>5991.9924929137596</v>
      </c>
    </row>
    <row r="351" spans="7:13">
      <c r="G351" s="7">
        <v>45765</v>
      </c>
      <c r="H351" t="s">
        <v>95</v>
      </c>
      <c r="I351">
        <v>11074</v>
      </c>
      <c r="K351">
        <v>0</v>
      </c>
      <c r="L351">
        <v>0</v>
      </c>
      <c r="M351">
        <v>0</v>
      </c>
    </row>
    <row r="352" spans="7:13">
      <c r="G352" s="7">
        <v>45765</v>
      </c>
      <c r="H352" t="s">
        <v>95</v>
      </c>
      <c r="I352">
        <v>11074</v>
      </c>
      <c r="J352" t="s">
        <v>92</v>
      </c>
      <c r="K352">
        <v>40</v>
      </c>
      <c r="L352">
        <v>40</v>
      </c>
      <c r="M352">
        <v>406.43814959267399</v>
      </c>
    </row>
    <row r="353" spans="7:13">
      <c r="G353" s="7">
        <v>45765</v>
      </c>
      <c r="H353" t="s">
        <v>95</v>
      </c>
      <c r="I353">
        <v>11074</v>
      </c>
      <c r="J353" t="s">
        <v>94</v>
      </c>
      <c r="K353">
        <v>592</v>
      </c>
      <c r="L353">
        <v>155</v>
      </c>
      <c r="M353">
        <v>6390.6066463949401</v>
      </c>
    </row>
    <row r="354" spans="7:13">
      <c r="G354" s="7">
        <v>45766</v>
      </c>
      <c r="H354" t="s">
        <v>91</v>
      </c>
      <c r="I354">
        <v>11075</v>
      </c>
      <c r="K354">
        <v>0</v>
      </c>
      <c r="L354">
        <v>0</v>
      </c>
      <c r="M354">
        <v>0</v>
      </c>
    </row>
    <row r="355" spans="7:13">
      <c r="G355" s="7">
        <v>45766</v>
      </c>
      <c r="H355" t="s">
        <v>91</v>
      </c>
      <c r="I355">
        <v>11075</v>
      </c>
      <c r="J355" t="s">
        <v>92</v>
      </c>
      <c r="K355">
        <v>13</v>
      </c>
      <c r="L355">
        <v>13</v>
      </c>
      <c r="M355">
        <v>44.4757733797396</v>
      </c>
    </row>
    <row r="356" spans="7:13">
      <c r="G356" s="7">
        <v>45766</v>
      </c>
      <c r="H356" t="s">
        <v>91</v>
      </c>
      <c r="I356">
        <v>11075</v>
      </c>
      <c r="J356" t="s">
        <v>93</v>
      </c>
      <c r="K356">
        <v>3</v>
      </c>
      <c r="L356">
        <v>1</v>
      </c>
      <c r="M356">
        <v>9.7895004537126393</v>
      </c>
    </row>
    <row r="357" spans="7:13">
      <c r="G357" s="7">
        <v>45766</v>
      </c>
      <c r="H357" t="s">
        <v>91</v>
      </c>
      <c r="I357">
        <v>11075</v>
      </c>
      <c r="J357" t="s">
        <v>94</v>
      </c>
      <c r="K357">
        <v>67</v>
      </c>
      <c r="L357">
        <v>20</v>
      </c>
      <c r="M357">
        <v>197.51568458166599</v>
      </c>
    </row>
    <row r="358" spans="7:13">
      <c r="G358" s="7">
        <v>45766</v>
      </c>
      <c r="H358" t="s">
        <v>91</v>
      </c>
      <c r="I358">
        <v>11076</v>
      </c>
      <c r="K358">
        <v>0</v>
      </c>
      <c r="L358">
        <v>0</v>
      </c>
      <c r="M358">
        <v>0</v>
      </c>
    </row>
    <row r="359" spans="7:13">
      <c r="G359" s="7">
        <v>45766</v>
      </c>
      <c r="H359" t="s">
        <v>91</v>
      </c>
      <c r="I359">
        <v>11076</v>
      </c>
      <c r="J359" t="s">
        <v>92</v>
      </c>
      <c r="K359">
        <v>15</v>
      </c>
      <c r="L359">
        <v>15</v>
      </c>
      <c r="M359">
        <v>52.377183812563302</v>
      </c>
    </row>
    <row r="360" spans="7:13">
      <c r="G360" s="7">
        <v>45766</v>
      </c>
      <c r="H360" t="s">
        <v>91</v>
      </c>
      <c r="I360">
        <v>11076</v>
      </c>
      <c r="J360" t="s">
        <v>93</v>
      </c>
      <c r="K360">
        <v>1</v>
      </c>
      <c r="L360">
        <v>1</v>
      </c>
      <c r="M360">
        <v>9.9628938196824492</v>
      </c>
    </row>
    <row r="361" spans="7:13">
      <c r="G361" s="7">
        <v>45766</v>
      </c>
      <c r="H361" t="s">
        <v>91</v>
      </c>
      <c r="I361">
        <v>11076</v>
      </c>
      <c r="J361" t="s">
        <v>94</v>
      </c>
      <c r="K361">
        <v>48</v>
      </c>
      <c r="L361">
        <v>13</v>
      </c>
      <c r="M361">
        <v>176.737982714802</v>
      </c>
    </row>
    <row r="362" spans="7:13">
      <c r="G362" s="7">
        <v>45766</v>
      </c>
      <c r="H362" t="s">
        <v>91</v>
      </c>
      <c r="I362">
        <v>11077</v>
      </c>
      <c r="K362">
        <v>0</v>
      </c>
      <c r="L362">
        <v>0</v>
      </c>
      <c r="M362">
        <v>0</v>
      </c>
    </row>
    <row r="363" spans="7:13">
      <c r="G363" s="7">
        <v>45766</v>
      </c>
      <c r="H363" t="s">
        <v>91</v>
      </c>
      <c r="I363">
        <v>11077</v>
      </c>
      <c r="J363" t="s">
        <v>92</v>
      </c>
      <c r="K363">
        <v>22</v>
      </c>
      <c r="L363">
        <v>22</v>
      </c>
      <c r="M363">
        <v>77.680324453205301</v>
      </c>
    </row>
    <row r="364" spans="7:13">
      <c r="G364" s="7">
        <v>45766</v>
      </c>
      <c r="H364" t="s">
        <v>91</v>
      </c>
      <c r="I364">
        <v>11077</v>
      </c>
      <c r="J364" t="s">
        <v>93</v>
      </c>
      <c r="K364">
        <v>0</v>
      </c>
      <c r="L364">
        <v>0</v>
      </c>
      <c r="M364">
        <v>0</v>
      </c>
    </row>
    <row r="365" spans="7:13">
      <c r="G365" s="7">
        <v>45766</v>
      </c>
      <c r="H365" t="s">
        <v>91</v>
      </c>
      <c r="I365">
        <v>11077</v>
      </c>
      <c r="J365" t="s">
        <v>94</v>
      </c>
      <c r="K365">
        <v>59</v>
      </c>
      <c r="L365">
        <v>16</v>
      </c>
      <c r="M365">
        <v>254.795156347816</v>
      </c>
    </row>
    <row r="366" spans="7:13">
      <c r="G366" s="7">
        <v>45766</v>
      </c>
      <c r="H366" t="s">
        <v>91</v>
      </c>
      <c r="I366">
        <v>11077</v>
      </c>
      <c r="J366" t="s">
        <v>96</v>
      </c>
      <c r="K366">
        <v>0</v>
      </c>
      <c r="L366">
        <v>0</v>
      </c>
      <c r="M366">
        <v>0</v>
      </c>
    </row>
    <row r="367" spans="7:13">
      <c r="G367" s="7">
        <v>45766</v>
      </c>
      <c r="H367" t="s">
        <v>95</v>
      </c>
      <c r="I367">
        <v>11072</v>
      </c>
      <c r="K367">
        <v>0</v>
      </c>
      <c r="L367">
        <v>0</v>
      </c>
      <c r="M367">
        <v>0</v>
      </c>
    </row>
    <row r="368" spans="7:13">
      <c r="G368" s="7">
        <v>45766</v>
      </c>
      <c r="H368" t="s">
        <v>95</v>
      </c>
      <c r="I368">
        <v>11072</v>
      </c>
      <c r="J368" t="s">
        <v>92</v>
      </c>
      <c r="K368">
        <v>41</v>
      </c>
      <c r="L368">
        <v>41</v>
      </c>
      <c r="M368">
        <v>426.17383323448598</v>
      </c>
    </row>
    <row r="369" spans="7:13">
      <c r="G369" s="7">
        <v>45766</v>
      </c>
      <c r="H369" t="s">
        <v>95</v>
      </c>
      <c r="I369">
        <v>11072</v>
      </c>
      <c r="J369" t="s">
        <v>94</v>
      </c>
      <c r="K369">
        <v>868</v>
      </c>
      <c r="L369">
        <v>234</v>
      </c>
      <c r="M369">
        <v>8210.0139180296901</v>
      </c>
    </row>
    <row r="370" spans="7:13">
      <c r="G370" s="7">
        <v>45766</v>
      </c>
      <c r="H370" t="s">
        <v>95</v>
      </c>
      <c r="I370">
        <v>11073</v>
      </c>
      <c r="K370">
        <v>0</v>
      </c>
      <c r="L370">
        <v>0</v>
      </c>
      <c r="M370">
        <v>0</v>
      </c>
    </row>
    <row r="371" spans="7:13">
      <c r="G371" s="7">
        <v>45766</v>
      </c>
      <c r="H371" t="s">
        <v>95</v>
      </c>
      <c r="I371">
        <v>11073</v>
      </c>
      <c r="J371" t="s">
        <v>92</v>
      </c>
      <c r="K371">
        <v>37</v>
      </c>
      <c r="L371">
        <v>37</v>
      </c>
      <c r="M371">
        <v>386.73016374486701</v>
      </c>
    </row>
    <row r="372" spans="7:13">
      <c r="G372" s="7">
        <v>45766</v>
      </c>
      <c r="H372" t="s">
        <v>95</v>
      </c>
      <c r="I372">
        <v>11073</v>
      </c>
      <c r="J372" t="s">
        <v>94</v>
      </c>
      <c r="K372">
        <v>733</v>
      </c>
      <c r="L372">
        <v>177</v>
      </c>
      <c r="M372">
        <v>6854.6478971698398</v>
      </c>
    </row>
    <row r="373" spans="7:13">
      <c r="G373" s="7">
        <v>45766</v>
      </c>
      <c r="H373" t="s">
        <v>95</v>
      </c>
      <c r="I373">
        <v>11074</v>
      </c>
      <c r="K373">
        <v>0</v>
      </c>
      <c r="L373">
        <v>0</v>
      </c>
      <c r="M373">
        <v>0</v>
      </c>
    </row>
    <row r="374" spans="7:13">
      <c r="G374" s="7">
        <v>45766</v>
      </c>
      <c r="H374" t="s">
        <v>95</v>
      </c>
      <c r="I374">
        <v>11074</v>
      </c>
      <c r="J374" t="s">
        <v>92</v>
      </c>
      <c r="K374">
        <v>28</v>
      </c>
      <c r="L374">
        <v>28</v>
      </c>
      <c r="M374">
        <v>255.886996757123</v>
      </c>
    </row>
    <row r="375" spans="7:13">
      <c r="G375" s="7">
        <v>45766</v>
      </c>
      <c r="H375" t="s">
        <v>95</v>
      </c>
      <c r="I375">
        <v>11074</v>
      </c>
      <c r="J375" t="s">
        <v>94</v>
      </c>
      <c r="K375">
        <v>697</v>
      </c>
      <c r="L375">
        <v>155</v>
      </c>
      <c r="M375">
        <v>5767.3912257143302</v>
      </c>
    </row>
    <row r="376" spans="7:13">
      <c r="G376" s="7">
        <v>45767</v>
      </c>
      <c r="H376" t="s">
        <v>91</v>
      </c>
      <c r="I376">
        <v>11075</v>
      </c>
      <c r="K376">
        <v>0</v>
      </c>
      <c r="L376">
        <v>0</v>
      </c>
      <c r="M376">
        <v>0</v>
      </c>
    </row>
    <row r="377" spans="7:13">
      <c r="G377" s="7">
        <v>45767</v>
      </c>
      <c r="H377" t="s">
        <v>91</v>
      </c>
      <c r="I377">
        <v>11075</v>
      </c>
      <c r="J377" t="s">
        <v>92</v>
      </c>
      <c r="K377">
        <v>21</v>
      </c>
      <c r="L377">
        <v>21</v>
      </c>
      <c r="M377">
        <v>79.987640857482504</v>
      </c>
    </row>
    <row r="378" spans="7:13">
      <c r="G378" s="7">
        <v>45767</v>
      </c>
      <c r="H378" t="s">
        <v>91</v>
      </c>
      <c r="I378">
        <v>11075</v>
      </c>
      <c r="J378" t="s">
        <v>93</v>
      </c>
      <c r="K378">
        <v>3</v>
      </c>
      <c r="L378">
        <v>1</v>
      </c>
      <c r="M378">
        <v>9.5299999999999994</v>
      </c>
    </row>
    <row r="379" spans="7:13">
      <c r="G379" s="7">
        <v>45767</v>
      </c>
      <c r="H379" t="s">
        <v>91</v>
      </c>
      <c r="I379">
        <v>11075</v>
      </c>
      <c r="J379" t="s">
        <v>94</v>
      </c>
      <c r="K379">
        <v>103</v>
      </c>
      <c r="L379">
        <v>15</v>
      </c>
      <c r="M379">
        <v>179.76863057723401</v>
      </c>
    </row>
    <row r="380" spans="7:13">
      <c r="G380" s="7">
        <v>45767</v>
      </c>
      <c r="H380" t="s">
        <v>91</v>
      </c>
      <c r="I380">
        <v>11075</v>
      </c>
      <c r="J380" t="s">
        <v>96</v>
      </c>
      <c r="K380">
        <v>0</v>
      </c>
      <c r="L380">
        <v>0</v>
      </c>
      <c r="M380">
        <v>0</v>
      </c>
    </row>
    <row r="381" spans="7:13">
      <c r="G381" s="7">
        <v>45767</v>
      </c>
      <c r="H381" t="s">
        <v>91</v>
      </c>
      <c r="I381">
        <v>11076</v>
      </c>
      <c r="K381">
        <v>0</v>
      </c>
      <c r="L381">
        <v>0</v>
      </c>
      <c r="M381">
        <v>0</v>
      </c>
    </row>
    <row r="382" spans="7:13">
      <c r="G382" s="7">
        <v>45767</v>
      </c>
      <c r="H382" t="s">
        <v>91</v>
      </c>
      <c r="I382">
        <v>11076</v>
      </c>
      <c r="J382" t="s">
        <v>92</v>
      </c>
      <c r="K382">
        <v>16</v>
      </c>
      <c r="L382">
        <v>16</v>
      </c>
      <c r="M382">
        <v>50.8035030391856</v>
      </c>
    </row>
    <row r="383" spans="7:13">
      <c r="G383" s="7">
        <v>45767</v>
      </c>
      <c r="H383" t="s">
        <v>91</v>
      </c>
      <c r="I383">
        <v>11076</v>
      </c>
      <c r="J383" t="s">
        <v>93</v>
      </c>
      <c r="K383">
        <v>2</v>
      </c>
      <c r="L383">
        <v>0</v>
      </c>
      <c r="M383">
        <v>0</v>
      </c>
    </row>
    <row r="384" spans="7:13">
      <c r="G384" s="7">
        <v>45767</v>
      </c>
      <c r="H384" t="s">
        <v>91</v>
      </c>
      <c r="I384">
        <v>11076</v>
      </c>
      <c r="J384" t="s">
        <v>94</v>
      </c>
      <c r="K384">
        <v>52</v>
      </c>
      <c r="L384">
        <v>9</v>
      </c>
      <c r="M384">
        <v>129.392645012972</v>
      </c>
    </row>
    <row r="385" spans="7:13">
      <c r="G385" s="7">
        <v>45767</v>
      </c>
      <c r="H385" t="s">
        <v>91</v>
      </c>
      <c r="I385">
        <v>11077</v>
      </c>
      <c r="K385">
        <v>0</v>
      </c>
      <c r="L385">
        <v>0</v>
      </c>
      <c r="M385">
        <v>0</v>
      </c>
    </row>
    <row r="386" spans="7:13">
      <c r="G386" s="7">
        <v>45767</v>
      </c>
      <c r="H386" t="s">
        <v>91</v>
      </c>
      <c r="I386">
        <v>11077</v>
      </c>
      <c r="J386" t="s">
        <v>92</v>
      </c>
      <c r="K386">
        <v>17</v>
      </c>
      <c r="L386">
        <v>17</v>
      </c>
      <c r="M386">
        <v>57.564076500015801</v>
      </c>
    </row>
    <row r="387" spans="7:13">
      <c r="G387" s="7">
        <v>45767</v>
      </c>
      <c r="H387" t="s">
        <v>91</v>
      </c>
      <c r="I387">
        <v>11077</v>
      </c>
      <c r="J387" t="s">
        <v>93</v>
      </c>
      <c r="K387">
        <v>1</v>
      </c>
      <c r="L387">
        <v>0</v>
      </c>
      <c r="M387">
        <v>0</v>
      </c>
    </row>
    <row r="388" spans="7:13">
      <c r="G388" s="7">
        <v>45767</v>
      </c>
      <c r="H388" t="s">
        <v>91</v>
      </c>
      <c r="I388">
        <v>11077</v>
      </c>
      <c r="J388" t="s">
        <v>94</v>
      </c>
      <c r="K388">
        <v>74</v>
      </c>
      <c r="L388">
        <v>17</v>
      </c>
      <c r="M388">
        <v>213.87695716232699</v>
      </c>
    </row>
    <row r="389" spans="7:13">
      <c r="G389" s="7">
        <v>45767</v>
      </c>
      <c r="H389" t="s">
        <v>95</v>
      </c>
      <c r="I389">
        <v>11072</v>
      </c>
      <c r="K389">
        <v>0</v>
      </c>
      <c r="L389">
        <v>0</v>
      </c>
      <c r="M389">
        <v>0</v>
      </c>
    </row>
    <row r="390" spans="7:13">
      <c r="G390" s="7">
        <v>45767</v>
      </c>
      <c r="H390" t="s">
        <v>95</v>
      </c>
      <c r="I390">
        <v>11072</v>
      </c>
      <c r="J390" t="s">
        <v>92</v>
      </c>
      <c r="K390">
        <v>44</v>
      </c>
      <c r="L390">
        <v>44</v>
      </c>
      <c r="M390">
        <v>496.52122947668198</v>
      </c>
    </row>
    <row r="391" spans="7:13">
      <c r="G391" s="7">
        <v>45767</v>
      </c>
      <c r="H391" t="s">
        <v>95</v>
      </c>
      <c r="I391">
        <v>11072</v>
      </c>
      <c r="J391" t="s">
        <v>94</v>
      </c>
      <c r="K391">
        <v>1094</v>
      </c>
      <c r="L391">
        <v>261</v>
      </c>
      <c r="M391">
        <v>10537.797572732199</v>
      </c>
    </row>
    <row r="392" spans="7:13">
      <c r="G392" s="7">
        <v>45767</v>
      </c>
      <c r="H392" t="s">
        <v>95</v>
      </c>
      <c r="I392">
        <v>11073</v>
      </c>
      <c r="K392">
        <v>0</v>
      </c>
      <c r="L392">
        <v>0</v>
      </c>
      <c r="M392">
        <v>0</v>
      </c>
    </row>
    <row r="393" spans="7:13">
      <c r="G393" s="7">
        <v>45767</v>
      </c>
      <c r="H393" t="s">
        <v>95</v>
      </c>
      <c r="I393">
        <v>11073</v>
      </c>
      <c r="J393" t="s">
        <v>92</v>
      </c>
      <c r="K393">
        <v>41</v>
      </c>
      <c r="L393">
        <v>41</v>
      </c>
      <c r="M393">
        <v>398.83666906471097</v>
      </c>
    </row>
    <row r="394" spans="7:13">
      <c r="G394" s="7">
        <v>45767</v>
      </c>
      <c r="H394" t="s">
        <v>95</v>
      </c>
      <c r="I394">
        <v>11073</v>
      </c>
      <c r="J394" t="s">
        <v>94</v>
      </c>
      <c r="K394">
        <v>886</v>
      </c>
      <c r="L394">
        <v>214</v>
      </c>
      <c r="M394">
        <v>7828.2068158688899</v>
      </c>
    </row>
    <row r="395" spans="7:13">
      <c r="G395" s="7">
        <v>45767</v>
      </c>
      <c r="H395" t="s">
        <v>95</v>
      </c>
      <c r="I395">
        <v>11074</v>
      </c>
      <c r="K395">
        <v>0</v>
      </c>
      <c r="L395">
        <v>0</v>
      </c>
      <c r="M395">
        <v>0</v>
      </c>
    </row>
    <row r="396" spans="7:13">
      <c r="G396" s="7">
        <v>45767</v>
      </c>
      <c r="H396" t="s">
        <v>95</v>
      </c>
      <c r="I396">
        <v>11074</v>
      </c>
      <c r="J396" t="s">
        <v>92</v>
      </c>
      <c r="K396">
        <v>50</v>
      </c>
      <c r="L396">
        <v>50</v>
      </c>
      <c r="M396">
        <v>513.51346610690405</v>
      </c>
    </row>
    <row r="397" spans="7:13">
      <c r="G397" s="7">
        <v>45767</v>
      </c>
      <c r="H397" t="s">
        <v>95</v>
      </c>
      <c r="I397">
        <v>11074</v>
      </c>
      <c r="J397" t="s">
        <v>94</v>
      </c>
      <c r="K397">
        <v>877</v>
      </c>
      <c r="L397">
        <v>187</v>
      </c>
      <c r="M397">
        <v>6780.5257131976596</v>
      </c>
    </row>
  </sheetData>
  <mergeCells count="1">
    <mergeCell ref="C1:C1048576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A6C5-C058-2842-B890-6B954BB418E0}">
  <dimension ref="A1:AB80"/>
  <sheetViews>
    <sheetView topLeftCell="A40" workbookViewId="0">
      <selection activeCell="E57" sqref="E57"/>
    </sheetView>
  </sheetViews>
  <sheetFormatPr baseColWidth="10" defaultRowHeight="16"/>
  <cols>
    <col min="3" max="3" width="15.6640625" customWidth="1"/>
  </cols>
  <sheetData>
    <row r="1" spans="1:28">
      <c r="A1" t="s">
        <v>139</v>
      </c>
      <c r="B1" s="28" t="s">
        <v>116</v>
      </c>
      <c r="C1" s="28" t="s">
        <v>117</v>
      </c>
      <c r="D1" s="28" t="s">
        <v>118</v>
      </c>
      <c r="E1" s="28" t="s">
        <v>119</v>
      </c>
      <c r="F1" s="28" t="s">
        <v>120</v>
      </c>
      <c r="G1" s="28" t="s">
        <v>121</v>
      </c>
      <c r="H1" s="28" t="s">
        <v>122</v>
      </c>
      <c r="I1" s="28" t="s">
        <v>123</v>
      </c>
      <c r="J1" s="28" t="s">
        <v>124</v>
      </c>
      <c r="K1" s="28" t="s">
        <v>125</v>
      </c>
      <c r="L1" s="28" t="s">
        <v>126</v>
      </c>
      <c r="M1" s="28" t="s">
        <v>127</v>
      </c>
      <c r="N1" s="28" t="s">
        <v>128</v>
      </c>
      <c r="O1" s="28" t="s">
        <v>129</v>
      </c>
      <c r="P1" s="28" t="s">
        <v>130</v>
      </c>
      <c r="Q1" s="28" t="s">
        <v>131</v>
      </c>
      <c r="R1" s="28" t="s">
        <v>132</v>
      </c>
      <c r="S1" s="28" t="s">
        <v>133</v>
      </c>
      <c r="T1" s="28" t="s">
        <v>134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</row>
    <row r="2" spans="1:28">
      <c r="B2" s="29">
        <v>44562</v>
      </c>
      <c r="C2" s="28">
        <v>20533</v>
      </c>
      <c r="D2" s="28">
        <v>0.47616032730000002</v>
      </c>
      <c r="E2" s="28">
        <v>0.3733015146</v>
      </c>
      <c r="F2" s="28">
        <v>0.27502069839999999</v>
      </c>
      <c r="G2" s="28">
        <v>0.23377002869999999</v>
      </c>
      <c r="H2" s="28">
        <v>0.19232455070000001</v>
      </c>
      <c r="I2" s="28">
        <v>0.1696780792</v>
      </c>
      <c r="J2" s="28">
        <v>0.14708030969999999</v>
      </c>
      <c r="K2" s="28">
        <v>0.12638192179999999</v>
      </c>
      <c r="L2" s="28">
        <v>0.1157648663</v>
      </c>
      <c r="M2" s="28">
        <v>0.1015438562</v>
      </c>
      <c r="N2" s="28">
        <v>9.4335947010000004E-2</v>
      </c>
      <c r="O2" s="28">
        <v>8.5764379289999998E-2</v>
      </c>
      <c r="P2" s="28">
        <v>7.2566113089999995E-2</v>
      </c>
      <c r="Q2" s="28">
        <v>7.3783665319999997E-2</v>
      </c>
      <c r="R2" s="28">
        <v>6.7842010420000001E-2</v>
      </c>
      <c r="S2" s="28">
        <v>6.4335459989999996E-2</v>
      </c>
      <c r="T2" s="28">
        <v>5.878342181E-2</v>
      </c>
      <c r="U2">
        <v>5.6299615249999997E-2</v>
      </c>
      <c r="V2">
        <v>5.2257341839999999E-2</v>
      </c>
      <c r="W2">
        <v>4.7922855889999998E-2</v>
      </c>
      <c r="X2">
        <v>4.6169580680000002E-2</v>
      </c>
      <c r="Y2">
        <v>4.2614328149999998E-2</v>
      </c>
      <c r="Z2">
        <v>4.0276627869999998E-2</v>
      </c>
      <c r="AA2">
        <v>3.7938927579999997E-2</v>
      </c>
      <c r="AB2">
        <v>3.3994058350000002E-2</v>
      </c>
    </row>
    <row r="3" spans="1:28">
      <c r="B3" s="29">
        <v>44593</v>
      </c>
      <c r="C3" s="28">
        <v>18020</v>
      </c>
      <c r="D3" s="28">
        <v>0.52264150939999998</v>
      </c>
      <c r="E3" s="28">
        <v>0.37319644839999999</v>
      </c>
      <c r="F3" s="28">
        <v>0.2947280799</v>
      </c>
      <c r="G3" s="28">
        <v>0.24256381799999999</v>
      </c>
      <c r="H3" s="28">
        <v>0.20699223089999999</v>
      </c>
      <c r="I3" s="28">
        <v>0.1780799112</v>
      </c>
      <c r="J3" s="28">
        <v>0.1544395117</v>
      </c>
      <c r="K3" s="28">
        <v>0.13779134300000001</v>
      </c>
      <c r="L3" s="28">
        <v>0.12219755829999999</v>
      </c>
      <c r="M3" s="28">
        <v>0.10965593780000001</v>
      </c>
      <c r="N3" s="28">
        <v>9.9500554939999999E-2</v>
      </c>
      <c r="O3" s="28">
        <v>8.923418424E-2</v>
      </c>
      <c r="P3" s="28">
        <v>8.3296337400000003E-2</v>
      </c>
      <c r="Q3" s="28">
        <v>7.6748057709999998E-2</v>
      </c>
      <c r="R3" s="28">
        <v>7.2142064369999995E-2</v>
      </c>
      <c r="S3" s="28">
        <v>6.5982241950000006E-2</v>
      </c>
      <c r="T3" s="28">
        <v>6.2930077690000003E-2</v>
      </c>
      <c r="U3">
        <v>5.887902331E-2</v>
      </c>
      <c r="V3">
        <v>5.4439511650000001E-2</v>
      </c>
      <c r="W3">
        <v>5.1442841289999999E-2</v>
      </c>
      <c r="X3">
        <v>4.8113207550000002E-2</v>
      </c>
      <c r="Y3">
        <v>4.5338512759999998E-2</v>
      </c>
      <c r="Z3">
        <v>4.2175360709999998E-2</v>
      </c>
      <c r="AA3">
        <v>3.8956714759999997E-2</v>
      </c>
      <c r="AB3">
        <v>3.7569367370000002E-2</v>
      </c>
    </row>
    <row r="4" spans="1:28">
      <c r="B4" s="29">
        <v>44621</v>
      </c>
      <c r="C4" s="28">
        <v>19041</v>
      </c>
      <c r="D4" s="28">
        <v>0.5127356756</v>
      </c>
      <c r="E4" s="28">
        <v>0.38774224039999999</v>
      </c>
      <c r="F4" s="28">
        <v>0.29741085029999997</v>
      </c>
      <c r="G4" s="28">
        <v>0.25145738140000001</v>
      </c>
      <c r="H4" s="28">
        <v>0.20960033610000001</v>
      </c>
      <c r="I4" s="28">
        <v>0.1764613203</v>
      </c>
      <c r="J4" s="28">
        <v>0.15587416630000001</v>
      </c>
      <c r="K4" s="28">
        <v>0.13512945749999999</v>
      </c>
      <c r="L4" s="28">
        <v>0.1219473767</v>
      </c>
      <c r="M4" s="28">
        <v>0.1070847119</v>
      </c>
      <c r="N4" s="28">
        <v>8.9228506910000005E-2</v>
      </c>
      <c r="O4" s="28">
        <v>8.9963762409999995E-2</v>
      </c>
      <c r="P4" s="28">
        <v>8.0878105140000003E-2</v>
      </c>
      <c r="Q4" s="28">
        <v>7.6256499130000002E-2</v>
      </c>
      <c r="R4" s="28">
        <v>7.0479491620000001E-2</v>
      </c>
      <c r="S4" s="28">
        <v>6.6698177619999993E-2</v>
      </c>
      <c r="T4" s="28">
        <v>6.2024053359999998E-2</v>
      </c>
      <c r="U4">
        <v>5.7717556849999997E-2</v>
      </c>
      <c r="V4">
        <v>5.5196680849999999E-2</v>
      </c>
      <c r="W4">
        <v>5.1572921590000001E-2</v>
      </c>
      <c r="X4">
        <v>4.9997374089999998E-2</v>
      </c>
      <c r="Y4">
        <v>4.7686571079999997E-2</v>
      </c>
      <c r="Z4">
        <v>4.3905257080000003E-2</v>
      </c>
      <c r="AA4">
        <v>4.2434746070000001E-2</v>
      </c>
      <c r="AB4">
        <v>4.0018906569999999E-2</v>
      </c>
    </row>
    <row r="5" spans="1:28">
      <c r="B5" s="29">
        <v>44652</v>
      </c>
      <c r="C5" s="28">
        <v>19115</v>
      </c>
      <c r="D5" s="28">
        <v>0.52791001829999995</v>
      </c>
      <c r="E5" s="28">
        <v>0.37881245099999999</v>
      </c>
      <c r="F5" s="28">
        <v>0.30300810880000001</v>
      </c>
      <c r="G5" s="28">
        <v>0.2446246403</v>
      </c>
      <c r="H5" s="28">
        <v>0.204917604</v>
      </c>
      <c r="I5" s="28">
        <v>0.1772430029</v>
      </c>
      <c r="J5" s="28">
        <v>0.15307350250000001</v>
      </c>
      <c r="K5" s="28">
        <v>0.13675124250000001</v>
      </c>
      <c r="L5" s="28">
        <v>0.1207428721</v>
      </c>
      <c r="M5" s="28">
        <v>0.10285116399999999</v>
      </c>
      <c r="N5" s="28">
        <v>0.1001307873</v>
      </c>
      <c r="O5" s="28">
        <v>9.0923358620000005E-2</v>
      </c>
      <c r="P5" s="28">
        <v>8.4017787080000003E-2</v>
      </c>
      <c r="Q5" s="28">
        <v>7.8420088939999993E-2</v>
      </c>
      <c r="R5" s="28">
        <v>7.3136280410000004E-2</v>
      </c>
      <c r="S5" s="28">
        <v>6.696311797E-2</v>
      </c>
      <c r="T5" s="28">
        <v>6.1470049700000001E-2</v>
      </c>
      <c r="U5">
        <v>5.73894847E-2</v>
      </c>
      <c r="V5">
        <v>5.3465864500000002E-2</v>
      </c>
      <c r="W5">
        <v>5.06931729E-2</v>
      </c>
      <c r="X5">
        <v>4.6717237770000003E-2</v>
      </c>
      <c r="Y5">
        <v>4.2845932509999997E-2</v>
      </c>
      <c r="Z5">
        <v>4.17996338E-2</v>
      </c>
      <c r="AA5">
        <v>3.855610777E-2</v>
      </c>
      <c r="AB5">
        <v>3.6777399949999998E-2</v>
      </c>
    </row>
    <row r="6" spans="1:28">
      <c r="B6" s="29">
        <v>44682</v>
      </c>
      <c r="C6" s="28">
        <v>19990</v>
      </c>
      <c r="D6" s="28">
        <v>0.49714857429999998</v>
      </c>
      <c r="E6" s="28">
        <v>0.37863931969999998</v>
      </c>
      <c r="F6" s="28">
        <v>0.29124562279999999</v>
      </c>
      <c r="G6" s="28">
        <v>0.22571285639999999</v>
      </c>
      <c r="H6" s="28">
        <v>0.20125062530000001</v>
      </c>
      <c r="I6" s="28">
        <v>0.1635817909</v>
      </c>
      <c r="J6" s="28">
        <v>0.14957478739999999</v>
      </c>
      <c r="K6" s="28">
        <v>0.1302651326</v>
      </c>
      <c r="L6" s="28">
        <v>0.1045022511</v>
      </c>
      <c r="M6" s="28">
        <v>0.1067033517</v>
      </c>
      <c r="N6" s="28">
        <v>9.2096048020000001E-2</v>
      </c>
      <c r="O6" s="28">
        <v>8.8094047019999996E-2</v>
      </c>
      <c r="P6" s="28">
        <v>7.7538769379999997E-2</v>
      </c>
      <c r="Q6" s="28">
        <v>7.528764382E-2</v>
      </c>
      <c r="R6" s="28">
        <v>6.9434717359999995E-2</v>
      </c>
      <c r="S6" s="28">
        <v>6.3281640819999999E-2</v>
      </c>
      <c r="T6" s="28">
        <v>6.0980490249999998E-2</v>
      </c>
      <c r="U6">
        <v>5.4927463730000001E-2</v>
      </c>
      <c r="V6">
        <v>5.382691346E-2</v>
      </c>
      <c r="W6">
        <v>4.9874937469999998E-2</v>
      </c>
      <c r="X6">
        <v>4.4222111059999999E-2</v>
      </c>
      <c r="Y6">
        <v>4.4322161079999998E-2</v>
      </c>
      <c r="Z6" s="48">
        <v>4.0920460229999997E-2</v>
      </c>
      <c r="AA6">
        <v>3.9919959980000003E-2</v>
      </c>
      <c r="AB6">
        <v>3.6418209100000001E-2</v>
      </c>
    </row>
    <row r="7" spans="1:28">
      <c r="B7" s="29">
        <v>44713</v>
      </c>
      <c r="C7" s="28">
        <v>16900</v>
      </c>
      <c r="D7" s="28">
        <v>0.52011834320000006</v>
      </c>
      <c r="E7" s="28">
        <v>0.37218934910000001</v>
      </c>
      <c r="F7" s="28">
        <v>0.28982248519999998</v>
      </c>
      <c r="G7" s="28">
        <v>0.24017751479999999</v>
      </c>
      <c r="H7" s="28">
        <v>0.2023668639</v>
      </c>
      <c r="I7" s="28">
        <v>0.1736094675</v>
      </c>
      <c r="J7" s="28">
        <v>0.14893491119999999</v>
      </c>
      <c r="K7" s="28">
        <v>0.124852071</v>
      </c>
      <c r="L7" s="28">
        <v>0.1177514793</v>
      </c>
      <c r="M7" s="28">
        <v>0.1061538462</v>
      </c>
      <c r="N7" s="28">
        <v>9.6745562130000004E-2</v>
      </c>
      <c r="O7" s="28">
        <v>8.8284023670000003E-2</v>
      </c>
      <c r="P7" s="28">
        <v>8.0769230770000006E-2</v>
      </c>
      <c r="Q7" s="28">
        <v>7.4792899410000002E-2</v>
      </c>
      <c r="R7" s="28">
        <v>6.8875739640000003E-2</v>
      </c>
      <c r="S7" s="28">
        <v>6.3550295859999995E-2</v>
      </c>
      <c r="T7" s="28">
        <v>5.9171597630000003E-2</v>
      </c>
      <c r="U7">
        <v>5.6390532540000003E-2</v>
      </c>
      <c r="V7">
        <v>5.284023669E-2</v>
      </c>
      <c r="W7">
        <v>4.816568047E-2</v>
      </c>
      <c r="X7">
        <v>4.6568047340000002E-2</v>
      </c>
      <c r="Y7" s="48">
        <v>4.2781065090000001E-2</v>
      </c>
      <c r="Z7" s="48">
        <v>4.0828402370000003E-2</v>
      </c>
      <c r="AA7">
        <v>3.792899408E-2</v>
      </c>
      <c r="AB7">
        <v>3.6449704139999997E-2</v>
      </c>
    </row>
    <row r="8" spans="1:28">
      <c r="B8" s="29">
        <v>44743</v>
      </c>
      <c r="C8" s="28">
        <v>45247</v>
      </c>
      <c r="D8" s="28">
        <v>0.56909850380000004</v>
      </c>
      <c r="E8" s="28">
        <v>0.417530444</v>
      </c>
      <c r="F8" s="28">
        <v>0.35675293390000001</v>
      </c>
      <c r="G8" s="28">
        <v>0.28872632440000001</v>
      </c>
      <c r="H8" s="28">
        <v>0.2643711185</v>
      </c>
      <c r="I8" s="28">
        <v>0.23166176760000001</v>
      </c>
      <c r="J8" s="28">
        <v>0.19148230820000001</v>
      </c>
      <c r="K8" s="28">
        <v>0.18955952879999999</v>
      </c>
      <c r="L8" s="28">
        <v>0.16699449690000001</v>
      </c>
      <c r="M8" s="28">
        <v>0.15976749840000001</v>
      </c>
      <c r="N8" s="28">
        <v>0.14270559369999999</v>
      </c>
      <c r="O8" s="28">
        <v>0.1361195217</v>
      </c>
      <c r="P8" s="28">
        <v>0.12677083559999999</v>
      </c>
      <c r="Q8" s="28">
        <v>0.11627290210000001</v>
      </c>
      <c r="R8" s="28">
        <v>0.11401860900000001</v>
      </c>
      <c r="S8" s="28">
        <v>0.1041616019</v>
      </c>
      <c r="T8" s="28">
        <v>0.1013105841</v>
      </c>
      <c r="U8">
        <v>9.5299135849999994E-2</v>
      </c>
      <c r="V8">
        <v>8.4845404119999995E-2</v>
      </c>
      <c r="W8">
        <v>8.3961367600000003E-2</v>
      </c>
      <c r="X8" s="48">
        <v>7.6889075520000003E-2</v>
      </c>
      <c r="Y8" s="48">
        <v>7.5629323489999997E-2</v>
      </c>
      <c r="Z8" s="48">
        <v>7.0413508080000006E-2</v>
      </c>
      <c r="AA8">
        <v>6.9507370649999997E-2</v>
      </c>
      <c r="AB8">
        <v>6.6943664769999994E-2</v>
      </c>
    </row>
    <row r="9" spans="1:28">
      <c r="B9" s="29">
        <v>44774</v>
      </c>
      <c r="C9" s="28">
        <v>34761</v>
      </c>
      <c r="D9" s="28">
        <v>0.52656712979999998</v>
      </c>
      <c r="E9" s="28">
        <v>0.39797474179999998</v>
      </c>
      <c r="F9" s="28">
        <v>0.3099738212</v>
      </c>
      <c r="G9" s="28">
        <v>0.26400276169999998</v>
      </c>
      <c r="H9" s="28">
        <v>0.22257702600000001</v>
      </c>
      <c r="I9" s="28">
        <v>0.1800005754</v>
      </c>
      <c r="J9" s="28">
        <v>0.17289491100000001</v>
      </c>
      <c r="K9" s="28">
        <v>0.15088748890000001</v>
      </c>
      <c r="L9" s="28">
        <v>0.1390351256</v>
      </c>
      <c r="M9" s="28">
        <v>0.1252553149</v>
      </c>
      <c r="N9" s="28">
        <v>0.1156180777</v>
      </c>
      <c r="O9" s="28">
        <v>0.1061822157</v>
      </c>
      <c r="P9" s="28">
        <v>9.8127211529999994E-2</v>
      </c>
      <c r="Q9" s="28">
        <v>9.2172262020000006E-2</v>
      </c>
      <c r="R9" s="28">
        <v>8.4980294009999999E-2</v>
      </c>
      <c r="S9" s="28">
        <v>8.1930899569999993E-2</v>
      </c>
      <c r="T9" s="28">
        <v>7.6867754090000004E-2</v>
      </c>
      <c r="U9">
        <v>6.9618250340000007E-2</v>
      </c>
      <c r="V9">
        <v>6.7892178019999999E-2</v>
      </c>
      <c r="W9" s="48">
        <v>6.3950979549999995E-2</v>
      </c>
      <c r="X9" s="48">
        <v>6.1448174680000002E-2</v>
      </c>
      <c r="Y9" s="48">
        <v>5.7852190669999998E-2</v>
      </c>
      <c r="Z9" s="48">
        <v>5.5665832399999997E-2</v>
      </c>
      <c r="AA9">
        <v>5.3105491790000001E-2</v>
      </c>
      <c r="AB9">
        <v>5.0775294149999997E-2</v>
      </c>
    </row>
    <row r="10" spans="1:28">
      <c r="B10" s="29">
        <v>44805</v>
      </c>
      <c r="C10" s="28">
        <v>29475</v>
      </c>
      <c r="D10" s="28">
        <v>0.53513146730000005</v>
      </c>
      <c r="E10" s="28">
        <v>0.38547921969999999</v>
      </c>
      <c r="F10" s="28">
        <v>0.3083630195</v>
      </c>
      <c r="G10" s="28">
        <v>0.25245122990000002</v>
      </c>
      <c r="H10" s="28">
        <v>0.2033248516</v>
      </c>
      <c r="I10" s="28">
        <v>0.1873112807</v>
      </c>
      <c r="J10" s="28">
        <v>0.1644444444</v>
      </c>
      <c r="K10" s="28">
        <v>0.14720949959999999</v>
      </c>
      <c r="L10" s="28">
        <v>0.132553011</v>
      </c>
      <c r="M10" s="28">
        <v>0.12057676000000001</v>
      </c>
      <c r="N10" s="28">
        <v>0.108634436</v>
      </c>
      <c r="O10" s="28">
        <v>9.933842239E-2</v>
      </c>
      <c r="P10" s="28">
        <v>9.2858354539999993E-2</v>
      </c>
      <c r="Q10" s="28">
        <v>8.6072943169999999E-2</v>
      </c>
      <c r="R10" s="28">
        <v>8.200169635E-2</v>
      </c>
      <c r="S10" s="28">
        <v>7.7082273110000002E-2</v>
      </c>
      <c r="T10" s="28">
        <v>6.9957591180000001E-2</v>
      </c>
      <c r="U10">
        <v>6.7209499579999998E-2</v>
      </c>
      <c r="V10" s="48">
        <v>6.3511450380000001E-2</v>
      </c>
      <c r="W10" s="48">
        <v>6.0390161150000003E-2</v>
      </c>
      <c r="X10" s="48">
        <v>5.6488549620000002E-2</v>
      </c>
      <c r="Y10" s="48">
        <v>5.3502968620000001E-2</v>
      </c>
      <c r="Z10" s="48">
        <v>5.051738762E-2</v>
      </c>
      <c r="AA10">
        <v>4.9058524169999999E-2</v>
      </c>
      <c r="AB10">
        <v>4.7056827820000001E-2</v>
      </c>
    </row>
    <row r="11" spans="1:28">
      <c r="B11" s="29">
        <v>44835</v>
      </c>
      <c r="C11" s="28">
        <v>31544</v>
      </c>
      <c r="D11" s="28">
        <v>0.49771747399999999</v>
      </c>
      <c r="E11" s="28">
        <v>0.38527136699999998</v>
      </c>
      <c r="F11" s="28">
        <v>0.29986685270000002</v>
      </c>
      <c r="G11" s="28">
        <v>0.22492391580000001</v>
      </c>
      <c r="H11" s="28">
        <v>0.21649125029999999</v>
      </c>
      <c r="I11" s="28">
        <v>0.18073167640000001</v>
      </c>
      <c r="J11" s="28">
        <v>0.16510271369999999</v>
      </c>
      <c r="K11" s="28">
        <v>0.143260208</v>
      </c>
      <c r="L11" s="28">
        <v>0.1340667005</v>
      </c>
      <c r="M11" s="28">
        <v>0.1211640883</v>
      </c>
      <c r="N11" s="28">
        <v>0.1075323358</v>
      </c>
      <c r="O11" s="28">
        <v>0.102428354</v>
      </c>
      <c r="P11" s="28">
        <v>9.0445092569999996E-2</v>
      </c>
      <c r="Q11" s="28">
        <v>8.8352777069999999E-2</v>
      </c>
      <c r="R11" s="28">
        <v>8.1251585089999995E-2</v>
      </c>
      <c r="S11" s="28">
        <v>7.1043621609999996E-2</v>
      </c>
      <c r="T11" s="28">
        <v>7.0980218110000007E-2</v>
      </c>
      <c r="U11" s="48">
        <v>6.438625412E-2</v>
      </c>
      <c r="V11" s="48">
        <v>6.2325640379999998E-2</v>
      </c>
      <c r="W11" s="48">
        <v>5.7443570889999997E-2</v>
      </c>
      <c r="X11" s="48">
        <v>5.6334009640000002E-2</v>
      </c>
      <c r="Y11" s="48">
        <v>5.3417448639999997E-2</v>
      </c>
      <c r="Z11" s="48">
        <v>4.9486431650000003E-2</v>
      </c>
      <c r="AA11">
        <v>4.8915800150000001E-2</v>
      </c>
      <c r="AB11">
        <v>4.4762870910000002E-2</v>
      </c>
    </row>
    <row r="12" spans="1:28">
      <c r="B12" s="29">
        <v>44866</v>
      </c>
      <c r="C12" s="28">
        <v>24073</v>
      </c>
      <c r="D12" s="28">
        <v>0.52253562080000004</v>
      </c>
      <c r="E12" s="28">
        <v>0.37328126950000001</v>
      </c>
      <c r="F12" s="28">
        <v>0.27856935160000001</v>
      </c>
      <c r="G12" s="28">
        <v>0.24496323680000001</v>
      </c>
      <c r="H12" s="28">
        <v>0.2071615503</v>
      </c>
      <c r="I12" s="28">
        <v>0.1809080713</v>
      </c>
      <c r="J12" s="28">
        <v>0.15943172850000001</v>
      </c>
      <c r="K12" s="28">
        <v>0.14260790100000001</v>
      </c>
      <c r="L12" s="28">
        <v>0.127445686</v>
      </c>
      <c r="M12" s="28">
        <v>0.11598055910000001</v>
      </c>
      <c r="N12" s="28">
        <v>0.10684168989999999</v>
      </c>
      <c r="O12" s="28">
        <v>9.7785901219999999E-2</v>
      </c>
      <c r="P12" s="28">
        <v>9.1845636189999996E-2</v>
      </c>
      <c r="Q12" s="28">
        <v>8.5614588960000002E-2</v>
      </c>
      <c r="R12" s="28">
        <v>7.6849582520000001E-2</v>
      </c>
      <c r="S12" s="28">
        <v>7.3609437959999996E-2</v>
      </c>
      <c r="T12" s="40">
        <v>6.808457608E-2</v>
      </c>
      <c r="U12" s="48">
        <v>6.4221326800000006E-2</v>
      </c>
      <c r="V12" s="48">
        <v>6.0524238770000002E-2</v>
      </c>
      <c r="W12" s="48">
        <v>5.7076392640000001E-2</v>
      </c>
      <c r="X12" s="48">
        <v>5.3628546499999999E-2</v>
      </c>
      <c r="Y12" s="48">
        <v>5.1053046980000003E-2</v>
      </c>
      <c r="Z12" s="48">
        <v>4.901757155E-2</v>
      </c>
      <c r="AA12">
        <v>4.6732854240000003E-2</v>
      </c>
      <c r="AB12">
        <v>4.4655838490000002E-2</v>
      </c>
    </row>
    <row r="13" spans="1:28">
      <c r="B13" s="29">
        <v>44896</v>
      </c>
      <c r="C13" s="28">
        <v>28576</v>
      </c>
      <c r="D13" s="28">
        <v>0.51130319150000003</v>
      </c>
      <c r="E13" s="28">
        <v>0.34266517359999998</v>
      </c>
      <c r="F13" s="28">
        <v>0.2976973684</v>
      </c>
      <c r="G13" s="28">
        <v>0.23656215010000001</v>
      </c>
      <c r="H13" s="28">
        <v>0.20608202689999999</v>
      </c>
      <c r="I13" s="28">
        <v>0.17563689809999999</v>
      </c>
      <c r="J13" s="28">
        <v>0.15684490479999999</v>
      </c>
      <c r="K13" s="28">
        <v>0.13766797310000001</v>
      </c>
      <c r="L13" s="28">
        <v>0.12136058230000001</v>
      </c>
      <c r="M13" s="28">
        <v>0.1119120941</v>
      </c>
      <c r="N13" s="28">
        <v>9.9419092949999996E-2</v>
      </c>
      <c r="O13" s="28">
        <v>9.4659854419999995E-2</v>
      </c>
      <c r="P13" s="28">
        <v>8.6191209409999997E-2</v>
      </c>
      <c r="Q13" s="28">
        <v>7.6427771559999996E-2</v>
      </c>
      <c r="R13" s="28">
        <v>7.3978163489999998E-2</v>
      </c>
      <c r="S13" s="40">
        <v>6.7084266520000005E-2</v>
      </c>
      <c r="T13" s="40">
        <v>6.5089585670000005E-2</v>
      </c>
      <c r="U13" s="48">
        <v>6.0050391940000003E-2</v>
      </c>
      <c r="V13" s="48">
        <v>5.812569989E-2</v>
      </c>
      <c r="W13" s="48">
        <v>5.5641097420000001E-2</v>
      </c>
      <c r="X13" s="48">
        <v>5.175671892E-2</v>
      </c>
      <c r="Y13" s="48">
        <v>5.0321948489999997E-2</v>
      </c>
      <c r="Z13" s="48">
        <v>4.6892497200000001E-2</v>
      </c>
      <c r="AA13">
        <v>4.6052631580000003E-2</v>
      </c>
      <c r="AB13">
        <v>4.3533034710000001E-2</v>
      </c>
    </row>
    <row r="14" spans="1:28">
      <c r="B14" s="29">
        <v>44927</v>
      </c>
      <c r="C14" s="28">
        <v>26732</v>
      </c>
      <c r="D14" s="28">
        <v>0.47527308099999999</v>
      </c>
      <c r="E14" s="28">
        <v>0.38620380069999999</v>
      </c>
      <c r="F14" s="28">
        <v>0.29088732610000001</v>
      </c>
      <c r="G14" s="28">
        <v>0.24457578930000001</v>
      </c>
      <c r="H14" s="28">
        <v>0.20664372289999999</v>
      </c>
      <c r="I14" s="28">
        <v>0.18135567859999999</v>
      </c>
      <c r="J14" s="28">
        <v>0.1573395182</v>
      </c>
      <c r="K14" s="28">
        <v>0.13856052669999999</v>
      </c>
      <c r="L14" s="28">
        <v>0.12621577140000001</v>
      </c>
      <c r="M14" s="28">
        <v>0.11200059850000001</v>
      </c>
      <c r="N14" s="28">
        <v>0.1053793207</v>
      </c>
      <c r="O14" s="28">
        <v>9.6214275030000004E-2</v>
      </c>
      <c r="P14" s="28">
        <v>8.450546162E-2</v>
      </c>
      <c r="Q14" s="28">
        <v>8.2560227439999995E-2</v>
      </c>
      <c r="R14" s="40">
        <v>7.5490049379999993E-2</v>
      </c>
      <c r="S14" s="40">
        <v>7.2085889570000006E-2</v>
      </c>
      <c r="T14" s="40">
        <v>6.6960945679999995E-2</v>
      </c>
      <c r="U14" s="48">
        <v>6.4491994610000006E-2</v>
      </c>
      <c r="V14" s="48">
        <v>6.0938201409999997E-2</v>
      </c>
      <c r="W14" s="48">
        <v>5.704773305E-2</v>
      </c>
      <c r="X14" s="48">
        <v>5.5102498880000003E-2</v>
      </c>
      <c r="Y14" s="48">
        <v>5.0351638490000003E-2</v>
      </c>
      <c r="Z14" s="48">
        <v>4.8406404309999998E-2</v>
      </c>
      <c r="AA14">
        <v>4.5376328E-2</v>
      </c>
      <c r="AB14">
        <v>3.9765075560000002E-2</v>
      </c>
    </row>
    <row r="15" spans="1:28">
      <c r="B15" s="29">
        <v>44958</v>
      </c>
      <c r="C15" s="28">
        <v>24195</v>
      </c>
      <c r="D15" s="28">
        <v>0.53713577189999995</v>
      </c>
      <c r="E15" s="28">
        <v>0.3880553833</v>
      </c>
      <c r="F15" s="28">
        <v>0.30787352759999997</v>
      </c>
      <c r="G15" s="28">
        <v>0.25443273399999999</v>
      </c>
      <c r="H15" s="28">
        <v>0.2158297169</v>
      </c>
      <c r="I15" s="28">
        <v>0.18532754700000001</v>
      </c>
      <c r="J15" s="28">
        <v>0.1623475925</v>
      </c>
      <c r="K15" s="28">
        <v>0.14457532549999999</v>
      </c>
      <c r="L15" s="28">
        <v>0.12973754909999999</v>
      </c>
      <c r="M15" s="28">
        <v>0.11791692500000001</v>
      </c>
      <c r="N15" s="28">
        <v>0.1054763381</v>
      </c>
      <c r="O15" s="28">
        <v>9.5804918370000006E-2</v>
      </c>
      <c r="P15" s="28">
        <v>8.8158710479999999E-2</v>
      </c>
      <c r="Q15" s="40">
        <v>8.1091134529999997E-2</v>
      </c>
      <c r="R15" s="40">
        <v>7.6420748090000004E-2</v>
      </c>
      <c r="S15" s="40">
        <v>7.0882413719999995E-2</v>
      </c>
      <c r="T15" s="40">
        <v>6.674932837E-2</v>
      </c>
      <c r="U15" s="48">
        <v>6.2492250460000003E-2</v>
      </c>
      <c r="V15" s="48">
        <v>5.9309774750000002E-2</v>
      </c>
      <c r="W15" s="48">
        <v>5.600330647E-2</v>
      </c>
      <c r="X15" s="48">
        <v>5.1994213679999998E-2</v>
      </c>
      <c r="Y15" s="48">
        <v>4.9514362470000003E-2</v>
      </c>
      <c r="Z15" s="48">
        <v>4.6538541019999997E-2</v>
      </c>
      <c r="AA15">
        <v>4.3810704690000001E-2</v>
      </c>
      <c r="AB15">
        <v>4.2116139699999999E-2</v>
      </c>
    </row>
    <row r="16" spans="1:28">
      <c r="B16" s="29">
        <v>44986</v>
      </c>
      <c r="C16" s="28">
        <v>27698</v>
      </c>
      <c r="D16" s="28">
        <v>0.50639035310000002</v>
      </c>
      <c r="E16" s="28">
        <v>0.37905263919999999</v>
      </c>
      <c r="F16" s="28">
        <v>0.29171781359999999</v>
      </c>
      <c r="G16" s="28">
        <v>0.2458661275</v>
      </c>
      <c r="H16" s="28">
        <v>0.20571882450000001</v>
      </c>
      <c r="I16" s="28">
        <v>0.17571665819999999</v>
      </c>
      <c r="J16" s="28">
        <v>0.15835078350000001</v>
      </c>
      <c r="K16" s="28">
        <v>0.13816882089999999</v>
      </c>
      <c r="L16" s="28">
        <v>0.12701278069999999</v>
      </c>
      <c r="M16" s="28">
        <v>0.11488194090000001</v>
      </c>
      <c r="N16" s="28">
        <v>0.1005126724</v>
      </c>
      <c r="O16" s="28">
        <v>9.5097118930000002E-2</v>
      </c>
      <c r="P16" s="40">
        <v>8.7190410859999998E-2</v>
      </c>
      <c r="Q16" s="40">
        <v>8.2533034879999995E-2</v>
      </c>
      <c r="R16" s="40">
        <v>7.5601126439999999E-2</v>
      </c>
      <c r="S16" s="40">
        <v>7.2929453389999996E-2</v>
      </c>
      <c r="T16" s="40">
        <v>6.7694418369999995E-2</v>
      </c>
      <c r="U16" s="48">
        <v>6.3037042390000006E-2</v>
      </c>
      <c r="V16" s="48">
        <v>6.0473680410000001E-2</v>
      </c>
      <c r="W16" s="48">
        <v>5.6357859769999998E-2</v>
      </c>
      <c r="X16" s="48">
        <v>5.34334609E-2</v>
      </c>
      <c r="Y16" s="48">
        <v>5.0220232509999997E-2</v>
      </c>
      <c r="Z16" s="48">
        <v>4.5201819630000001E-2</v>
      </c>
      <c r="AA16">
        <v>4.6212722939999999E-2</v>
      </c>
      <c r="AB16">
        <v>3.960574771E-2</v>
      </c>
    </row>
    <row r="17" spans="2:28">
      <c r="B17" s="29">
        <v>45017</v>
      </c>
      <c r="C17" s="28">
        <v>24587</v>
      </c>
      <c r="D17" s="28">
        <v>0.5132387034</v>
      </c>
      <c r="E17" s="28">
        <v>0.36275267420000001</v>
      </c>
      <c r="F17" s="28">
        <v>0.2855980803</v>
      </c>
      <c r="G17" s="28">
        <v>0.2327652825</v>
      </c>
      <c r="H17" s="28">
        <v>0.1957131818</v>
      </c>
      <c r="I17" s="28">
        <v>0.1697238378</v>
      </c>
      <c r="J17" s="28">
        <v>0.14772034000000001</v>
      </c>
      <c r="K17" s="28">
        <v>0.13287509659999999</v>
      </c>
      <c r="L17" s="28">
        <v>0.11802985320000001</v>
      </c>
      <c r="M17" s="28">
        <v>0.1025338594</v>
      </c>
      <c r="N17" s="28">
        <v>9.7978606580000002E-2</v>
      </c>
      <c r="O17" s="40">
        <v>8.9356163830000002E-2</v>
      </c>
      <c r="P17" s="40">
        <v>8.1994549969999997E-2</v>
      </c>
      <c r="Q17" s="40">
        <v>7.6300484000000002E-2</v>
      </c>
      <c r="R17" s="40">
        <v>7.1745231219999997E-2</v>
      </c>
      <c r="S17" s="40">
        <v>6.7189978440000006E-2</v>
      </c>
      <c r="T17" s="40">
        <v>6.3204132270000005E-2</v>
      </c>
      <c r="U17" s="48">
        <v>5.9218286090000002E-2</v>
      </c>
      <c r="V17" s="48">
        <v>5.59238622E-2</v>
      </c>
      <c r="W17" s="48">
        <v>5.3036157319999999E-2</v>
      </c>
      <c r="X17" s="48">
        <v>4.9579045840000002E-2</v>
      </c>
      <c r="Y17" s="48">
        <v>4.388497987E-2</v>
      </c>
      <c r="Z17" s="48">
        <v>4.5267824460000002E-2</v>
      </c>
      <c r="AA17">
        <v>3.7824866800000002E-2</v>
      </c>
      <c r="AB17" t="s">
        <v>135</v>
      </c>
    </row>
    <row r="18" spans="2:28">
      <c r="B18" s="29">
        <v>45047</v>
      </c>
      <c r="C18" s="28">
        <v>27111</v>
      </c>
      <c r="D18" s="28">
        <v>0.48692412670000002</v>
      </c>
      <c r="E18" s="28">
        <v>0.36125557889999999</v>
      </c>
      <c r="F18" s="28">
        <v>0.2740585002</v>
      </c>
      <c r="G18" s="28">
        <v>0.21692302020000001</v>
      </c>
      <c r="H18" s="28">
        <v>0.1904761905</v>
      </c>
      <c r="I18" s="28">
        <v>0.15761130170000001</v>
      </c>
      <c r="J18" s="28">
        <v>0.14628748480000001</v>
      </c>
      <c r="K18" s="28">
        <v>0.12839806719999999</v>
      </c>
      <c r="L18" s="28">
        <v>0.1069307661</v>
      </c>
      <c r="M18" s="28">
        <v>0.1043119029</v>
      </c>
      <c r="N18" s="40">
        <v>9.2250378080000001E-2</v>
      </c>
      <c r="O18" s="40">
        <v>8.7160193280000006E-2</v>
      </c>
      <c r="P18" s="40">
        <v>7.8971635129999995E-2</v>
      </c>
      <c r="Q18" s="40">
        <v>7.6352771939999994E-2</v>
      </c>
      <c r="R18" s="40">
        <v>7.0709306190000001E-2</v>
      </c>
      <c r="S18" s="40">
        <v>6.5028955040000003E-2</v>
      </c>
      <c r="T18" s="40">
        <v>6.2815831210000006E-2</v>
      </c>
      <c r="U18" s="48">
        <v>5.6434657520000001E-2</v>
      </c>
      <c r="V18" s="48">
        <v>5.4553502269999998E-2</v>
      </c>
      <c r="W18" s="48">
        <v>5.0864962559999997E-2</v>
      </c>
      <c r="X18" s="48">
        <v>4.4778872040000001E-2</v>
      </c>
      <c r="Y18" s="48">
        <v>4.5664121570000001E-2</v>
      </c>
      <c r="Z18">
        <v>3.6664084690000001E-2</v>
      </c>
      <c r="AA18" t="s">
        <v>135</v>
      </c>
      <c r="AB18" t="s">
        <v>135</v>
      </c>
    </row>
    <row r="19" spans="2:28">
      <c r="B19" s="29">
        <v>45078</v>
      </c>
      <c r="C19" s="28">
        <v>24961</v>
      </c>
      <c r="D19" s="28">
        <v>0.50795240580000001</v>
      </c>
      <c r="E19" s="28">
        <v>0.35527422780000001</v>
      </c>
      <c r="F19" s="28">
        <v>0.2749889828</v>
      </c>
      <c r="G19" s="28">
        <v>0.22799567330000001</v>
      </c>
      <c r="H19" s="28">
        <v>0.191338488</v>
      </c>
      <c r="I19" s="28">
        <v>0.1663394896</v>
      </c>
      <c r="J19" s="28">
        <v>0.14306317860000001</v>
      </c>
      <c r="K19" s="28">
        <v>0.1223909299</v>
      </c>
      <c r="L19" s="28">
        <v>0.1133368054</v>
      </c>
      <c r="M19" s="40">
        <v>0.1026401186</v>
      </c>
      <c r="N19" s="40">
        <v>9.4267056609999997E-2</v>
      </c>
      <c r="O19" s="40">
        <v>8.6374744599999997E-2</v>
      </c>
      <c r="P19" s="40">
        <v>8.1166619930000003E-2</v>
      </c>
      <c r="Q19" s="40">
        <v>7.6719682710000001E-2</v>
      </c>
      <c r="R19" s="40">
        <v>7.1912183010000005E-2</v>
      </c>
      <c r="S19" s="40">
        <v>6.6583870840000003E-2</v>
      </c>
      <c r="T19" s="40">
        <v>6.2217058610000001E-2</v>
      </c>
      <c r="U19" s="48">
        <v>5.9252433799999997E-2</v>
      </c>
      <c r="V19" s="48">
        <v>5.552662153E-2</v>
      </c>
      <c r="W19" s="48">
        <v>4.9557309399999999E-2</v>
      </c>
      <c r="X19" s="48">
        <v>4.9757621889999999E-2</v>
      </c>
      <c r="Y19">
        <v>4.2185809859999999E-2</v>
      </c>
      <c r="Z19" t="s">
        <v>135</v>
      </c>
      <c r="AA19" t="s">
        <v>135</v>
      </c>
      <c r="AB19" t="s">
        <v>135</v>
      </c>
    </row>
    <row r="20" spans="2:28">
      <c r="B20" s="29">
        <v>45108</v>
      </c>
      <c r="C20" s="28">
        <v>29111</v>
      </c>
      <c r="D20" s="28">
        <v>0.49977671670000001</v>
      </c>
      <c r="E20" s="28">
        <v>0.34464635360000001</v>
      </c>
      <c r="F20" s="28">
        <v>0.28384459480000002</v>
      </c>
      <c r="G20" s="28">
        <v>0.2194703033</v>
      </c>
      <c r="H20" s="28">
        <v>0.19837861979999999</v>
      </c>
      <c r="I20" s="28">
        <v>0.17113805779999999</v>
      </c>
      <c r="J20" s="28">
        <v>0.13884785820000001</v>
      </c>
      <c r="K20" s="28">
        <v>0.13352341039999999</v>
      </c>
      <c r="L20" s="40">
        <v>0.1158668545</v>
      </c>
      <c r="M20" s="40">
        <v>0.1093744633</v>
      </c>
      <c r="N20" s="40">
        <v>9.6217924499999996E-2</v>
      </c>
      <c r="O20" s="40">
        <v>9.2336230290000001E-2</v>
      </c>
      <c r="P20" s="40">
        <v>8.6118649310000003E-2</v>
      </c>
      <c r="Q20" s="40">
        <v>7.7015561129999993E-2</v>
      </c>
      <c r="R20" s="40">
        <v>7.5126240940000005E-2</v>
      </c>
      <c r="S20" s="40">
        <v>6.7672014020000004E-2</v>
      </c>
      <c r="T20" s="40">
        <v>6.612620659E-2</v>
      </c>
      <c r="U20" s="48">
        <v>6.1282676649999999E-2</v>
      </c>
      <c r="V20" s="48">
        <v>5.1939129539999997E-2</v>
      </c>
      <c r="W20" s="48">
        <v>5.4275016320000001E-2</v>
      </c>
      <c r="X20">
        <v>4.235512349E-2</v>
      </c>
      <c r="Y20" t="s">
        <v>135</v>
      </c>
      <c r="Z20" t="s">
        <v>135</v>
      </c>
      <c r="AA20" t="s">
        <v>135</v>
      </c>
      <c r="AB20" t="s">
        <v>135</v>
      </c>
    </row>
    <row r="21" spans="2:28">
      <c r="B21" s="29">
        <v>45139</v>
      </c>
      <c r="C21" s="28">
        <v>36465</v>
      </c>
      <c r="D21" s="28">
        <v>0.49030577269999998</v>
      </c>
      <c r="E21" s="28">
        <v>0.36646098999999999</v>
      </c>
      <c r="F21" s="28">
        <v>0.27991224460000003</v>
      </c>
      <c r="G21" s="28">
        <v>0.2419031948</v>
      </c>
      <c r="H21" s="28">
        <v>0.20329082679999999</v>
      </c>
      <c r="I21" s="28">
        <v>0.1678047443</v>
      </c>
      <c r="J21" s="28">
        <v>0.1580968052</v>
      </c>
      <c r="K21" s="40">
        <v>0.14018922249999999</v>
      </c>
      <c r="L21" s="40">
        <v>0.13006993010000001</v>
      </c>
      <c r="M21" s="40">
        <v>0.1175922117</v>
      </c>
      <c r="N21" s="40">
        <v>0.11043466339999999</v>
      </c>
      <c r="O21" s="40">
        <v>0.10292060879999999</v>
      </c>
      <c r="P21" s="40">
        <v>9.4556423969999998E-2</v>
      </c>
      <c r="Q21" s="40">
        <v>9.0305772660000005E-2</v>
      </c>
      <c r="R21" s="40">
        <v>8.2764294530000004E-2</v>
      </c>
      <c r="S21" s="40">
        <v>7.939119704E-2</v>
      </c>
      <c r="T21" s="40">
        <v>7.3906485669999994E-2</v>
      </c>
      <c r="U21" s="48">
        <v>6.4335664340000001E-2</v>
      </c>
      <c r="V21" s="48">
        <v>6.6255313309999994E-2</v>
      </c>
      <c r="W21">
        <v>5.0541615249999998E-2</v>
      </c>
      <c r="X21" t="s">
        <v>135</v>
      </c>
      <c r="Y21" t="s">
        <v>135</v>
      </c>
      <c r="Z21" t="s">
        <v>135</v>
      </c>
      <c r="AA21" t="s">
        <v>135</v>
      </c>
      <c r="AB21" t="s">
        <v>135</v>
      </c>
    </row>
    <row r="22" spans="2:28">
      <c r="B22" s="29">
        <v>45170</v>
      </c>
      <c r="C22" s="28">
        <v>42426</v>
      </c>
      <c r="D22" s="28">
        <v>0.48189789280000001</v>
      </c>
      <c r="E22" s="28">
        <v>0.3438928959</v>
      </c>
      <c r="F22" s="28">
        <v>0.27692924149999998</v>
      </c>
      <c r="G22" s="28">
        <v>0.22959977370000001</v>
      </c>
      <c r="H22" s="28">
        <v>0.1882572008</v>
      </c>
      <c r="I22" s="28">
        <v>0.17020223449999999</v>
      </c>
      <c r="J22" s="40">
        <v>0.151723</v>
      </c>
      <c r="K22" s="40">
        <v>0.138476406</v>
      </c>
      <c r="L22" s="40">
        <v>0.124711262</v>
      </c>
      <c r="M22" s="40">
        <v>0.1158016311</v>
      </c>
      <c r="N22" s="40">
        <v>0.1068684297</v>
      </c>
      <c r="O22" s="40">
        <v>9.8807335120000006E-2</v>
      </c>
      <c r="P22" s="40">
        <v>9.2443313060000004E-2</v>
      </c>
      <c r="Q22" s="40">
        <v>8.5961438740000007E-2</v>
      </c>
      <c r="R22" s="40">
        <v>8.1294489230000003E-2</v>
      </c>
      <c r="S22" s="40">
        <v>7.5991137510000001E-2</v>
      </c>
      <c r="T22" s="40">
        <v>6.8095036060000003E-2</v>
      </c>
      <c r="U22" s="48">
        <v>6.7152217979999998E-2</v>
      </c>
      <c r="V22">
        <v>5.6946212230000001E-2</v>
      </c>
      <c r="W22" t="s">
        <v>135</v>
      </c>
      <c r="X22" t="s">
        <v>135</v>
      </c>
      <c r="Y22" t="s">
        <v>135</v>
      </c>
      <c r="Z22" t="s">
        <v>135</v>
      </c>
      <c r="AA22" t="s">
        <v>135</v>
      </c>
      <c r="AB22" t="s">
        <v>135</v>
      </c>
    </row>
    <row r="23" spans="2:28">
      <c r="B23" s="29">
        <v>45200</v>
      </c>
      <c r="C23" s="28">
        <v>42400</v>
      </c>
      <c r="D23" s="28">
        <v>0.45797169809999999</v>
      </c>
      <c r="E23" s="28">
        <v>0.35165094340000003</v>
      </c>
      <c r="F23" s="28">
        <v>0.26823113209999999</v>
      </c>
      <c r="G23" s="28">
        <v>0.2066273585</v>
      </c>
      <c r="H23" s="28">
        <v>0.1907783019</v>
      </c>
      <c r="I23" s="40">
        <v>0.15985849060000001</v>
      </c>
      <c r="J23" s="40">
        <v>0.14629716979999999</v>
      </c>
      <c r="K23" s="40">
        <v>0.12714622640000001</v>
      </c>
      <c r="L23" s="40">
        <v>0.118254717</v>
      </c>
      <c r="M23" s="40">
        <v>0.1070518868</v>
      </c>
      <c r="N23" s="40">
        <v>9.7004716980000003E-2</v>
      </c>
      <c r="O23" s="40">
        <v>9.2759433959999998E-2</v>
      </c>
      <c r="P23" s="40">
        <v>8.3089622639999999E-2</v>
      </c>
      <c r="Q23" s="40">
        <v>8.0400943399999994E-2</v>
      </c>
      <c r="R23" s="40">
        <v>7.4528301889999995E-2</v>
      </c>
      <c r="S23" s="40">
        <v>6.25E-2</v>
      </c>
      <c r="T23" s="40">
        <v>6.5849056599999997E-2</v>
      </c>
      <c r="U23">
        <v>5.0400943400000002E-2</v>
      </c>
      <c r="V23" t="s">
        <v>135</v>
      </c>
      <c r="W23" t="s">
        <v>135</v>
      </c>
      <c r="X23" t="s">
        <v>135</v>
      </c>
      <c r="Y23" t="s">
        <v>135</v>
      </c>
      <c r="Z23" t="s">
        <v>135</v>
      </c>
      <c r="AA23" t="s">
        <v>135</v>
      </c>
      <c r="AB23" t="s">
        <v>135</v>
      </c>
    </row>
    <row r="24" spans="2:28">
      <c r="B24" s="29">
        <v>45231</v>
      </c>
      <c r="C24" s="28">
        <v>42947</v>
      </c>
      <c r="D24" s="28">
        <v>0.49190863159999998</v>
      </c>
      <c r="E24" s="28">
        <v>0.3428877454</v>
      </c>
      <c r="F24" s="28">
        <v>0.2545695858</v>
      </c>
      <c r="G24" s="28">
        <v>0.2210398864</v>
      </c>
      <c r="H24" s="40">
        <v>0.1872074883</v>
      </c>
      <c r="I24" s="40">
        <v>0.16413253550000001</v>
      </c>
      <c r="J24" s="40">
        <v>0.14350245649999999</v>
      </c>
      <c r="K24" s="40">
        <v>0.12969474</v>
      </c>
      <c r="L24" s="40">
        <v>0.11735394790000001</v>
      </c>
      <c r="M24" s="40">
        <v>0.1069224859</v>
      </c>
      <c r="N24" s="40">
        <v>9.8633199059999996E-2</v>
      </c>
      <c r="O24" s="40">
        <v>8.9808368449999995E-2</v>
      </c>
      <c r="P24" s="40">
        <v>8.3451696280000001E-2</v>
      </c>
      <c r="Q24" s="40">
        <v>7.6559480289999995E-2</v>
      </c>
      <c r="R24" s="40">
        <v>6.4544671339999998E-2</v>
      </c>
      <c r="S24" s="40">
        <v>6.6616993040000003E-2</v>
      </c>
      <c r="T24" s="28">
        <v>5.1551912819999997E-2</v>
      </c>
      <c r="U24" t="s">
        <v>135</v>
      </c>
      <c r="V24" t="s">
        <v>135</v>
      </c>
      <c r="W24" t="s">
        <v>135</v>
      </c>
      <c r="X24" t="s">
        <v>135</v>
      </c>
      <c r="Y24" t="s">
        <v>135</v>
      </c>
      <c r="Z24" t="s">
        <v>135</v>
      </c>
      <c r="AA24" t="s">
        <v>135</v>
      </c>
      <c r="AB24" t="s">
        <v>135</v>
      </c>
    </row>
    <row r="25" spans="2:28">
      <c r="B25" s="29">
        <v>45261</v>
      </c>
      <c r="C25" s="28">
        <v>46319</v>
      </c>
      <c r="D25" s="28">
        <v>0.45603316129999999</v>
      </c>
      <c r="E25" s="28">
        <v>0.30082687450000001</v>
      </c>
      <c r="F25" s="28">
        <v>0.257367387</v>
      </c>
      <c r="G25" s="40">
        <v>0.20106219910000001</v>
      </c>
      <c r="H25" s="40">
        <v>0.17845808420000001</v>
      </c>
      <c r="I25" s="40">
        <v>0.14980893370000001</v>
      </c>
      <c r="J25" s="40">
        <v>0.13810747209999999</v>
      </c>
      <c r="K25" s="40">
        <v>0.12396640690000001</v>
      </c>
      <c r="L25" s="40">
        <v>0.1090697122</v>
      </c>
      <c r="M25" s="40">
        <v>0.1034996438</v>
      </c>
      <c r="N25" s="40">
        <v>9.0848248019999994E-2</v>
      </c>
      <c r="O25" s="40">
        <v>8.6767849049999998E-2</v>
      </c>
      <c r="P25" s="40">
        <v>7.9470627599999996E-2</v>
      </c>
      <c r="Q25" s="40">
        <v>6.7618040109999999E-2</v>
      </c>
      <c r="R25" s="40">
        <v>6.9086120170000001E-2</v>
      </c>
      <c r="S25" s="28">
        <v>5.516094907E-2</v>
      </c>
      <c r="T25" s="28" t="s">
        <v>135</v>
      </c>
      <c r="U25" t="s">
        <v>135</v>
      </c>
      <c r="V25" t="s">
        <v>135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 t="s">
        <v>135</v>
      </c>
    </row>
    <row r="26" spans="2:28">
      <c r="B26" s="29">
        <v>45292</v>
      </c>
      <c r="C26" s="28">
        <v>46868</v>
      </c>
      <c r="D26" s="28">
        <v>0.46616027989999997</v>
      </c>
      <c r="E26" s="28">
        <v>0.35079371850000002</v>
      </c>
      <c r="F26" s="40">
        <v>0.26775198430000002</v>
      </c>
      <c r="G26" s="40">
        <v>0.22405479219999999</v>
      </c>
      <c r="H26" s="40">
        <v>0.18916958270000001</v>
      </c>
      <c r="I26" s="40">
        <v>0.1673209866</v>
      </c>
      <c r="J26" s="40">
        <v>0.14941964669999999</v>
      </c>
      <c r="K26" s="40">
        <v>0.13331057439999999</v>
      </c>
      <c r="L26" s="40">
        <v>0.12234360330000001</v>
      </c>
      <c r="M26" s="40">
        <v>0.1108432193</v>
      </c>
      <c r="N26" s="40">
        <v>0.1036101391</v>
      </c>
      <c r="O26" s="40">
        <v>9.4712810450000004E-2</v>
      </c>
      <c r="P26" s="40">
        <v>8.1462831779999995E-2</v>
      </c>
      <c r="Q26" s="40">
        <v>8.1782879579999995E-2</v>
      </c>
      <c r="R26" s="28">
        <v>6.6356575919999994E-2</v>
      </c>
      <c r="S26" s="28" t="s">
        <v>135</v>
      </c>
      <c r="T26" s="28" t="s">
        <v>135</v>
      </c>
      <c r="U26" t="s">
        <v>135</v>
      </c>
      <c r="V26" t="s">
        <v>135</v>
      </c>
      <c r="W26" t="s">
        <v>135</v>
      </c>
      <c r="X26" t="s">
        <v>135</v>
      </c>
      <c r="Y26" t="s">
        <v>135</v>
      </c>
      <c r="Z26" t="s">
        <v>135</v>
      </c>
      <c r="AA26" t="s">
        <v>135</v>
      </c>
      <c r="AB26" t="s">
        <v>135</v>
      </c>
    </row>
    <row r="27" spans="2:28">
      <c r="B27" s="29">
        <v>45323</v>
      </c>
      <c r="C27" s="28">
        <v>40361</v>
      </c>
      <c r="D27" s="28">
        <v>0.48712866379999997</v>
      </c>
      <c r="E27" s="40">
        <v>0.3415425782</v>
      </c>
      <c r="F27" s="40">
        <v>0.26632144889999998</v>
      </c>
      <c r="G27" s="40">
        <v>0.21862689229999999</v>
      </c>
      <c r="H27" s="40">
        <v>0.18567428950000001</v>
      </c>
      <c r="I27" s="40">
        <v>0.1629295607</v>
      </c>
      <c r="J27" s="40">
        <v>0.14548697999999999</v>
      </c>
      <c r="K27" s="40">
        <v>0.12995218159999999</v>
      </c>
      <c r="L27" s="40">
        <v>0.11602784870000001</v>
      </c>
      <c r="M27" s="40">
        <v>0.1057951983</v>
      </c>
      <c r="N27" s="40">
        <v>9.6330616189999996E-2</v>
      </c>
      <c r="O27" s="40">
        <v>8.5503332419999994E-2</v>
      </c>
      <c r="P27" s="40">
        <v>8.1588662320000005E-2</v>
      </c>
      <c r="Q27" s="28">
        <v>6.9869428410000003E-2</v>
      </c>
      <c r="R27" s="28" t="s">
        <v>135</v>
      </c>
      <c r="S27" s="28" t="s">
        <v>135</v>
      </c>
      <c r="T27" s="28" t="s">
        <v>135</v>
      </c>
      <c r="U27" t="s">
        <v>135</v>
      </c>
      <c r="V27" t="s">
        <v>135</v>
      </c>
      <c r="W27" t="s">
        <v>135</v>
      </c>
      <c r="X27" t="s">
        <v>135</v>
      </c>
      <c r="Y27" t="s">
        <v>135</v>
      </c>
      <c r="Z27" t="s">
        <v>135</v>
      </c>
      <c r="AA27" t="s">
        <v>135</v>
      </c>
      <c r="AB27" t="s">
        <v>135</v>
      </c>
    </row>
    <row r="28" spans="2:28">
      <c r="B28" s="30">
        <v>45352</v>
      </c>
      <c r="C28" s="31">
        <v>40852</v>
      </c>
      <c r="D28" s="37">
        <v>0.45530206600000001</v>
      </c>
      <c r="E28" s="37">
        <v>0.3357730344</v>
      </c>
      <c r="F28" s="37">
        <v>0.24960834230000001</v>
      </c>
      <c r="G28" s="40">
        <v>0.21218055420000001</v>
      </c>
      <c r="H28" s="40">
        <v>0.17791050620000001</v>
      </c>
      <c r="I28" s="40">
        <v>0.15071477529999999</v>
      </c>
      <c r="J28" s="40">
        <v>0.13705571329999999</v>
      </c>
      <c r="K28" s="40">
        <v>0.11830510130000001</v>
      </c>
      <c r="L28" s="40">
        <v>0.1111328699</v>
      </c>
      <c r="M28" s="40">
        <v>9.9162831689999995E-2</v>
      </c>
      <c r="N28" s="40">
        <v>8.1513756980000004E-2</v>
      </c>
      <c r="O28" s="40">
        <v>8.2027807699999997E-2</v>
      </c>
      <c r="P28" s="28">
        <v>6.4452168800000001E-2</v>
      </c>
      <c r="Q28" s="28" t="s">
        <v>135</v>
      </c>
      <c r="R28" s="28" t="s">
        <v>135</v>
      </c>
      <c r="S28" s="28" t="s">
        <v>135</v>
      </c>
      <c r="T28" s="28" t="s">
        <v>135</v>
      </c>
      <c r="U28" t="s">
        <v>135</v>
      </c>
      <c r="V28" t="s">
        <v>135</v>
      </c>
      <c r="W28" t="s">
        <v>135</v>
      </c>
      <c r="X28" t="s">
        <v>135</v>
      </c>
      <c r="Y28" t="s">
        <v>135</v>
      </c>
      <c r="Z28" t="s">
        <v>135</v>
      </c>
      <c r="AA28" t="s">
        <v>135</v>
      </c>
      <c r="AB28" t="s">
        <v>135</v>
      </c>
    </row>
    <row r="29" spans="2:28">
      <c r="B29" s="32">
        <v>45383</v>
      </c>
      <c r="C29" s="33">
        <v>36075</v>
      </c>
      <c r="D29" s="38">
        <v>0.493028413</v>
      </c>
      <c r="E29" s="38">
        <v>0.3426472626</v>
      </c>
      <c r="F29" s="38">
        <v>0.27226611229999997</v>
      </c>
      <c r="G29" s="40">
        <v>0.2241441441</v>
      </c>
      <c r="H29" s="40">
        <v>0.18841302839999999</v>
      </c>
      <c r="I29" s="40">
        <v>0.16543312539999999</v>
      </c>
      <c r="J29" s="40">
        <v>0.14234234230000001</v>
      </c>
      <c r="K29" s="40">
        <v>0.1292030492</v>
      </c>
      <c r="L29" s="40">
        <v>0.1156202356</v>
      </c>
      <c r="M29" s="40">
        <v>9.7546777550000005E-2</v>
      </c>
      <c r="N29" s="40">
        <v>9.5329175330000002E-2</v>
      </c>
      <c r="O29" s="28">
        <v>7.3513513510000003E-2</v>
      </c>
      <c r="P29" s="28" t="s">
        <v>135</v>
      </c>
      <c r="Q29" s="28" t="s">
        <v>135</v>
      </c>
      <c r="R29" s="28" t="s">
        <v>135</v>
      </c>
      <c r="S29" s="28" t="s">
        <v>135</v>
      </c>
      <c r="T29" s="28" t="s">
        <v>135</v>
      </c>
      <c r="U29" t="s">
        <v>135</v>
      </c>
      <c r="V29" t="s">
        <v>135</v>
      </c>
      <c r="W29" t="s">
        <v>135</v>
      </c>
      <c r="X29" t="s">
        <v>135</v>
      </c>
      <c r="Y29" t="s">
        <v>135</v>
      </c>
      <c r="Z29" t="s">
        <v>135</v>
      </c>
      <c r="AA29" t="s">
        <v>135</v>
      </c>
      <c r="AB29" t="s">
        <v>135</v>
      </c>
    </row>
    <row r="30" spans="2:28">
      <c r="B30" s="32">
        <v>45413</v>
      </c>
      <c r="C30" s="33">
        <v>38727</v>
      </c>
      <c r="D30" s="38">
        <v>0.46548919360000002</v>
      </c>
      <c r="E30" s="38">
        <v>0.3443850544</v>
      </c>
      <c r="F30" s="38">
        <v>0.26531876989999997</v>
      </c>
      <c r="G30" s="40">
        <v>0.21122214480000001</v>
      </c>
      <c r="H30" s="40">
        <v>0.1847031787</v>
      </c>
      <c r="I30" s="40">
        <v>0.15304567869999999</v>
      </c>
      <c r="J30" s="40">
        <v>0.14072869060000001</v>
      </c>
      <c r="K30" s="40">
        <v>0.1235313864</v>
      </c>
      <c r="L30" s="40">
        <v>0.10282232030000001</v>
      </c>
      <c r="M30" s="40">
        <v>0.1009631523</v>
      </c>
      <c r="N30" s="28">
        <v>7.7904304490000006E-2</v>
      </c>
      <c r="O30" s="28" t="s">
        <v>135</v>
      </c>
      <c r="P30" s="28" t="s">
        <v>135</v>
      </c>
      <c r="Q30" s="28" t="s">
        <v>135</v>
      </c>
      <c r="R30" s="28" t="s">
        <v>135</v>
      </c>
      <c r="S30" s="28" t="s">
        <v>135</v>
      </c>
      <c r="T30" s="28" t="s">
        <v>135</v>
      </c>
      <c r="U30" t="s">
        <v>135</v>
      </c>
      <c r="V30" t="s">
        <v>135</v>
      </c>
      <c r="W30" t="s">
        <v>135</v>
      </c>
      <c r="X30" t="s">
        <v>135</v>
      </c>
      <c r="Y30" t="s">
        <v>135</v>
      </c>
      <c r="Z30" t="s">
        <v>135</v>
      </c>
      <c r="AA30" t="s">
        <v>135</v>
      </c>
      <c r="AB30" t="s">
        <v>135</v>
      </c>
    </row>
    <row r="31" spans="2:28">
      <c r="B31" s="32">
        <v>45444</v>
      </c>
      <c r="C31" s="33">
        <v>37605</v>
      </c>
      <c r="D31" s="38">
        <v>0.4900678101</v>
      </c>
      <c r="E31" s="38">
        <v>0.34147054910000002</v>
      </c>
      <c r="F31" s="38">
        <v>0.26142800160000002</v>
      </c>
      <c r="G31" s="40">
        <v>0.21821566279999999</v>
      </c>
      <c r="H31" s="40">
        <v>0.18311394759999999</v>
      </c>
      <c r="I31" s="40">
        <v>0.15936710539999999</v>
      </c>
      <c r="J31" s="40">
        <v>0.13700305809999999</v>
      </c>
      <c r="K31" s="40">
        <v>0.1149581173</v>
      </c>
      <c r="L31" s="40">
        <v>0.11174046</v>
      </c>
      <c r="M31" s="28">
        <v>8.506847494E-2</v>
      </c>
      <c r="N31" s="28" t="s">
        <v>135</v>
      </c>
      <c r="O31" s="28" t="s">
        <v>135</v>
      </c>
      <c r="P31" s="28" t="s">
        <v>135</v>
      </c>
      <c r="Q31" s="28" t="s">
        <v>135</v>
      </c>
      <c r="R31" s="28" t="s">
        <v>135</v>
      </c>
      <c r="S31" s="28" t="s">
        <v>135</v>
      </c>
      <c r="T31" s="28" t="s">
        <v>135</v>
      </c>
      <c r="U31" t="s">
        <v>135</v>
      </c>
      <c r="V31" t="s">
        <v>135</v>
      </c>
      <c r="W31" t="s">
        <v>135</v>
      </c>
      <c r="X31" t="s">
        <v>135</v>
      </c>
      <c r="Y31" t="s">
        <v>135</v>
      </c>
      <c r="Z31" t="s">
        <v>135</v>
      </c>
      <c r="AA31" t="s">
        <v>135</v>
      </c>
      <c r="AB31" t="s">
        <v>135</v>
      </c>
    </row>
    <row r="32" spans="2:28">
      <c r="B32" s="32">
        <v>45474</v>
      </c>
      <c r="C32" s="33">
        <v>38402</v>
      </c>
      <c r="D32" s="38">
        <v>0.48033956560000002</v>
      </c>
      <c r="E32" s="38">
        <v>0.32774334669999999</v>
      </c>
      <c r="F32" s="38">
        <v>0.26647049630000003</v>
      </c>
      <c r="G32" s="40">
        <v>0.2051716056</v>
      </c>
      <c r="H32" s="40">
        <v>0.18410499450000001</v>
      </c>
      <c r="I32" s="40">
        <v>0.15697099110000001</v>
      </c>
      <c r="J32" s="40">
        <v>0.12559241709999999</v>
      </c>
      <c r="K32" s="40">
        <v>0.1244466434</v>
      </c>
      <c r="L32" s="28">
        <v>9.0828602679999995E-2</v>
      </c>
      <c r="M32" s="28" t="s">
        <v>135</v>
      </c>
      <c r="N32" s="28" t="s">
        <v>135</v>
      </c>
      <c r="O32" s="28" t="s">
        <v>135</v>
      </c>
      <c r="P32" s="28" t="s">
        <v>135</v>
      </c>
      <c r="Q32" s="28" t="s">
        <v>135</v>
      </c>
      <c r="R32" s="28" t="s">
        <v>135</v>
      </c>
      <c r="S32" s="28" t="s">
        <v>135</v>
      </c>
      <c r="T32" s="28" t="s">
        <v>135</v>
      </c>
      <c r="U32" t="s">
        <v>135</v>
      </c>
      <c r="V32" t="s">
        <v>135</v>
      </c>
      <c r="W32" t="s">
        <v>135</v>
      </c>
      <c r="X32" t="s">
        <v>135</v>
      </c>
      <c r="Y32" t="s">
        <v>135</v>
      </c>
      <c r="Z32" t="s">
        <v>135</v>
      </c>
      <c r="AA32" t="s">
        <v>135</v>
      </c>
      <c r="AB32" t="s">
        <v>135</v>
      </c>
    </row>
    <row r="33" spans="2:28">
      <c r="B33" s="32">
        <v>45505</v>
      </c>
      <c r="C33" s="33">
        <v>40884</v>
      </c>
      <c r="D33" s="38">
        <v>0.47505136479999999</v>
      </c>
      <c r="E33" s="38">
        <v>0.34448684080000003</v>
      </c>
      <c r="F33" s="38">
        <v>0.25626161819999999</v>
      </c>
      <c r="G33" s="40">
        <v>0.21866744939999999</v>
      </c>
      <c r="H33" s="40">
        <v>0.18117111829999999</v>
      </c>
      <c r="I33" s="40">
        <v>0.14399276</v>
      </c>
      <c r="J33" s="40">
        <v>0.1368750611</v>
      </c>
      <c r="K33" s="28">
        <v>0.10158008020000001</v>
      </c>
      <c r="L33" s="28" t="s">
        <v>135</v>
      </c>
      <c r="M33" s="28" t="s">
        <v>135</v>
      </c>
      <c r="N33" s="28" t="s">
        <v>135</v>
      </c>
      <c r="O33" s="28" t="s">
        <v>135</v>
      </c>
      <c r="P33" s="28" t="s">
        <v>135</v>
      </c>
      <c r="Q33" s="28" t="s">
        <v>135</v>
      </c>
      <c r="R33" s="28" t="s">
        <v>135</v>
      </c>
      <c r="S33" s="28" t="s">
        <v>135</v>
      </c>
      <c r="T33" s="28" t="s">
        <v>135</v>
      </c>
      <c r="U33" t="s">
        <v>135</v>
      </c>
      <c r="V33" t="s">
        <v>135</v>
      </c>
      <c r="W33" t="s">
        <v>135</v>
      </c>
      <c r="X33" t="s">
        <v>135</v>
      </c>
      <c r="Y33" t="s">
        <v>135</v>
      </c>
      <c r="Z33" t="s">
        <v>135</v>
      </c>
      <c r="AA33" t="s">
        <v>135</v>
      </c>
      <c r="AB33" t="s">
        <v>135</v>
      </c>
    </row>
    <row r="34" spans="2:28">
      <c r="B34" s="32">
        <v>45536</v>
      </c>
      <c r="C34" s="33">
        <v>40016</v>
      </c>
      <c r="D34" s="38">
        <v>0.4863804478</v>
      </c>
      <c r="E34" s="38">
        <v>0.34246301480000002</v>
      </c>
      <c r="F34" s="38">
        <v>0.27286585369999999</v>
      </c>
      <c r="G34" s="40">
        <v>0.21968712509999999</v>
      </c>
      <c r="H34" s="40">
        <v>0.1716063575</v>
      </c>
      <c r="I34" s="40">
        <v>0.1608856457</v>
      </c>
      <c r="J34" s="28">
        <v>0.11882746900000001</v>
      </c>
      <c r="K34" s="28" t="s">
        <v>135</v>
      </c>
      <c r="L34" s="28" t="s">
        <v>135</v>
      </c>
      <c r="M34" s="28" t="s">
        <v>135</v>
      </c>
      <c r="N34" s="28" t="s">
        <v>135</v>
      </c>
      <c r="O34" s="28" t="s">
        <v>135</v>
      </c>
      <c r="P34" s="28" t="s">
        <v>135</v>
      </c>
      <c r="Q34" s="28" t="s">
        <v>135</v>
      </c>
      <c r="R34" s="28" t="s">
        <v>135</v>
      </c>
      <c r="S34" s="28" t="s">
        <v>135</v>
      </c>
      <c r="T34" s="28" t="s">
        <v>135</v>
      </c>
      <c r="U34" t="s">
        <v>135</v>
      </c>
      <c r="V34" t="s">
        <v>135</v>
      </c>
      <c r="W34" t="s">
        <v>135</v>
      </c>
      <c r="X34" t="s">
        <v>135</v>
      </c>
      <c r="Y34" t="s">
        <v>135</v>
      </c>
      <c r="Z34" t="s">
        <v>135</v>
      </c>
      <c r="AA34" t="s">
        <v>135</v>
      </c>
      <c r="AB34" t="s">
        <v>135</v>
      </c>
    </row>
    <row r="35" spans="2:28">
      <c r="B35" s="32">
        <v>45566</v>
      </c>
      <c r="C35" s="33">
        <v>41198</v>
      </c>
      <c r="D35" s="38">
        <v>0.4589057721</v>
      </c>
      <c r="E35" s="38">
        <v>0.34899752420000002</v>
      </c>
      <c r="F35" s="38">
        <v>0.26200300989999997</v>
      </c>
      <c r="G35" s="40">
        <v>0.19534928879999999</v>
      </c>
      <c r="H35" s="40">
        <v>0.18236322150000001</v>
      </c>
      <c r="I35" s="28">
        <v>0.12699645609999999</v>
      </c>
      <c r="J35" s="28" t="s">
        <v>135</v>
      </c>
      <c r="K35" s="28" t="s">
        <v>135</v>
      </c>
      <c r="L35" s="28" t="s">
        <v>135</v>
      </c>
      <c r="M35" s="28" t="s">
        <v>135</v>
      </c>
      <c r="N35" s="28" t="s">
        <v>135</v>
      </c>
      <c r="O35" s="28" t="s">
        <v>135</v>
      </c>
      <c r="P35" s="28" t="s">
        <v>135</v>
      </c>
      <c r="Q35" s="28" t="s">
        <v>135</v>
      </c>
      <c r="R35" s="28" t="s">
        <v>135</v>
      </c>
      <c r="S35" s="28" t="s">
        <v>135</v>
      </c>
      <c r="T35" s="28" t="s">
        <v>135</v>
      </c>
      <c r="U35" t="s">
        <v>135</v>
      </c>
      <c r="V35" t="s">
        <v>135</v>
      </c>
      <c r="W35" t="s">
        <v>135</v>
      </c>
      <c r="X35" t="s">
        <v>135</v>
      </c>
      <c r="Y35" t="s">
        <v>135</v>
      </c>
      <c r="Z35" t="s">
        <v>135</v>
      </c>
      <c r="AA35" t="s">
        <v>135</v>
      </c>
      <c r="AB35" t="s">
        <v>135</v>
      </c>
    </row>
    <row r="36" spans="2:28">
      <c r="B36" s="32">
        <v>45597</v>
      </c>
      <c r="C36" s="33">
        <v>39507</v>
      </c>
      <c r="D36" s="38">
        <v>0.49482370209999998</v>
      </c>
      <c r="E36" s="38">
        <v>0.33887665480000001</v>
      </c>
      <c r="F36" s="38">
        <v>0.2403877794</v>
      </c>
      <c r="G36" s="40">
        <v>0.21269648420000001</v>
      </c>
      <c r="H36" s="28">
        <v>0.15184650820000001</v>
      </c>
      <c r="I36" s="28" t="s">
        <v>135</v>
      </c>
      <c r="J36" s="28" t="s">
        <v>135</v>
      </c>
      <c r="K36" s="28" t="s">
        <v>135</v>
      </c>
      <c r="L36" s="28" t="s">
        <v>135</v>
      </c>
      <c r="M36" s="28" t="s">
        <v>135</v>
      </c>
      <c r="N36" s="28" t="s">
        <v>135</v>
      </c>
      <c r="O36" s="28" t="s">
        <v>135</v>
      </c>
      <c r="P36" s="28" t="s">
        <v>135</v>
      </c>
      <c r="Q36" s="28" t="s">
        <v>135</v>
      </c>
      <c r="R36" s="28" t="s">
        <v>135</v>
      </c>
      <c r="S36" s="28" t="s">
        <v>135</v>
      </c>
      <c r="T36" s="28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  <c r="Z36" t="s">
        <v>135</v>
      </c>
      <c r="AA36" t="s">
        <v>135</v>
      </c>
      <c r="AB36" t="s">
        <v>135</v>
      </c>
    </row>
    <row r="37" spans="2:28">
      <c r="B37" s="32">
        <v>45627</v>
      </c>
      <c r="C37" s="33">
        <v>43858</v>
      </c>
      <c r="D37" s="38">
        <v>0.4629030052</v>
      </c>
      <c r="E37" s="38">
        <v>0.2990332436</v>
      </c>
      <c r="F37" s="38">
        <v>0.25420675819999999</v>
      </c>
      <c r="G37" s="28">
        <v>0.17032240409999999</v>
      </c>
      <c r="H37" s="28" t="s">
        <v>135</v>
      </c>
      <c r="I37" s="28" t="s">
        <v>135</v>
      </c>
      <c r="J37" s="28" t="s">
        <v>135</v>
      </c>
      <c r="K37" s="28" t="s">
        <v>135</v>
      </c>
      <c r="L37" s="28" t="s">
        <v>135</v>
      </c>
      <c r="M37" s="28" t="s">
        <v>135</v>
      </c>
      <c r="N37" s="28" t="s">
        <v>135</v>
      </c>
      <c r="O37" s="28" t="s">
        <v>135</v>
      </c>
      <c r="P37" s="28" t="s">
        <v>135</v>
      </c>
      <c r="Q37" s="28" t="s">
        <v>135</v>
      </c>
      <c r="R37" s="28" t="s">
        <v>135</v>
      </c>
      <c r="S37" s="28" t="s">
        <v>135</v>
      </c>
      <c r="T37" s="28" t="s">
        <v>135</v>
      </c>
      <c r="U37" t="s">
        <v>135</v>
      </c>
      <c r="V37" t="s">
        <v>135</v>
      </c>
      <c r="W37" t="s">
        <v>135</v>
      </c>
      <c r="X37" t="s">
        <v>135</v>
      </c>
      <c r="Y37" t="s">
        <v>135</v>
      </c>
      <c r="Z37" t="s">
        <v>135</v>
      </c>
      <c r="AA37" t="s">
        <v>135</v>
      </c>
      <c r="AB37" t="s">
        <v>135</v>
      </c>
    </row>
    <row r="38" spans="2:28">
      <c r="B38" s="32">
        <v>45658</v>
      </c>
      <c r="C38" s="33">
        <v>40563</v>
      </c>
      <c r="D38" s="38">
        <v>0.42975125110000001</v>
      </c>
      <c r="E38" s="38">
        <v>0.33471390179999999</v>
      </c>
      <c r="F38" s="33">
        <v>0.21080787910000001</v>
      </c>
      <c r="G38" s="28" t="s">
        <v>135</v>
      </c>
      <c r="H38" s="28" t="s">
        <v>135</v>
      </c>
      <c r="I38" s="28" t="s">
        <v>135</v>
      </c>
      <c r="J38" s="28" t="s">
        <v>135</v>
      </c>
      <c r="K38" s="28" t="s">
        <v>135</v>
      </c>
      <c r="L38" s="28" t="s">
        <v>135</v>
      </c>
      <c r="M38" s="28" t="s">
        <v>135</v>
      </c>
      <c r="N38" s="28" t="s">
        <v>135</v>
      </c>
      <c r="O38" s="28" t="s">
        <v>135</v>
      </c>
      <c r="P38" s="28" t="s">
        <v>135</v>
      </c>
      <c r="Q38" s="28" t="s">
        <v>135</v>
      </c>
      <c r="R38" s="28" t="s">
        <v>135</v>
      </c>
      <c r="S38" s="28" t="s">
        <v>135</v>
      </c>
      <c r="T38" s="28" t="s">
        <v>135</v>
      </c>
      <c r="U38" t="s">
        <v>135</v>
      </c>
      <c r="V38" t="s">
        <v>135</v>
      </c>
      <c r="W38" t="s">
        <v>135</v>
      </c>
      <c r="X38" t="s">
        <v>135</v>
      </c>
      <c r="Y38" t="s">
        <v>135</v>
      </c>
      <c r="Z38" t="s">
        <v>135</v>
      </c>
      <c r="AA38" t="s">
        <v>135</v>
      </c>
      <c r="AB38" t="s">
        <v>135</v>
      </c>
    </row>
    <row r="39" spans="2:28">
      <c r="B39" s="34">
        <v>45689</v>
      </c>
      <c r="C39" s="35">
        <v>36274</v>
      </c>
      <c r="D39" s="39">
        <v>0.48458951309999998</v>
      </c>
      <c r="E39" s="35">
        <v>0.30677620329999999</v>
      </c>
      <c r="F39" s="35" t="s">
        <v>135</v>
      </c>
      <c r="G39" s="28" t="s">
        <v>135</v>
      </c>
      <c r="H39" s="28" t="s">
        <v>135</v>
      </c>
      <c r="I39" s="28" t="s">
        <v>135</v>
      </c>
      <c r="J39" s="28" t="s">
        <v>135</v>
      </c>
      <c r="K39" s="28" t="s">
        <v>135</v>
      </c>
      <c r="L39" s="28" t="s">
        <v>135</v>
      </c>
      <c r="M39" s="28" t="s">
        <v>135</v>
      </c>
      <c r="N39" s="28" t="s">
        <v>135</v>
      </c>
      <c r="O39" s="28" t="s">
        <v>135</v>
      </c>
      <c r="P39" s="28" t="s">
        <v>135</v>
      </c>
      <c r="Q39" s="28" t="s">
        <v>135</v>
      </c>
      <c r="R39" s="28" t="s">
        <v>135</v>
      </c>
      <c r="S39" s="28" t="s">
        <v>135</v>
      </c>
      <c r="T39" s="28" t="s">
        <v>135</v>
      </c>
      <c r="U39" t="s">
        <v>135</v>
      </c>
      <c r="V39" t="s">
        <v>135</v>
      </c>
      <c r="W39" t="s">
        <v>135</v>
      </c>
      <c r="X39" t="s">
        <v>135</v>
      </c>
      <c r="Y39" t="s">
        <v>135</v>
      </c>
      <c r="Z39" t="s">
        <v>135</v>
      </c>
      <c r="AA39" t="s">
        <v>135</v>
      </c>
      <c r="AB39" t="s">
        <v>135</v>
      </c>
    </row>
    <row r="40" spans="2:28">
      <c r="B40" s="30">
        <v>45717</v>
      </c>
      <c r="C40" s="31">
        <v>47524</v>
      </c>
      <c r="D40" s="31">
        <v>0.37225401899999999</v>
      </c>
      <c r="E40" s="31" t="s">
        <v>135</v>
      </c>
      <c r="F40" s="31" t="s">
        <v>135</v>
      </c>
      <c r="G40" s="28" t="s">
        <v>135</v>
      </c>
      <c r="H40" s="28" t="s">
        <v>135</v>
      </c>
      <c r="I40" s="28" t="s">
        <v>135</v>
      </c>
      <c r="J40" s="28" t="s">
        <v>135</v>
      </c>
      <c r="K40" s="28" t="s">
        <v>135</v>
      </c>
      <c r="L40" s="28" t="s">
        <v>135</v>
      </c>
      <c r="M40" s="28" t="s">
        <v>135</v>
      </c>
      <c r="N40" s="28" t="s">
        <v>135</v>
      </c>
      <c r="O40" s="28" t="s">
        <v>135</v>
      </c>
      <c r="P40" s="28" t="s">
        <v>135</v>
      </c>
      <c r="Q40" s="28" t="s">
        <v>135</v>
      </c>
      <c r="R40" s="28" t="s">
        <v>135</v>
      </c>
      <c r="S40" s="28" t="s">
        <v>135</v>
      </c>
      <c r="T40" s="28" t="s">
        <v>135</v>
      </c>
      <c r="U40" t="s">
        <v>135</v>
      </c>
      <c r="V40" t="s">
        <v>135</v>
      </c>
      <c r="W40" t="s">
        <v>135</v>
      </c>
      <c r="X40" t="s">
        <v>135</v>
      </c>
      <c r="Y40" t="s">
        <v>135</v>
      </c>
      <c r="Z40" t="s">
        <v>135</v>
      </c>
      <c r="AA40" t="s">
        <v>135</v>
      </c>
      <c r="AB40" t="s">
        <v>135</v>
      </c>
    </row>
    <row r="42" spans="2:28">
      <c r="D42" s="28" t="s">
        <v>118</v>
      </c>
      <c r="E42" s="28" t="s">
        <v>119</v>
      </c>
      <c r="F42" s="28" t="s">
        <v>120</v>
      </c>
      <c r="G42" s="28" t="s">
        <v>121</v>
      </c>
      <c r="H42" s="28" t="s">
        <v>122</v>
      </c>
      <c r="I42" s="28" t="s">
        <v>123</v>
      </c>
      <c r="J42" s="28" t="s">
        <v>124</v>
      </c>
      <c r="K42" s="28" t="s">
        <v>125</v>
      </c>
      <c r="L42" s="28" t="s">
        <v>126</v>
      </c>
      <c r="M42" s="28" t="s">
        <v>127</v>
      </c>
      <c r="N42" s="28" t="s">
        <v>128</v>
      </c>
      <c r="O42" s="28" t="s">
        <v>129</v>
      </c>
      <c r="P42" s="28" t="s">
        <v>130</v>
      </c>
      <c r="Q42" s="28" t="s">
        <v>131</v>
      </c>
      <c r="R42" s="28" t="s">
        <v>132</v>
      </c>
      <c r="S42" s="28" t="s">
        <v>133</v>
      </c>
      <c r="T42" s="28" t="s">
        <v>134</v>
      </c>
      <c r="U42" t="s">
        <v>143</v>
      </c>
      <c r="V42" t="s">
        <v>144</v>
      </c>
      <c r="W42" t="s">
        <v>145</v>
      </c>
      <c r="X42" t="s">
        <v>146</v>
      </c>
      <c r="Y42" t="s">
        <v>147</v>
      </c>
      <c r="Z42" t="s">
        <v>148</v>
      </c>
    </row>
    <row r="43" spans="2:28">
      <c r="D43" s="41">
        <f>AVERAGE(D28:D39)</f>
        <v>0.47305267537500012</v>
      </c>
      <c r="E43" s="41">
        <f>AVERAGE(E27:E38)</f>
        <v>0.33684441711666668</v>
      </c>
      <c r="F43" s="41">
        <f>AVERAGE(F26:F37)</f>
        <v>0.26124084791666669</v>
      </c>
      <c r="G43" s="42">
        <f>AVERAGE(G25:G36)</f>
        <v>0.21342319521666667</v>
      </c>
      <c r="H43" s="41">
        <f>AVERAGE(H24:H35)</f>
        <v>0.18282464978333335</v>
      </c>
      <c r="I43" s="41">
        <f>AVERAGE(I23:I34)</f>
        <v>0.157871715725</v>
      </c>
      <c r="J43" s="41">
        <f>AVERAGE(J22:J33)</f>
        <v>0.14117783396666669</v>
      </c>
      <c r="K43" s="41">
        <f>AVERAGE(K21:K32)</f>
        <v>0.12776500461666668</v>
      </c>
      <c r="L43" s="41">
        <f>AVERAGE(L20:L31)</f>
        <v>0.11625114679166669</v>
      </c>
      <c r="M43" s="41">
        <f>AVERAGE(M19:M30)</f>
        <v>0.10643280169500001</v>
      </c>
      <c r="N43" s="41">
        <f>AVERAGE(N18:N29)</f>
        <v>9.6942358662500006E-2</v>
      </c>
      <c r="O43" s="36">
        <f>AVERAGE(O17:O28)</f>
        <v>9.0711239829166679E-2</v>
      </c>
      <c r="P43" s="36">
        <f>AVERAGE(P16:P27)</f>
        <v>8.4292086904166674E-2</v>
      </c>
      <c r="Q43" s="36">
        <f>AVERAGE(Q15:Q26)</f>
        <v>7.9386768664166676E-2</v>
      </c>
      <c r="R43" s="36">
        <f>AVERAGE(R14:R25)</f>
        <v>7.410189686916667E-2</v>
      </c>
      <c r="S43" s="36">
        <f>AVERAGE(S13:S24)</f>
        <v>6.9496347427500008E-2</v>
      </c>
      <c r="T43" s="36">
        <f>AVERAGE(T12:T23)</f>
        <v>6.6399388431666664E-2</v>
      </c>
      <c r="U43" s="36">
        <f>AVERAGE(U11:U22)</f>
        <v>6.2196266391666671E-2</v>
      </c>
      <c r="V43" s="36">
        <f>AVERAGE(V10:V21)</f>
        <v>5.9117259570000004E-2</v>
      </c>
      <c r="W43" s="36">
        <f>AVERAGE(W9:W20)</f>
        <v>5.5970378878333331E-2</v>
      </c>
      <c r="X43" s="36">
        <f>AVERAGE(X8:X19)</f>
        <v>5.5099232342499992E-2</v>
      </c>
      <c r="Y43" s="36">
        <f>AVERAGE(Y7:Y18)</f>
        <v>5.2016110574166663E-2</v>
      </c>
      <c r="Z43" s="36">
        <f>AVERAGE(Z6:Z17)</f>
        <v>4.9096390043333334E-2</v>
      </c>
    </row>
    <row r="44" spans="2:28"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2:28">
      <c r="D45" s="41">
        <f>D43</f>
        <v>0.47305267537500012</v>
      </c>
      <c r="E45" s="43">
        <f>SUM($D43:E43)</f>
        <v>0.80989709249166686</v>
      </c>
      <c r="F45" s="43">
        <f>SUM($D43:F43)</f>
        <v>1.0711379404083337</v>
      </c>
      <c r="G45" s="43">
        <f>SUM($D43:G43)</f>
        <v>1.2845611356250004</v>
      </c>
      <c r="H45" s="43">
        <f>SUM($D43:H43)</f>
        <v>1.4673857854083336</v>
      </c>
      <c r="I45" s="43">
        <f>SUM($D43:I43)</f>
        <v>1.6252575011333337</v>
      </c>
      <c r="J45" s="43">
        <f>SUM($D43:J43)</f>
        <v>1.7664353351000004</v>
      </c>
      <c r="K45" s="43">
        <f>SUM($D43:K43)</f>
        <v>1.8942003397166671</v>
      </c>
      <c r="L45" s="43">
        <f>SUM($D43:L43)</f>
        <v>2.0104514865083338</v>
      </c>
      <c r="M45" s="43">
        <f>SUM($D43:M43)</f>
        <v>2.1168842882033339</v>
      </c>
      <c r="N45" s="43">
        <f>SUM($D43:N43)</f>
        <v>2.2138266468658339</v>
      </c>
      <c r="O45" s="43">
        <f>SUM($D43:O43)</f>
        <v>2.3045378866950004</v>
      </c>
      <c r="P45" s="43">
        <f>SUM($D43:P43)</f>
        <v>2.3888299735991669</v>
      </c>
      <c r="Q45" s="43">
        <f>SUM($D43:Q43)</f>
        <v>2.4682167422633334</v>
      </c>
      <c r="R45" s="43">
        <f>SUM($D43:R43)</f>
        <v>2.5423186391325001</v>
      </c>
      <c r="S45" s="43">
        <f>SUM($D43:S43)</f>
        <v>2.6118149865600002</v>
      </c>
      <c r="T45" s="43">
        <f>SUM($D43:T43)</f>
        <v>2.6782143749916667</v>
      </c>
      <c r="U45" s="43">
        <f>SUM($D43:U43)</f>
        <v>2.7404106413833333</v>
      </c>
      <c r="V45" s="43">
        <f>SUM($D43:V43)</f>
        <v>2.7995279009533331</v>
      </c>
      <c r="W45" s="43">
        <f>SUM($D43:W43)</f>
        <v>2.8554982798316666</v>
      </c>
      <c r="X45" s="43">
        <f>SUM($D43:X43)</f>
        <v>2.9105975121741667</v>
      </c>
      <c r="Y45" s="43">
        <f>SUM($D43:Y43)</f>
        <v>2.9626136227483335</v>
      </c>
      <c r="Z45" s="43">
        <f>SUM($D43:Z43)</f>
        <v>3.0117100127916667</v>
      </c>
    </row>
    <row r="52" spans="1:9">
      <c r="A52" t="s">
        <v>140</v>
      </c>
      <c r="B52" s="28" t="s">
        <v>116</v>
      </c>
      <c r="C52" s="28" t="s">
        <v>117</v>
      </c>
      <c r="D52" s="28" t="s">
        <v>118</v>
      </c>
      <c r="E52" s="28" t="s">
        <v>119</v>
      </c>
      <c r="F52" s="28" t="s">
        <v>120</v>
      </c>
    </row>
    <row r="53" spans="1:9">
      <c r="B53" s="29">
        <v>44562</v>
      </c>
      <c r="C53" s="28">
        <v>41893</v>
      </c>
      <c r="D53" s="28">
        <v>0.32482753679999998</v>
      </c>
      <c r="E53" s="28">
        <v>0.1923471702</v>
      </c>
      <c r="F53" s="28">
        <v>0.125056692</v>
      </c>
    </row>
    <row r="54" spans="1:9">
      <c r="B54" s="29">
        <v>44593</v>
      </c>
      <c r="C54" s="28">
        <v>30070</v>
      </c>
      <c r="D54" s="28">
        <v>0.29587628869999999</v>
      </c>
      <c r="E54" s="28">
        <v>0.1673428666</v>
      </c>
      <c r="F54" s="28">
        <v>0.1055869638</v>
      </c>
    </row>
    <row r="55" spans="1:9">
      <c r="B55" s="29">
        <v>44621</v>
      </c>
      <c r="C55" s="28">
        <v>32882</v>
      </c>
      <c r="D55" s="28">
        <v>0.29900857609999998</v>
      </c>
      <c r="E55" s="40">
        <v>0.170914178</v>
      </c>
      <c r="F55" s="28">
        <v>0.10777933219999999</v>
      </c>
    </row>
    <row r="56" spans="1:9">
      <c r="B56" s="29">
        <v>44652</v>
      </c>
      <c r="C56" s="28">
        <v>34819</v>
      </c>
      <c r="D56" s="40">
        <v>0.29696430109999999</v>
      </c>
      <c r="E56" s="40">
        <v>0.16582900140000001</v>
      </c>
      <c r="F56" s="28">
        <v>9.2736724199999995E-2</v>
      </c>
    </row>
    <row r="57" spans="1:9">
      <c r="B57" s="29">
        <v>44682</v>
      </c>
      <c r="C57" s="28">
        <v>40566</v>
      </c>
      <c r="D57" s="40">
        <v>0.30254400240000001</v>
      </c>
      <c r="E57" s="40">
        <v>0.17425923190000001</v>
      </c>
      <c r="F57" s="28" t="s">
        <v>135</v>
      </c>
    </row>
    <row r="58" spans="1:9">
      <c r="B58" s="29">
        <v>44713</v>
      </c>
      <c r="C58" s="28">
        <v>40612</v>
      </c>
      <c r="D58" s="40">
        <v>0.30749532159999998</v>
      </c>
      <c r="E58" s="40">
        <v>0.1795528415</v>
      </c>
      <c r="F58" s="28" t="s">
        <v>135</v>
      </c>
    </row>
    <row r="59" spans="1:9">
      <c r="B59" s="29">
        <v>44743</v>
      </c>
      <c r="C59" s="28">
        <v>92040</v>
      </c>
      <c r="D59" s="40">
        <v>0.41216862230000001</v>
      </c>
      <c r="E59" s="40">
        <v>0.28246414600000003</v>
      </c>
      <c r="F59" s="28" t="s">
        <v>135</v>
      </c>
    </row>
    <row r="60" spans="1:9">
      <c r="B60" s="29">
        <v>44774</v>
      </c>
      <c r="C60" s="28">
        <v>70477</v>
      </c>
      <c r="D60" s="40">
        <v>0.36648835790000001</v>
      </c>
      <c r="E60" s="40">
        <v>0.24166749439999999</v>
      </c>
      <c r="F60" s="28" t="s">
        <v>135</v>
      </c>
    </row>
    <row r="61" spans="1:9">
      <c r="B61" s="29">
        <v>44805</v>
      </c>
      <c r="C61" s="28">
        <v>49273</v>
      </c>
      <c r="D61" s="40">
        <v>0.33580256939999997</v>
      </c>
      <c r="E61" s="40">
        <v>0.21419438639999999</v>
      </c>
      <c r="F61" s="28" t="s">
        <v>135</v>
      </c>
    </row>
    <row r="62" spans="1:9">
      <c r="B62" s="29">
        <v>44835</v>
      </c>
      <c r="C62" s="28">
        <v>46027</v>
      </c>
      <c r="D62" s="40">
        <v>0.3227670715</v>
      </c>
      <c r="E62" s="40">
        <v>0.19996958309999999</v>
      </c>
      <c r="F62" s="28" t="s">
        <v>135</v>
      </c>
    </row>
    <row r="63" spans="1:9">
      <c r="B63" s="29">
        <v>44866</v>
      </c>
      <c r="C63" s="28">
        <v>45000</v>
      </c>
      <c r="D63" s="40">
        <v>0.31962222219999997</v>
      </c>
      <c r="E63" s="40">
        <v>0.19451111109999999</v>
      </c>
      <c r="F63" s="28" t="s">
        <v>135</v>
      </c>
      <c r="H63" t="s">
        <v>141</v>
      </c>
      <c r="I63" t="s">
        <v>142</v>
      </c>
    </row>
    <row r="64" spans="1:9">
      <c r="B64" s="29">
        <v>44896</v>
      </c>
      <c r="C64" s="28">
        <v>49433</v>
      </c>
      <c r="D64" s="40">
        <v>0.33465498760000001</v>
      </c>
      <c r="E64" s="40">
        <v>0.20830214629999999</v>
      </c>
      <c r="F64" s="28" t="s">
        <v>135</v>
      </c>
      <c r="H64" s="41">
        <f>AVERAGE(D56:D67)</f>
        <v>0.32639780836666671</v>
      </c>
      <c r="I64" s="41">
        <f>AVERAGE(E55:E66)</f>
        <v>0.19849436868333334</v>
      </c>
    </row>
    <row r="65" spans="2:9">
      <c r="B65" s="29">
        <v>44927</v>
      </c>
      <c r="C65" s="28">
        <v>49149</v>
      </c>
      <c r="D65" s="40">
        <v>0.32200044760000002</v>
      </c>
      <c r="E65" s="40">
        <v>0.18476469509999999</v>
      </c>
      <c r="F65" s="28" t="s">
        <v>135</v>
      </c>
      <c r="I65" s="41">
        <f>H64+I64</f>
        <v>0.52489217705000002</v>
      </c>
    </row>
    <row r="66" spans="2:9">
      <c r="B66" s="29">
        <v>44958</v>
      </c>
      <c r="C66" s="28">
        <v>33389</v>
      </c>
      <c r="D66" s="40">
        <v>0.299919135</v>
      </c>
      <c r="E66" s="40">
        <v>0.165503609</v>
      </c>
      <c r="F66" s="28" t="s">
        <v>135</v>
      </c>
    </row>
    <row r="67" spans="2:9">
      <c r="B67" s="29">
        <v>44986</v>
      </c>
      <c r="C67" s="28">
        <v>38239</v>
      </c>
      <c r="D67" s="40">
        <v>0.29634666180000002</v>
      </c>
      <c r="E67" s="28">
        <v>0.16443944660000001</v>
      </c>
      <c r="F67" s="28" t="s">
        <v>135</v>
      </c>
    </row>
    <row r="68" spans="2:9">
      <c r="B68" s="29">
        <v>45017</v>
      </c>
      <c r="C68" s="28">
        <v>35268</v>
      </c>
      <c r="D68" s="28">
        <v>0.27804241810000002</v>
      </c>
      <c r="E68" s="28">
        <v>0.1309685834</v>
      </c>
      <c r="F68" s="28" t="s">
        <v>135</v>
      </c>
    </row>
    <row r="69" spans="2:9">
      <c r="B69" s="29">
        <v>45047</v>
      </c>
      <c r="C69" s="28">
        <v>32718</v>
      </c>
      <c r="D69" s="28">
        <v>0.2805183691</v>
      </c>
      <c r="E69" s="28" t="s">
        <v>135</v>
      </c>
      <c r="F69" s="28" t="s">
        <v>135</v>
      </c>
    </row>
    <row r="70" spans="2:9">
      <c r="B70" s="29">
        <v>45078</v>
      </c>
      <c r="C70" s="28">
        <v>34849</v>
      </c>
      <c r="D70" s="28">
        <v>0.2738672559</v>
      </c>
      <c r="E70" s="28" t="s">
        <v>135</v>
      </c>
      <c r="F70" s="28" t="s">
        <v>135</v>
      </c>
    </row>
    <row r="71" spans="2:9">
      <c r="B71" s="29">
        <v>45108</v>
      </c>
      <c r="C71" s="28">
        <v>43211</v>
      </c>
      <c r="D71" s="28">
        <v>0.28481173780000002</v>
      </c>
      <c r="E71" s="28" t="s">
        <v>135</v>
      </c>
      <c r="F71" s="28" t="s">
        <v>135</v>
      </c>
    </row>
    <row r="72" spans="2:9">
      <c r="B72" s="29">
        <v>45139</v>
      </c>
      <c r="C72" s="28">
        <v>60559</v>
      </c>
      <c r="D72" s="28">
        <v>0.31295100650000002</v>
      </c>
      <c r="E72" s="28" t="s">
        <v>135</v>
      </c>
      <c r="F72" s="28" t="s">
        <v>135</v>
      </c>
    </row>
    <row r="73" spans="2:9">
      <c r="B73" s="29">
        <v>45170</v>
      </c>
      <c r="C73" s="28">
        <v>74792</v>
      </c>
      <c r="D73" s="28">
        <v>0.30475184509999997</v>
      </c>
      <c r="E73" s="28" t="s">
        <v>135</v>
      </c>
      <c r="F73" s="28" t="s">
        <v>135</v>
      </c>
    </row>
    <row r="74" spans="2:9">
      <c r="B74" s="29">
        <v>45200</v>
      </c>
      <c r="C74" s="28">
        <v>60091</v>
      </c>
      <c r="D74" s="28">
        <v>0.28832936710000001</v>
      </c>
      <c r="E74" s="28" t="s">
        <v>135</v>
      </c>
      <c r="F74" s="28" t="s">
        <v>135</v>
      </c>
    </row>
    <row r="75" spans="2:9">
      <c r="B75" s="29">
        <v>45231</v>
      </c>
      <c r="C75" s="28">
        <v>54939</v>
      </c>
      <c r="D75" s="28">
        <v>0.28739147050000002</v>
      </c>
      <c r="E75" s="28" t="s">
        <v>135</v>
      </c>
      <c r="F75" s="28" t="s">
        <v>135</v>
      </c>
    </row>
    <row r="76" spans="2:9">
      <c r="B76" s="29">
        <v>45261</v>
      </c>
      <c r="C76" s="28">
        <v>51974</v>
      </c>
      <c r="D76" s="28">
        <v>0.27848539649999998</v>
      </c>
      <c r="E76" s="28" t="s">
        <v>135</v>
      </c>
      <c r="F76" s="28" t="s">
        <v>135</v>
      </c>
    </row>
    <row r="77" spans="2:9">
      <c r="B77" s="29">
        <v>45292</v>
      </c>
      <c r="C77" s="28">
        <v>50419</v>
      </c>
      <c r="D77" s="28">
        <v>0.29514667090000002</v>
      </c>
      <c r="E77" s="28" t="s">
        <v>135</v>
      </c>
      <c r="F77" s="28" t="s">
        <v>135</v>
      </c>
    </row>
    <row r="78" spans="2:9">
      <c r="B78" s="29">
        <v>45323</v>
      </c>
      <c r="C78" s="28">
        <v>51598</v>
      </c>
      <c r="D78" s="28">
        <v>0.27987518900000002</v>
      </c>
      <c r="E78" s="28" t="s">
        <v>135</v>
      </c>
      <c r="F78" s="28" t="s">
        <v>135</v>
      </c>
    </row>
    <row r="79" spans="2:9">
      <c r="B79" s="29">
        <v>45352</v>
      </c>
      <c r="C79" s="28">
        <v>49754</v>
      </c>
      <c r="D79" s="28">
        <v>0.27420910879999999</v>
      </c>
      <c r="E79" s="28" t="s">
        <v>135</v>
      </c>
      <c r="F79" s="28" t="s">
        <v>135</v>
      </c>
    </row>
    <row r="80" spans="2:9">
      <c r="B80" s="29">
        <v>45383</v>
      </c>
      <c r="C80" s="28">
        <v>50198</v>
      </c>
      <c r="D80" s="28">
        <v>0.23957129769999999</v>
      </c>
      <c r="E80" s="28" t="s">
        <v>135</v>
      </c>
      <c r="F80" s="28" t="s">
        <v>135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A636-944A-F946-802B-7905C530804C}">
  <dimension ref="A2:AC83"/>
  <sheetViews>
    <sheetView topLeftCell="A34" workbookViewId="0">
      <selection activeCell="F47" sqref="F47"/>
    </sheetView>
  </sheetViews>
  <sheetFormatPr baseColWidth="10" defaultRowHeight="16"/>
  <cols>
    <col min="1" max="1" width="14.6640625" bestFit="1" customWidth="1"/>
    <col min="2" max="2" width="19" customWidth="1"/>
    <col min="3" max="4" width="19.6640625" style="6" customWidth="1"/>
    <col min="5" max="5" width="19.33203125" customWidth="1"/>
    <col min="6" max="6" width="18.5" customWidth="1"/>
    <col min="8" max="8" width="13.33203125" bestFit="1" customWidth="1"/>
    <col min="9" max="9" width="14.6640625" customWidth="1"/>
    <col min="10" max="10" width="15" bestFit="1" customWidth="1"/>
    <col min="11" max="21" width="13.83203125" customWidth="1"/>
    <col min="27" max="27" width="20.33203125" bestFit="1" customWidth="1"/>
  </cols>
  <sheetData>
    <row r="2" spans="3:29">
      <c r="C2" s="53"/>
      <c r="D2" s="85"/>
      <c r="E2" s="144" t="s">
        <v>101</v>
      </c>
      <c r="F2" s="145"/>
      <c r="G2" s="145"/>
      <c r="H2" s="145"/>
      <c r="I2" s="145"/>
      <c r="J2" s="146"/>
      <c r="K2" s="144" t="s">
        <v>102</v>
      </c>
      <c r="L2" s="145"/>
      <c r="M2" s="145"/>
      <c r="N2" s="145"/>
      <c r="O2" s="145"/>
      <c r="P2" s="146"/>
    </row>
    <row r="3" spans="3:29">
      <c r="C3" s="54"/>
      <c r="D3" s="86"/>
      <c r="E3" s="144" t="s">
        <v>103</v>
      </c>
      <c r="F3" s="145"/>
      <c r="G3" s="146"/>
      <c r="H3" s="144" t="s">
        <v>104</v>
      </c>
      <c r="I3" s="145"/>
      <c r="J3" s="146"/>
      <c r="K3" s="144" t="s">
        <v>103</v>
      </c>
      <c r="L3" s="145"/>
      <c r="M3" s="146"/>
      <c r="N3" s="144" t="s">
        <v>104</v>
      </c>
      <c r="O3" s="145"/>
      <c r="P3" s="146"/>
    </row>
    <row r="4" spans="3:29">
      <c r="C4" s="55" t="s">
        <v>84</v>
      </c>
      <c r="D4" s="87"/>
      <c r="E4" s="16" t="s">
        <v>105</v>
      </c>
      <c r="F4" s="16" t="s">
        <v>106</v>
      </c>
      <c r="G4" s="17" t="s">
        <v>107</v>
      </c>
      <c r="H4" s="16" t="s">
        <v>105</v>
      </c>
      <c r="I4" s="16" t="s">
        <v>106</v>
      </c>
      <c r="J4" s="16" t="s">
        <v>107</v>
      </c>
      <c r="K4" s="18" t="s">
        <v>105</v>
      </c>
      <c r="L4" s="16" t="s">
        <v>106</v>
      </c>
      <c r="M4" s="16" t="s">
        <v>107</v>
      </c>
      <c r="N4" s="18" t="s">
        <v>105</v>
      </c>
      <c r="O4" s="16" t="s">
        <v>106</v>
      </c>
      <c r="P4" s="16" t="s">
        <v>107</v>
      </c>
    </row>
    <row r="5" spans="3:29">
      <c r="C5" s="56" t="s">
        <v>108</v>
      </c>
      <c r="D5" s="56"/>
      <c r="E5" s="21">
        <v>7428</v>
      </c>
      <c r="F5" s="21">
        <v>6041</v>
      </c>
      <c r="G5" s="21">
        <v>6058</v>
      </c>
      <c r="H5" s="21">
        <v>258</v>
      </c>
      <c r="I5" s="21">
        <v>167</v>
      </c>
      <c r="J5" s="21">
        <v>215</v>
      </c>
      <c r="K5" s="21">
        <v>75</v>
      </c>
      <c r="L5" s="21">
        <v>44</v>
      </c>
      <c r="M5" s="21">
        <v>70</v>
      </c>
      <c r="N5" s="21">
        <v>20</v>
      </c>
      <c r="O5" s="21">
        <v>13</v>
      </c>
      <c r="P5" s="21">
        <v>18</v>
      </c>
    </row>
    <row r="6" spans="3:29">
      <c r="C6" s="56" t="s">
        <v>109</v>
      </c>
      <c r="D6" s="56"/>
      <c r="E6" s="22"/>
      <c r="F6" s="21">
        <f>(F5-E5)/0.33</f>
        <v>-4203.030303030303</v>
      </c>
      <c r="G6" s="21">
        <f>(G5-E5)/0.33</f>
        <v>-4151.515151515151</v>
      </c>
      <c r="H6" s="22"/>
      <c r="I6" s="21">
        <f>(I5-H5)/0.33</f>
        <v>-275.75757575757575</v>
      </c>
      <c r="J6" s="21">
        <f>(J5-H5)/0.33</f>
        <v>-130.30303030303028</v>
      </c>
      <c r="K6" s="22"/>
      <c r="L6" s="21">
        <f>(L5-K5)/0.33</f>
        <v>-93.939393939393938</v>
      </c>
      <c r="M6" s="21">
        <f>(M5-K5)/0.33</f>
        <v>-15.15151515151515</v>
      </c>
      <c r="N6" s="22"/>
      <c r="O6" s="21">
        <f>(O5-N5)/0.33</f>
        <v>-21.212121212121211</v>
      </c>
      <c r="P6" s="21">
        <f>(P5-N5)/0.33</f>
        <v>-6.0606060606060606</v>
      </c>
    </row>
    <row r="7" spans="3:29" ht="28">
      <c r="C7" s="57" t="s">
        <v>110</v>
      </c>
      <c r="D7" s="88"/>
      <c r="E7" s="24"/>
      <c r="F7" s="25">
        <f>F5-E5</f>
        <v>-1387</v>
      </c>
      <c r="G7" s="25">
        <f>G5-E5</f>
        <v>-1370</v>
      </c>
      <c r="H7" s="26"/>
      <c r="I7" s="25">
        <f>I5-H5</f>
        <v>-91</v>
      </c>
      <c r="J7" s="25">
        <f>J5-H5</f>
        <v>-43</v>
      </c>
      <c r="K7" s="26"/>
      <c r="L7" s="25">
        <f>L5-K5</f>
        <v>-31</v>
      </c>
      <c r="M7" s="25">
        <f>M5-K5</f>
        <v>-5</v>
      </c>
      <c r="N7" s="26"/>
      <c r="O7" s="25">
        <f>O5-N5</f>
        <v>-7</v>
      </c>
      <c r="P7" s="25">
        <f>P5-N5</f>
        <v>-2</v>
      </c>
    </row>
    <row r="9" spans="3:29">
      <c r="E9" s="19" t="s">
        <v>109</v>
      </c>
      <c r="F9" s="20">
        <f>F6+I6</f>
        <v>-4478.787878787879</v>
      </c>
      <c r="G9" s="20">
        <f>G6+J6</f>
        <v>-4281.8181818181811</v>
      </c>
      <c r="L9" s="20">
        <f>L6+O6</f>
        <v>-115.15151515151516</v>
      </c>
      <c r="M9" s="20">
        <f>M6+P6</f>
        <v>-21.212121212121211</v>
      </c>
    </row>
    <row r="10" spans="3:29">
      <c r="E10" s="23" t="s">
        <v>110</v>
      </c>
      <c r="F10" s="20">
        <f>F7+I7</f>
        <v>-1478</v>
      </c>
      <c r="G10" s="20">
        <f>G7+J7</f>
        <v>-1413</v>
      </c>
      <c r="K10" s="27" t="s">
        <v>111</v>
      </c>
      <c r="L10" s="20">
        <f>L7+O7</f>
        <v>-38</v>
      </c>
      <c r="M10" s="20">
        <f>M7+P7</f>
        <v>-7</v>
      </c>
    </row>
    <row r="11" spans="3:29">
      <c r="F11" s="20"/>
    </row>
    <row r="12" spans="3:29">
      <c r="E12" s="27"/>
    </row>
    <row r="14" spans="3:29">
      <c r="C14" s="147" t="s">
        <v>151</v>
      </c>
      <c r="D14" s="89"/>
      <c r="E14" s="137" t="s">
        <v>152</v>
      </c>
      <c r="F14" s="139" t="s">
        <v>155</v>
      </c>
      <c r="G14" s="149" t="s">
        <v>153</v>
      </c>
      <c r="I14" s="137"/>
      <c r="J14" s="138"/>
      <c r="K14" s="51"/>
      <c r="L14" s="52"/>
      <c r="M14" s="137"/>
      <c r="N14" s="138"/>
      <c r="O14" s="134"/>
      <c r="P14" s="135"/>
      <c r="Q14" s="136"/>
      <c r="R14" s="49"/>
      <c r="S14" s="134"/>
      <c r="T14" s="135"/>
      <c r="U14" s="136"/>
      <c r="V14" s="49"/>
      <c r="W14" s="134"/>
      <c r="X14" s="135"/>
      <c r="Y14" s="136"/>
      <c r="Z14" s="22"/>
      <c r="AA14" s="134"/>
      <c r="AB14" s="135"/>
      <c r="AC14" s="136"/>
    </row>
    <row r="15" spans="3:29">
      <c r="C15" s="148"/>
      <c r="D15" s="90"/>
      <c r="E15" s="138"/>
      <c r="F15" s="140"/>
      <c r="G15" s="150"/>
      <c r="I15" s="137"/>
      <c r="J15" s="138"/>
      <c r="K15" s="22"/>
      <c r="L15" s="22"/>
      <c r="M15" s="137"/>
      <c r="N15" s="138"/>
      <c r="O15" s="49"/>
      <c r="P15" s="49"/>
      <c r="Q15" s="49"/>
      <c r="R15" s="22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3:29">
      <c r="C16" s="151" t="s">
        <v>154</v>
      </c>
      <c r="D16" s="91"/>
      <c r="E16" s="22"/>
      <c r="F16" s="49"/>
      <c r="G16" s="49"/>
      <c r="I16" s="139"/>
      <c r="J16" s="140"/>
      <c r="K16" s="49"/>
      <c r="L16" s="49"/>
      <c r="M16" s="139"/>
      <c r="N16" s="140"/>
      <c r="O16" s="50"/>
      <c r="P16" s="50"/>
      <c r="Q16" s="50"/>
      <c r="R16" s="49"/>
      <c r="S16" s="50"/>
      <c r="T16" s="50"/>
      <c r="U16" s="50"/>
      <c r="V16" s="49"/>
      <c r="W16" s="50"/>
      <c r="X16" s="50"/>
      <c r="Y16" s="50"/>
      <c r="Z16" s="49"/>
      <c r="AA16" s="50"/>
      <c r="AB16" s="50"/>
      <c r="AC16" s="50"/>
    </row>
    <row r="17" spans="3:29">
      <c r="C17" s="142"/>
      <c r="D17" s="91"/>
      <c r="E17" s="22"/>
      <c r="F17" s="49"/>
      <c r="G17" s="49"/>
      <c r="I17" s="137"/>
      <c r="J17" s="138"/>
      <c r="K17" s="49"/>
      <c r="L17" s="49"/>
      <c r="M17" s="137"/>
      <c r="N17" s="138"/>
      <c r="O17" s="49"/>
      <c r="P17" s="50"/>
      <c r="Q17" s="50"/>
      <c r="R17" s="49"/>
      <c r="S17" s="49"/>
      <c r="T17" s="50"/>
      <c r="U17" s="50"/>
      <c r="V17" s="49"/>
      <c r="W17" s="49"/>
      <c r="X17" s="50"/>
      <c r="Y17" s="50"/>
      <c r="Z17" s="22"/>
      <c r="AA17" s="22"/>
      <c r="AB17" s="50"/>
      <c r="AC17" s="50"/>
    </row>
    <row r="18" spans="3:29">
      <c r="C18" s="143"/>
      <c r="D18" s="92"/>
      <c r="E18" s="22"/>
      <c r="F18" s="49"/>
      <c r="G18" s="49"/>
    </row>
    <row r="19" spans="3:29">
      <c r="C19" s="58"/>
      <c r="D19" s="58"/>
      <c r="E19" s="22"/>
      <c r="F19" s="49"/>
      <c r="G19" s="49"/>
    </row>
    <row r="20" spans="3:29">
      <c r="C20" s="141"/>
      <c r="D20" s="93"/>
      <c r="E20" s="112"/>
      <c r="F20" s="50"/>
      <c r="G20" s="49"/>
    </row>
    <row r="21" spans="3:29">
      <c r="C21" s="142"/>
      <c r="D21" s="91"/>
      <c r="E21" s="112"/>
      <c r="F21" s="50"/>
      <c r="G21" s="50"/>
    </row>
    <row r="22" spans="3:29">
      <c r="C22" s="143"/>
      <c r="D22" s="92"/>
      <c r="E22" s="112"/>
      <c r="F22" s="50"/>
      <c r="G22" s="50"/>
    </row>
    <row r="23" spans="3:29">
      <c r="C23" s="58"/>
      <c r="D23" s="58"/>
      <c r="E23" s="22"/>
      <c r="F23" s="49"/>
      <c r="G23" s="49"/>
    </row>
    <row r="24" spans="3:29">
      <c r="C24" s="141"/>
      <c r="D24" s="93"/>
      <c r="E24" s="112"/>
      <c r="F24" s="50"/>
      <c r="G24" s="49"/>
    </row>
    <row r="25" spans="3:29">
      <c r="C25" s="142"/>
      <c r="D25" s="91"/>
      <c r="E25" s="112"/>
      <c r="F25" s="50"/>
      <c r="G25" s="50"/>
    </row>
    <row r="26" spans="3:29">
      <c r="C26" s="143"/>
      <c r="D26" s="92"/>
      <c r="E26" s="112"/>
      <c r="F26" s="50"/>
      <c r="G26" s="50"/>
    </row>
    <row r="27" spans="3:29">
      <c r="C27" s="58"/>
      <c r="D27" s="58"/>
      <c r="E27" s="49"/>
      <c r="F27" s="49"/>
      <c r="G27" s="49"/>
    </row>
    <row r="28" spans="3:29">
      <c r="C28" s="141"/>
      <c r="D28" s="93"/>
      <c r="E28" s="112"/>
      <c r="F28" s="50"/>
      <c r="G28" s="49"/>
    </row>
    <row r="29" spans="3:29">
      <c r="C29" s="142"/>
      <c r="D29" s="91"/>
      <c r="E29" s="112"/>
      <c r="F29" s="50"/>
      <c r="G29" s="50"/>
    </row>
    <row r="30" spans="3:29">
      <c r="C30" s="143"/>
      <c r="D30" s="92"/>
      <c r="E30" s="112"/>
      <c r="F30" s="50"/>
      <c r="G30" s="50"/>
    </row>
    <row r="31" spans="3:29">
      <c r="C31" s="59"/>
      <c r="D31" s="59"/>
      <c r="E31" s="49"/>
      <c r="F31" s="49"/>
      <c r="G31" s="22"/>
    </row>
    <row r="32" spans="3:29">
      <c r="C32" s="141"/>
      <c r="D32" s="93"/>
      <c r="E32" s="112"/>
      <c r="F32" s="50"/>
      <c r="G32" s="49"/>
    </row>
    <row r="33" spans="1:27">
      <c r="C33" s="142"/>
      <c r="D33" s="91"/>
      <c r="E33" s="112"/>
      <c r="F33" s="50"/>
      <c r="G33" s="50"/>
    </row>
    <row r="34" spans="1:27">
      <c r="C34" s="143"/>
      <c r="D34" s="92"/>
      <c r="E34" s="112"/>
      <c r="F34" s="50"/>
      <c r="G34" s="50"/>
    </row>
    <row r="37" spans="1:27">
      <c r="E37" s="111" t="s">
        <v>211</v>
      </c>
    </row>
    <row r="40" spans="1:27" s="94" customFormat="1">
      <c r="C40" s="95"/>
      <c r="D40" s="95"/>
      <c r="E40" s="96" t="s">
        <v>118</v>
      </c>
      <c r="F40" s="96" t="s">
        <v>119</v>
      </c>
      <c r="G40" s="96" t="s">
        <v>120</v>
      </c>
      <c r="H40" s="96" t="s">
        <v>121</v>
      </c>
      <c r="I40" s="96" t="s">
        <v>122</v>
      </c>
      <c r="J40" s="96" t="s">
        <v>123</v>
      </c>
      <c r="K40" s="96" t="s">
        <v>124</v>
      </c>
      <c r="L40" s="96" t="s">
        <v>125</v>
      </c>
      <c r="M40" s="96" t="s">
        <v>126</v>
      </c>
      <c r="N40" s="96" t="s">
        <v>127</v>
      </c>
      <c r="O40" s="96" t="s">
        <v>128</v>
      </c>
      <c r="P40" s="96" t="s">
        <v>129</v>
      </c>
      <c r="Q40" s="96" t="s">
        <v>130</v>
      </c>
      <c r="R40" s="96" t="s">
        <v>131</v>
      </c>
      <c r="S40" s="96" t="s">
        <v>132</v>
      </c>
      <c r="T40" s="96" t="s">
        <v>133</v>
      </c>
      <c r="U40" s="96" t="s">
        <v>134</v>
      </c>
      <c r="V40" s="94" t="s">
        <v>143</v>
      </c>
      <c r="W40" s="94" t="s">
        <v>144</v>
      </c>
      <c r="X40" s="94" t="s">
        <v>145</v>
      </c>
      <c r="Y40" s="94" t="s">
        <v>146</v>
      </c>
      <c r="Z40" s="94" t="s">
        <v>147</v>
      </c>
      <c r="AA40" s="94" t="s">
        <v>148</v>
      </c>
    </row>
    <row r="41" spans="1:27" s="94" customFormat="1">
      <c r="C41" s="95"/>
      <c r="D41" s="95"/>
      <c r="E41" s="97">
        <v>0.47305267537500012</v>
      </c>
      <c r="F41" s="97">
        <v>0.33684441711666702</v>
      </c>
      <c r="G41" s="97">
        <v>0.26124084791666669</v>
      </c>
      <c r="H41" s="98">
        <v>0.21342319521666667</v>
      </c>
      <c r="I41" s="97">
        <v>0.18282464978333335</v>
      </c>
      <c r="J41" s="97">
        <v>0.157871715725</v>
      </c>
      <c r="K41" s="97">
        <v>0.14117783396666669</v>
      </c>
      <c r="L41" s="97">
        <v>0.12776500461666668</v>
      </c>
      <c r="M41" s="97">
        <v>0.11625114679166669</v>
      </c>
      <c r="N41" s="97">
        <v>0.10643280169500001</v>
      </c>
      <c r="O41" s="97">
        <v>9.6942358662500006E-2</v>
      </c>
      <c r="P41" s="99">
        <v>9.0711239829166679E-2</v>
      </c>
      <c r="Q41" s="99">
        <v>8.4292086904166674E-2</v>
      </c>
      <c r="R41" s="99">
        <v>7.9386768664166676E-2</v>
      </c>
      <c r="S41" s="99">
        <v>7.410189686916667E-2</v>
      </c>
      <c r="T41" s="99">
        <v>6.9496347427500008E-2</v>
      </c>
      <c r="U41" s="99">
        <v>6.6399388431666664E-2</v>
      </c>
      <c r="V41" s="99">
        <v>6.2196266391666671E-2</v>
      </c>
      <c r="W41" s="99">
        <v>5.9117259570000004E-2</v>
      </c>
      <c r="X41" s="99">
        <v>5.5970378878333331E-2</v>
      </c>
      <c r="Y41" s="99">
        <v>5.5099232342499992E-2</v>
      </c>
      <c r="Z41" s="99">
        <v>5.2016110574166663E-2</v>
      </c>
      <c r="AA41" s="99">
        <v>4.9096390043333334E-2</v>
      </c>
    </row>
    <row r="42" spans="1:27" s="94" customFormat="1">
      <c r="C42" s="95"/>
      <c r="D42" s="95"/>
      <c r="E42" s="94" t="s">
        <v>199</v>
      </c>
      <c r="F42" s="94" t="s">
        <v>198</v>
      </c>
      <c r="G42" s="94" t="s">
        <v>197</v>
      </c>
      <c r="H42" s="97"/>
      <c r="I42" s="97"/>
      <c r="J42" s="97"/>
      <c r="K42" s="97"/>
      <c r="L42" s="97"/>
      <c r="M42" s="97"/>
      <c r="N42" s="97"/>
      <c r="O42" s="94" t="s">
        <v>201</v>
      </c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4" t="s">
        <v>200</v>
      </c>
    </row>
    <row r="43" spans="1:27" s="94" customFormat="1">
      <c r="C43" s="95"/>
      <c r="D43" s="95"/>
      <c r="E43" s="97">
        <v>0.47305267537500001</v>
      </c>
      <c r="F43" s="100">
        <f>SUM($E41:F41)</f>
        <v>0.80989709249166708</v>
      </c>
      <c r="G43" s="100">
        <f>SUM($E41:G41)</f>
        <v>1.0711379404083337</v>
      </c>
      <c r="H43" s="100">
        <f>SUM($E41:H41)</f>
        <v>1.2845611356250004</v>
      </c>
      <c r="I43" s="100">
        <f>SUM($E41:I41)</f>
        <v>1.4673857854083336</v>
      </c>
      <c r="J43" s="100">
        <f>SUM($E41:J41)</f>
        <v>1.6252575011333337</v>
      </c>
      <c r="K43" s="100">
        <f>SUM($E41:K41)</f>
        <v>1.7664353351000004</v>
      </c>
      <c r="L43" s="100">
        <f>SUM($E41:L41)</f>
        <v>1.8942003397166671</v>
      </c>
      <c r="M43" s="100">
        <f>SUM($E41:M41)</f>
        <v>2.0104514865083338</v>
      </c>
      <c r="N43" s="100">
        <f>SUM($E41:N41)</f>
        <v>2.1168842882033339</v>
      </c>
      <c r="O43" s="100">
        <f>SUM($E41:O41)</f>
        <v>2.2138266468658339</v>
      </c>
      <c r="P43" s="100">
        <f>SUM($E41:P41)</f>
        <v>2.3045378866950004</v>
      </c>
      <c r="Q43" s="100">
        <f>SUM($E41:Q41)</f>
        <v>2.3888299735991669</v>
      </c>
      <c r="R43" s="100">
        <f>SUM($E41:R41)</f>
        <v>2.4682167422633334</v>
      </c>
      <c r="S43" s="100">
        <f>SUM($E41:S41)</f>
        <v>2.5423186391325001</v>
      </c>
      <c r="T43" s="100">
        <f>SUM($E41:T41)</f>
        <v>2.6118149865600002</v>
      </c>
      <c r="U43" s="100">
        <f>SUM($E41:U41)</f>
        <v>2.6782143749916667</v>
      </c>
      <c r="V43" s="100">
        <f>SUM($E41:V41)</f>
        <v>2.7404106413833333</v>
      </c>
      <c r="W43" s="100">
        <f>SUM($E41:W41)</f>
        <v>2.7995279009533331</v>
      </c>
      <c r="X43" s="100">
        <f>SUM($E41:X41)</f>
        <v>2.8554982798316666</v>
      </c>
      <c r="Y43" s="100">
        <f>SUM($E41:Y41)</f>
        <v>2.9105975121741667</v>
      </c>
      <c r="Z43" s="100">
        <f>SUM($E41:Z41)</f>
        <v>2.9626136227483335</v>
      </c>
      <c r="AA43" s="100">
        <f>SUM($E41:AA41)</f>
        <v>3.0117100127916667</v>
      </c>
    </row>
    <row r="44" spans="1:27" s="101" customFormat="1" ht="17" thickBot="1">
      <c r="C44" s="102"/>
      <c r="D44" s="102"/>
      <c r="O44" s="101">
        <f>O43/E43</f>
        <v>4.6798734308201118</v>
      </c>
      <c r="AA44" s="101">
        <f>AA43/E43</f>
        <v>6.3665426062842014</v>
      </c>
    </row>
    <row r="45" spans="1:27" ht="34">
      <c r="A45" s="103"/>
      <c r="B45" s="104" t="s">
        <v>137</v>
      </c>
      <c r="C45" s="105" t="s">
        <v>212</v>
      </c>
      <c r="D45" s="106" t="s">
        <v>213</v>
      </c>
      <c r="E45" t="s">
        <v>198</v>
      </c>
      <c r="F45" t="s">
        <v>197</v>
      </c>
    </row>
    <row r="46" spans="1:27">
      <c r="A46" s="112" t="s">
        <v>105</v>
      </c>
      <c r="B46" s="61">
        <v>9.4700000000000006</v>
      </c>
      <c r="C46" s="49">
        <v>61.7</v>
      </c>
      <c r="D46" s="107">
        <f>C46*B46</f>
        <v>584.29900000000009</v>
      </c>
      <c r="E46" s="44">
        <f t="shared" ref="E46:S48" si="0">$B46*$C46*E$43</f>
        <v>276.40420516893715</v>
      </c>
      <c r="F46" s="44">
        <f t="shared" si="0"/>
        <v>473.22206124578867</v>
      </c>
      <c r="G46" s="44">
        <f t="shared" si="0"/>
        <v>625.86482744264902</v>
      </c>
      <c r="H46" s="44">
        <f t="shared" si="0"/>
        <v>750.56778698455219</v>
      </c>
      <c r="I46" s="44">
        <f t="shared" si="0"/>
        <v>857.39204702830409</v>
      </c>
      <c r="J46" s="44">
        <f t="shared" si="0"/>
        <v>949.63633265470583</v>
      </c>
      <c r="K46" s="44">
        <f t="shared" si="0"/>
        <v>1032.1263998635952</v>
      </c>
      <c r="L46" s="44">
        <f t="shared" si="0"/>
        <v>1106.779364296109</v>
      </c>
      <c r="M46" s="44">
        <f t="shared" si="0"/>
        <v>1174.7047931153331</v>
      </c>
      <c r="N46" s="44">
        <f t="shared" si="0"/>
        <v>1236.8933727129199</v>
      </c>
      <c r="O46" s="44">
        <f t="shared" si="0"/>
        <v>1293.5366959370601</v>
      </c>
      <c r="P46" s="44">
        <f t="shared" si="0"/>
        <v>1346.5391826580023</v>
      </c>
      <c r="Q46" s="44">
        <f t="shared" si="0"/>
        <v>1395.7909647440199</v>
      </c>
      <c r="R46" s="44">
        <f t="shared" si="0"/>
        <v>1442.1765742877237</v>
      </c>
      <c r="S46" s="44">
        <f t="shared" si="0"/>
        <v>1485.4742385264808</v>
      </c>
      <c r="T46" s="44">
        <f t="shared" ref="T46:AA48" si="1">$B46*$C46*T$43</f>
        <v>1526.0808848320219</v>
      </c>
      <c r="U46" s="44">
        <f t="shared" si="1"/>
        <v>1564.877981093256</v>
      </c>
      <c r="V46" s="44">
        <f t="shared" si="1"/>
        <v>1601.2191973496406</v>
      </c>
      <c r="W46" s="44">
        <f t="shared" si="1"/>
        <v>1635.7613529991318</v>
      </c>
      <c r="X46" s="44">
        <f t="shared" si="1"/>
        <v>1668.4647894073632</v>
      </c>
      <c r="Y46" s="44">
        <f t="shared" si="1"/>
        <v>1700.6592157658538</v>
      </c>
      <c r="Z46" s="44">
        <f t="shared" si="1"/>
        <v>1731.0521771582287</v>
      </c>
      <c r="AA46" s="44">
        <f>$B46*$C46*AA$43</f>
        <v>1759.7391487641582</v>
      </c>
    </row>
    <row r="47" spans="1:27">
      <c r="A47" s="112" t="s">
        <v>106</v>
      </c>
      <c r="B47" s="61">
        <v>9.1</v>
      </c>
      <c r="C47" s="49">
        <v>43.5</v>
      </c>
      <c r="D47" s="107">
        <f t="shared" ref="D47:D48" si="2">C47*B47</f>
        <v>395.84999999999997</v>
      </c>
      <c r="E47" s="44">
        <f t="shared" si="0"/>
        <v>187.25790154719374</v>
      </c>
      <c r="F47" s="44">
        <f t="shared" si="0"/>
        <v>320.5977640628264</v>
      </c>
      <c r="G47" s="44">
        <f t="shared" si="0"/>
        <v>424.00995371063885</v>
      </c>
      <c r="H47" s="44">
        <f t="shared" si="0"/>
        <v>508.49352553715636</v>
      </c>
      <c r="I47" s="44">
        <f t="shared" si="0"/>
        <v>580.86466315388884</v>
      </c>
      <c r="J47" s="44">
        <f t="shared" si="0"/>
        <v>643.35818182363005</v>
      </c>
      <c r="K47" s="44">
        <f t="shared" si="0"/>
        <v>699.24342739933513</v>
      </c>
      <c r="L47" s="44">
        <f t="shared" si="0"/>
        <v>749.81920447684263</v>
      </c>
      <c r="M47" s="44">
        <f t="shared" si="0"/>
        <v>795.83722093432391</v>
      </c>
      <c r="N47" s="44">
        <f t="shared" si="0"/>
        <v>837.96864548528958</v>
      </c>
      <c r="O47" s="44">
        <f t="shared" si="0"/>
        <v>876.3432781618402</v>
      </c>
      <c r="P47" s="44">
        <f t="shared" si="0"/>
        <v>912.25132244821577</v>
      </c>
      <c r="Q47" s="44">
        <f t="shared" si="0"/>
        <v>945.61834504923013</v>
      </c>
      <c r="R47" s="44">
        <f t="shared" si="0"/>
        <v>977.04359742494046</v>
      </c>
      <c r="S47" s="44">
        <f t="shared" si="0"/>
        <v>1006.3768333006001</v>
      </c>
      <c r="T47" s="44">
        <f>$B47*$C47*T$43</f>
        <v>1033.8869624297761</v>
      </c>
      <c r="U47" s="44">
        <f>$B47*$C47*U$43</f>
        <v>1060.1711603404513</v>
      </c>
      <c r="V47" s="44">
        <f>$B47*$C47*V$43</f>
        <v>1084.7915523915924</v>
      </c>
      <c r="W47" s="44">
        <f t="shared" si="1"/>
        <v>1108.1931195923769</v>
      </c>
      <c r="X47" s="44">
        <f t="shared" si="1"/>
        <v>1130.348994071365</v>
      </c>
      <c r="Y47" s="44">
        <f t="shared" si="1"/>
        <v>1152.1600251941438</v>
      </c>
      <c r="Z47" s="44">
        <f t="shared" si="1"/>
        <v>1172.7506025649277</v>
      </c>
      <c r="AA47" s="44">
        <f>$B47*$C47*AA$43</f>
        <v>1192.1854085635812</v>
      </c>
    </row>
    <row r="48" spans="1:27" ht="17" thickBot="1">
      <c r="A48" s="112" t="s">
        <v>107</v>
      </c>
      <c r="B48" s="108">
        <v>9.01</v>
      </c>
      <c r="C48" s="109">
        <v>45</v>
      </c>
      <c r="D48" s="110">
        <f t="shared" si="2"/>
        <v>405.45</v>
      </c>
      <c r="E48" s="44">
        <f t="shared" si="0"/>
        <v>191.79920723079374</v>
      </c>
      <c r="F48" s="44">
        <f t="shared" si="0"/>
        <v>328.3727761507464</v>
      </c>
      <c r="G48" s="44">
        <f t="shared" si="0"/>
        <v>434.29287793855889</v>
      </c>
      <c r="H48" s="44">
        <f t="shared" si="0"/>
        <v>520.82531243915639</v>
      </c>
      <c r="I48" s="44">
        <f t="shared" si="0"/>
        <v>594.9515666938089</v>
      </c>
      <c r="J48" s="44">
        <f t="shared" si="0"/>
        <v>658.96065383451014</v>
      </c>
      <c r="K48" s="44">
        <f t="shared" si="0"/>
        <v>716.20120661629517</v>
      </c>
      <c r="L48" s="44">
        <f t="shared" si="0"/>
        <v>768.00352773812267</v>
      </c>
      <c r="M48" s="44">
        <f t="shared" si="0"/>
        <v>815.1375552048039</v>
      </c>
      <c r="N48" s="44">
        <f t="shared" si="0"/>
        <v>858.29073465204169</v>
      </c>
      <c r="O48" s="44">
        <f t="shared" si="0"/>
        <v>897.59601397175231</v>
      </c>
      <c r="P48" s="44">
        <f t="shared" si="0"/>
        <v>934.3748861604879</v>
      </c>
      <c r="Q48" s="44">
        <f t="shared" si="0"/>
        <v>968.55111279578216</v>
      </c>
      <c r="R48" s="44">
        <f t="shared" si="0"/>
        <v>1000.7384781506685</v>
      </c>
      <c r="S48" s="44">
        <f t="shared" si="0"/>
        <v>1030.7830922362721</v>
      </c>
      <c r="T48" s="44">
        <f t="shared" si="1"/>
        <v>1058.9603863007521</v>
      </c>
      <c r="U48" s="44">
        <f t="shared" si="1"/>
        <v>1085.8820183403711</v>
      </c>
      <c r="V48" s="44">
        <f t="shared" si="1"/>
        <v>1111.0994945488724</v>
      </c>
      <c r="W48" s="44">
        <f t="shared" si="1"/>
        <v>1135.068587441529</v>
      </c>
      <c r="X48" s="44">
        <f t="shared" si="1"/>
        <v>1157.7617775577492</v>
      </c>
      <c r="Y48" s="44">
        <f t="shared" si="1"/>
        <v>1180.1017613110159</v>
      </c>
      <c r="Z48" s="44">
        <f t="shared" si="1"/>
        <v>1201.1916933433117</v>
      </c>
      <c r="AA48" s="44">
        <f t="shared" si="1"/>
        <v>1221.0978246863813</v>
      </c>
    </row>
    <row r="49" spans="1:27">
      <c r="E49" s="62"/>
    </row>
    <row r="50" spans="1:27">
      <c r="B50" s="112" t="s">
        <v>106</v>
      </c>
      <c r="C50" s="112" t="s">
        <v>214</v>
      </c>
      <c r="D50" s="60">
        <f>D47-D46</f>
        <v>-188.44900000000013</v>
      </c>
      <c r="E50" s="62">
        <f>E47-E46</f>
        <v>-89.146303621743414</v>
      </c>
      <c r="F50" s="62">
        <f>F47-F46</f>
        <v>-152.62429718296227</v>
      </c>
      <c r="G50" s="62">
        <f t="shared" ref="G50:S50" si="3">G47-G46</f>
        <v>-201.85487373201016</v>
      </c>
      <c r="H50" s="62">
        <f t="shared" si="3"/>
        <v>-242.07426144739583</v>
      </c>
      <c r="I50" s="62">
        <f t="shared" si="3"/>
        <v>-276.52738387441525</v>
      </c>
      <c r="J50" s="62">
        <f>J47-J46</f>
        <v>-306.27815083107578</v>
      </c>
      <c r="K50" s="62">
        <f t="shared" si="3"/>
        <v>-332.88297246426009</v>
      </c>
      <c r="L50" s="62">
        <f t="shared" si="3"/>
        <v>-356.96015981926632</v>
      </c>
      <c r="M50" s="62">
        <f t="shared" si="3"/>
        <v>-378.86757218100922</v>
      </c>
      <c r="N50" s="62">
        <f t="shared" si="3"/>
        <v>-398.92472722763034</v>
      </c>
      <c r="O50" s="62">
        <f>O47-O46</f>
        <v>-417.19341777521993</v>
      </c>
      <c r="P50" s="62">
        <f t="shared" si="3"/>
        <v>-434.28786020978657</v>
      </c>
      <c r="Q50" s="62">
        <f t="shared" si="3"/>
        <v>-450.17261969478977</v>
      </c>
      <c r="R50" s="62">
        <f t="shared" si="3"/>
        <v>-465.13297686278327</v>
      </c>
      <c r="S50" s="62">
        <f t="shared" si="3"/>
        <v>-479.09740522588072</v>
      </c>
      <c r="T50" s="62">
        <f t="shared" ref="T50:Z50" si="4">T47-T46</f>
        <v>-492.19392240224579</v>
      </c>
      <c r="U50" s="62">
        <f t="shared" si="4"/>
        <v>-504.70682075280479</v>
      </c>
      <c r="V50" s="62">
        <f t="shared" si="4"/>
        <v>-516.42764495804818</v>
      </c>
      <c r="W50" s="62">
        <f t="shared" si="4"/>
        <v>-527.56823340675487</v>
      </c>
      <c r="X50" s="62">
        <f t="shared" si="4"/>
        <v>-538.1157953359982</v>
      </c>
      <c r="Y50" s="62">
        <f t="shared" si="4"/>
        <v>-548.49919057170996</v>
      </c>
      <c r="Z50" s="62">
        <f t="shared" si="4"/>
        <v>-558.30157459330098</v>
      </c>
      <c r="AA50" s="62">
        <f>AA47-AA46</f>
        <v>-567.55374020057707</v>
      </c>
    </row>
    <row r="51" spans="1:27">
      <c r="B51" s="112" t="s">
        <v>107</v>
      </c>
      <c r="C51" s="112" t="s">
        <v>215</v>
      </c>
      <c r="D51" s="62">
        <f>D48-D46</f>
        <v>-178.8490000000001</v>
      </c>
      <c r="E51" s="62">
        <f>E48-E46</f>
        <v>-84.604997938143413</v>
      </c>
      <c r="F51" s="62">
        <f>F48-F46</f>
        <v>-144.84928509504226</v>
      </c>
      <c r="G51" s="62">
        <f t="shared" ref="G51:S51" si="5">G48-G46</f>
        <v>-191.57194950409013</v>
      </c>
      <c r="H51" s="62">
        <f t="shared" si="5"/>
        <v>-229.74247454539579</v>
      </c>
      <c r="I51" s="62">
        <f t="shared" si="5"/>
        <v>-262.44048033449519</v>
      </c>
      <c r="J51" s="62">
        <f t="shared" si="5"/>
        <v>-290.67567882019569</v>
      </c>
      <c r="K51" s="62">
        <f t="shared" si="5"/>
        <v>-315.92519324730006</v>
      </c>
      <c r="L51" s="62">
        <f t="shared" si="5"/>
        <v>-338.77583655798628</v>
      </c>
      <c r="M51" s="62">
        <f t="shared" si="5"/>
        <v>-359.56723791052923</v>
      </c>
      <c r="N51" s="62">
        <f t="shared" si="5"/>
        <v>-378.60263806087823</v>
      </c>
      <c r="O51" s="62">
        <f>O48-O46</f>
        <v>-395.94068196530782</v>
      </c>
      <c r="P51" s="62">
        <f t="shared" si="5"/>
        <v>-412.16429649751444</v>
      </c>
      <c r="Q51" s="62">
        <f t="shared" si="5"/>
        <v>-427.23985194823774</v>
      </c>
      <c r="R51" s="62">
        <f t="shared" si="5"/>
        <v>-441.43809613705525</v>
      </c>
      <c r="S51" s="62">
        <f t="shared" si="5"/>
        <v>-454.69114629020874</v>
      </c>
      <c r="T51" s="62">
        <f t="shared" ref="T51:AA51" si="6">T48-T46</f>
        <v>-467.12049853126973</v>
      </c>
      <c r="U51" s="62">
        <f t="shared" si="6"/>
        <v>-478.99596275288491</v>
      </c>
      <c r="V51" s="62">
        <f t="shared" si="6"/>
        <v>-490.11970280076821</v>
      </c>
      <c r="W51" s="62">
        <f t="shared" si="6"/>
        <v>-500.6927655576028</v>
      </c>
      <c r="X51" s="62">
        <f t="shared" si="6"/>
        <v>-510.70301184961409</v>
      </c>
      <c r="Y51" s="62">
        <f t="shared" si="6"/>
        <v>-520.55745445483785</v>
      </c>
      <c r="Z51" s="62">
        <f t="shared" si="6"/>
        <v>-529.86048381491696</v>
      </c>
      <c r="AA51" s="62">
        <f t="shared" si="6"/>
        <v>-538.64132407777697</v>
      </c>
    </row>
    <row r="52" spans="1:27">
      <c r="B52" s="83"/>
      <c r="C52" s="84"/>
      <c r="D52" s="84"/>
      <c r="E52" s="62" t="s">
        <v>202</v>
      </c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1:27">
      <c r="B53" s="132" t="s">
        <v>195</v>
      </c>
      <c r="C53" s="48" t="s">
        <v>157</v>
      </c>
      <c r="D53" s="48"/>
      <c r="E53" s="48">
        <v>30</v>
      </c>
    </row>
    <row r="54" spans="1:27">
      <c r="B54" s="133"/>
      <c r="C54" s="112" t="s">
        <v>106</v>
      </c>
      <c r="D54" s="84"/>
      <c r="E54" s="62">
        <f>E$50*E53</f>
        <v>-2674.3891086523026</v>
      </c>
    </row>
    <row r="55" spans="1:27">
      <c r="B55" s="133"/>
      <c r="C55" s="112" t="s">
        <v>107</v>
      </c>
      <c r="D55" s="84"/>
      <c r="E55" s="62">
        <f>E$51*30</f>
        <v>-2538.1499381443023</v>
      </c>
    </row>
    <row r="56" spans="1:27">
      <c r="B56" s="133"/>
      <c r="C56" s="84"/>
      <c r="D56" s="84"/>
      <c r="E56" s="62" t="s">
        <v>203</v>
      </c>
      <c r="F56" s="62" t="s">
        <v>216</v>
      </c>
    </row>
    <row r="57" spans="1:27">
      <c r="B57" s="133"/>
      <c r="C57" s="48" t="s">
        <v>157</v>
      </c>
      <c r="D57" s="48"/>
      <c r="E57" s="48">
        <v>31</v>
      </c>
      <c r="F57" s="48">
        <v>30</v>
      </c>
    </row>
    <row r="58" spans="1:27">
      <c r="B58" s="63">
        <f>SUM(E58:AA58)</f>
        <v>-7342.264327762914</v>
      </c>
      <c r="C58" s="112" t="s">
        <v>106</v>
      </c>
      <c r="D58" s="84"/>
      <c r="E58" s="62">
        <f>E$50*E57</f>
        <v>-2763.5354122740459</v>
      </c>
      <c r="F58" s="62">
        <f>F$50*F57</f>
        <v>-4578.7289154888676</v>
      </c>
    </row>
    <row r="59" spans="1:27">
      <c r="B59" s="63">
        <f>SUM(E59:AA59)</f>
        <v>-6883.6284909955702</v>
      </c>
      <c r="C59" s="112" t="s">
        <v>107</v>
      </c>
      <c r="D59" s="84"/>
      <c r="E59" s="62">
        <f>E$51*30</f>
        <v>-2538.1499381443023</v>
      </c>
      <c r="F59" s="62">
        <f>F$51*30</f>
        <v>-4345.4785528512675</v>
      </c>
    </row>
    <row r="60" spans="1:27" s="6" customFormat="1" ht="35" thickBot="1">
      <c r="B60" s="82"/>
      <c r="N60" s="6" t="s">
        <v>204</v>
      </c>
      <c r="O60" s="6" t="s">
        <v>205</v>
      </c>
    </row>
    <row r="61" spans="1:27" s="104" customFormat="1" ht="15" customHeight="1">
      <c r="A61" s="103" t="s">
        <v>196</v>
      </c>
      <c r="B61" s="113"/>
      <c r="C61" s="114" t="s">
        <v>158</v>
      </c>
      <c r="D61" s="114"/>
      <c r="E61" s="104">
        <v>30</v>
      </c>
      <c r="F61" s="104">
        <v>30</v>
      </c>
      <c r="G61" s="104">
        <v>30</v>
      </c>
      <c r="H61" s="104">
        <v>30</v>
      </c>
      <c r="I61" s="104">
        <v>30</v>
      </c>
      <c r="J61" s="104">
        <v>30</v>
      </c>
      <c r="K61" s="104">
        <v>30</v>
      </c>
      <c r="L61" s="104">
        <v>30</v>
      </c>
      <c r="M61" s="104">
        <v>30</v>
      </c>
      <c r="N61" s="104">
        <v>30</v>
      </c>
      <c r="O61" s="104">
        <v>30</v>
      </c>
    </row>
    <row r="62" spans="1:27" s="118" customFormat="1">
      <c r="A62" s="115">
        <f>B62/0.33</f>
        <v>-286666.73819608992</v>
      </c>
      <c r="B62" s="116">
        <f>SUM(E62:AA62)</f>
        <v>-94600.02360470967</v>
      </c>
      <c r="C62" s="112" t="s">
        <v>106</v>
      </c>
      <c r="D62" s="84"/>
      <c r="E62" s="117">
        <f>E$50*E61</f>
        <v>-2674.3891086523026</v>
      </c>
      <c r="F62" s="117">
        <f>F$50*F61</f>
        <v>-4578.7289154888676</v>
      </c>
      <c r="G62" s="117">
        <f t="shared" ref="G62:N62" si="7">G$50*G61</f>
        <v>-6055.6462119603048</v>
      </c>
      <c r="H62" s="117">
        <f t="shared" si="7"/>
        <v>-7262.2278434218751</v>
      </c>
      <c r="I62" s="117">
        <f t="shared" si="7"/>
        <v>-8295.8215162324577</v>
      </c>
      <c r="J62" s="117">
        <f t="shared" si="7"/>
        <v>-9188.344524932274</v>
      </c>
      <c r="K62" s="117">
        <f t="shared" si="7"/>
        <v>-9986.4891739278028</v>
      </c>
      <c r="L62" s="117">
        <f t="shared" si="7"/>
        <v>-10708.804794577989</v>
      </c>
      <c r="M62" s="117">
        <f>M$50*M61</f>
        <v>-11366.027165430276</v>
      </c>
      <c r="N62" s="117">
        <f t="shared" si="7"/>
        <v>-11967.74181682891</v>
      </c>
      <c r="O62" s="117">
        <f>O$50*O61</f>
        <v>-12515.802533256598</v>
      </c>
    </row>
    <row r="63" spans="1:27" s="118" customFormat="1">
      <c r="A63" s="115">
        <f>B63/0.33</f>
        <v>-272063.31399812398</v>
      </c>
      <c r="B63" s="116">
        <f>SUM(E63:AA63)</f>
        <v>-89780.89361938092</v>
      </c>
      <c r="C63" s="112" t="s">
        <v>107</v>
      </c>
      <c r="D63" s="84"/>
      <c r="E63" s="117">
        <f>E$51*30</f>
        <v>-2538.1499381443023</v>
      </c>
      <c r="F63" s="117">
        <f>F$51*30</f>
        <v>-4345.4785528512675</v>
      </c>
      <c r="G63" s="117">
        <f t="shared" ref="G63:N63" si="8">G$51*30</f>
        <v>-5747.1584851227035</v>
      </c>
      <c r="H63" s="117">
        <f t="shared" si="8"/>
        <v>-6892.2742363618736</v>
      </c>
      <c r="I63" s="117">
        <f t="shared" si="8"/>
        <v>-7873.214410034856</v>
      </c>
      <c r="J63" s="117">
        <f t="shared" si="8"/>
        <v>-8720.2703646058708</v>
      </c>
      <c r="K63" s="117">
        <f t="shared" si="8"/>
        <v>-9477.7557974190022</v>
      </c>
      <c r="L63" s="117">
        <f t="shared" si="8"/>
        <v>-10163.275096739588</v>
      </c>
      <c r="M63" s="117">
        <f t="shared" si="8"/>
        <v>-10787.017137315877</v>
      </c>
      <c r="N63" s="117">
        <f t="shared" si="8"/>
        <v>-11358.079141826347</v>
      </c>
      <c r="O63" s="117">
        <f>O$51*30</f>
        <v>-11878.220458959235</v>
      </c>
    </row>
    <row r="64" spans="1:27" s="122" customFormat="1" ht="35" thickBot="1">
      <c r="A64" s="119"/>
      <c r="B64" s="120"/>
      <c r="C64" s="121"/>
      <c r="D64" s="121"/>
      <c r="AA64" s="121" t="s">
        <v>208</v>
      </c>
    </row>
    <row r="65" spans="1:27" s="114" customFormat="1">
      <c r="A65" s="123"/>
      <c r="C65" s="114" t="s">
        <v>159</v>
      </c>
      <c r="E65" s="104">
        <v>30</v>
      </c>
      <c r="F65" s="104">
        <v>30</v>
      </c>
      <c r="G65" s="104">
        <v>30</v>
      </c>
      <c r="H65" s="104">
        <v>30</v>
      </c>
      <c r="I65" s="104">
        <v>30</v>
      </c>
      <c r="J65" s="104">
        <v>30</v>
      </c>
      <c r="K65" s="104">
        <v>30</v>
      </c>
      <c r="L65" s="104">
        <v>30</v>
      </c>
      <c r="M65" s="104">
        <v>30</v>
      </c>
      <c r="N65" s="104">
        <v>30</v>
      </c>
      <c r="O65" s="104">
        <v>30</v>
      </c>
      <c r="P65" s="104">
        <v>30</v>
      </c>
      <c r="Q65" s="104">
        <v>30</v>
      </c>
      <c r="R65" s="104">
        <v>30</v>
      </c>
      <c r="S65" s="104">
        <v>30</v>
      </c>
      <c r="T65" s="104">
        <v>30</v>
      </c>
      <c r="U65" s="104">
        <v>30</v>
      </c>
      <c r="V65" s="104">
        <v>30</v>
      </c>
      <c r="W65" s="104">
        <v>30</v>
      </c>
      <c r="X65" s="104">
        <v>30</v>
      </c>
      <c r="Y65" s="104">
        <v>30</v>
      </c>
      <c r="Z65" s="104">
        <v>30</v>
      </c>
      <c r="AA65" s="104">
        <v>30</v>
      </c>
    </row>
    <row r="66" spans="1:27" s="118" customFormat="1">
      <c r="A66" s="115">
        <f>B66/0.33</f>
        <v>-839581.08221560635</v>
      </c>
      <c r="B66" s="116">
        <f>SUM(E66:AA66)</f>
        <v>-277061.75713115011</v>
      </c>
      <c r="C66" s="112" t="s">
        <v>106</v>
      </c>
      <c r="D66" s="84"/>
      <c r="E66" s="117">
        <f>E$50*E65</f>
        <v>-2674.3891086523026</v>
      </c>
      <c r="F66" s="117">
        <f t="shared" ref="F66:AA66" si="9">F$50*F65</f>
        <v>-4578.7289154888676</v>
      </c>
      <c r="G66" s="117">
        <f t="shared" si="9"/>
        <v>-6055.6462119603048</v>
      </c>
      <c r="H66" s="117">
        <f t="shared" si="9"/>
        <v>-7262.2278434218751</v>
      </c>
      <c r="I66" s="117">
        <f t="shared" si="9"/>
        <v>-8295.8215162324577</v>
      </c>
      <c r="J66" s="117">
        <f t="shared" si="9"/>
        <v>-9188.344524932274</v>
      </c>
      <c r="K66" s="117">
        <f t="shared" si="9"/>
        <v>-9986.4891739278028</v>
      </c>
      <c r="L66" s="117">
        <f t="shared" si="9"/>
        <v>-10708.804794577989</v>
      </c>
      <c r="M66" s="117">
        <f t="shared" si="9"/>
        <v>-11366.027165430276</v>
      </c>
      <c r="N66" s="117">
        <f t="shared" si="9"/>
        <v>-11967.74181682891</v>
      </c>
      <c r="O66" s="117">
        <f t="shared" si="9"/>
        <v>-12515.802533256598</v>
      </c>
      <c r="P66" s="117">
        <f t="shared" si="9"/>
        <v>-13028.635806293598</v>
      </c>
      <c r="Q66" s="117">
        <f t="shared" si="9"/>
        <v>-13505.178590843694</v>
      </c>
      <c r="R66" s="117">
        <f t="shared" si="9"/>
        <v>-13953.989305883499</v>
      </c>
      <c r="S66" s="117">
        <f t="shared" si="9"/>
        <v>-14372.922156776422</v>
      </c>
      <c r="T66" s="117">
        <f t="shared" si="9"/>
        <v>-14765.817672067373</v>
      </c>
      <c r="U66" s="117">
        <f t="shared" si="9"/>
        <v>-15141.204622584144</v>
      </c>
      <c r="V66" s="117">
        <f t="shared" si="9"/>
        <v>-15492.829348741445</v>
      </c>
      <c r="W66" s="117">
        <f t="shared" si="9"/>
        <v>-15827.047002202646</v>
      </c>
      <c r="X66" s="117">
        <f t="shared" si="9"/>
        <v>-16143.473860079946</v>
      </c>
      <c r="Y66" s="117">
        <f t="shared" si="9"/>
        <v>-16454.975717151297</v>
      </c>
      <c r="Z66" s="117">
        <f t="shared" si="9"/>
        <v>-16749.04723779903</v>
      </c>
      <c r="AA66" s="117">
        <f t="shared" si="9"/>
        <v>-17026.612206017311</v>
      </c>
    </row>
    <row r="67" spans="1:27" s="118" customFormat="1">
      <c r="A67" s="115">
        <f>B67/0.33</f>
        <v>-796811.00442655012</v>
      </c>
      <c r="B67" s="116">
        <f>SUM(E67:AA67)</f>
        <v>-262947.63146076153</v>
      </c>
      <c r="C67" s="112" t="s">
        <v>107</v>
      </c>
      <c r="D67" s="84"/>
      <c r="E67" s="117">
        <f>E$51*30</f>
        <v>-2538.1499381443023</v>
      </c>
      <c r="F67" s="117">
        <f t="shared" ref="F67:AA67" si="10">F$51*30</f>
        <v>-4345.4785528512675</v>
      </c>
      <c r="G67" s="117">
        <f t="shared" si="10"/>
        <v>-5747.1584851227035</v>
      </c>
      <c r="H67" s="117">
        <f t="shared" si="10"/>
        <v>-6892.2742363618736</v>
      </c>
      <c r="I67" s="117">
        <f t="shared" si="10"/>
        <v>-7873.214410034856</v>
      </c>
      <c r="J67" s="117">
        <f t="shared" si="10"/>
        <v>-8720.2703646058708</v>
      </c>
      <c r="K67" s="117">
        <f t="shared" si="10"/>
        <v>-9477.7557974190022</v>
      </c>
      <c r="L67" s="117">
        <f t="shared" si="10"/>
        <v>-10163.275096739588</v>
      </c>
      <c r="M67" s="117">
        <f t="shared" si="10"/>
        <v>-10787.017137315877</v>
      </c>
      <c r="N67" s="117">
        <f t="shared" si="10"/>
        <v>-11358.079141826347</v>
      </c>
      <c r="O67" s="117">
        <f t="shared" si="10"/>
        <v>-11878.220458959235</v>
      </c>
      <c r="P67" s="117">
        <f t="shared" si="10"/>
        <v>-12364.928894925433</v>
      </c>
      <c r="Q67" s="117">
        <f t="shared" si="10"/>
        <v>-12817.195558447132</v>
      </c>
      <c r="R67" s="117">
        <f t="shared" si="10"/>
        <v>-13243.142884111658</v>
      </c>
      <c r="S67" s="117">
        <f t="shared" si="10"/>
        <v>-13640.734388706262</v>
      </c>
      <c r="T67" s="117">
        <f t="shared" si="10"/>
        <v>-14013.614955938092</v>
      </c>
      <c r="U67" s="117">
        <f t="shared" si="10"/>
        <v>-14369.878882586547</v>
      </c>
      <c r="V67" s="117">
        <f t="shared" si="10"/>
        <v>-14703.591084023046</v>
      </c>
      <c r="W67" s="117">
        <f t="shared" si="10"/>
        <v>-15020.782966728084</v>
      </c>
      <c r="X67" s="117">
        <f t="shared" si="10"/>
        <v>-15321.090355488423</v>
      </c>
      <c r="Y67" s="117">
        <f t="shared" si="10"/>
        <v>-15616.723633645135</v>
      </c>
      <c r="Z67" s="117">
        <f t="shared" si="10"/>
        <v>-15895.814514447509</v>
      </c>
      <c r="AA67" s="117">
        <f t="shared" si="10"/>
        <v>-16159.23972233331</v>
      </c>
    </row>
    <row r="68" spans="1:27" s="118" customFormat="1">
      <c r="A68" s="124"/>
      <c r="C68" s="125"/>
      <c r="D68" s="125"/>
    </row>
    <row r="69" spans="1:27" s="118" customFormat="1">
      <c r="A69" s="124">
        <f>A66/A62</f>
        <v>2.92877048624073</v>
      </c>
      <c r="C69" s="125"/>
      <c r="D69" s="125"/>
    </row>
    <row r="70" spans="1:27" s="118" customFormat="1">
      <c r="A70" s="124"/>
      <c r="C70" s="125"/>
      <c r="D70" s="125"/>
    </row>
    <row r="71" spans="1:27" s="118" customFormat="1">
      <c r="A71" s="124"/>
      <c r="C71" s="125"/>
      <c r="D71" s="125"/>
    </row>
    <row r="72" spans="1:27" s="118" customFormat="1">
      <c r="A72" s="124"/>
      <c r="C72" s="125"/>
      <c r="D72" s="125"/>
    </row>
    <row r="73" spans="1:27" s="118" customFormat="1" ht="17" thickBot="1">
      <c r="A73" s="124"/>
      <c r="C73" s="125"/>
      <c r="D73" s="125"/>
      <c r="E73" s="118" t="s">
        <v>141</v>
      </c>
    </row>
    <row r="74" spans="1:27" s="118" customFormat="1" ht="17">
      <c r="A74" s="103"/>
      <c r="B74" s="104" t="s">
        <v>137</v>
      </c>
      <c r="C74" s="105" t="s">
        <v>156</v>
      </c>
      <c r="D74" s="106"/>
      <c r="E74" s="118" t="s">
        <v>161</v>
      </c>
      <c r="J74" s="118" t="s">
        <v>207</v>
      </c>
      <c r="K74" s="118" t="s">
        <v>196</v>
      </c>
    </row>
    <row r="75" spans="1:27" s="118" customFormat="1">
      <c r="A75" s="126" t="s">
        <v>105</v>
      </c>
      <c r="B75" s="61">
        <v>39</v>
      </c>
      <c r="C75" s="49">
        <v>182</v>
      </c>
      <c r="D75" s="129"/>
      <c r="E75" s="127">
        <f>C75*B75*32.6%</f>
        <v>2313.9479999999999</v>
      </c>
      <c r="F75" s="118" t="s">
        <v>217</v>
      </c>
      <c r="H75" s="118" t="s">
        <v>160</v>
      </c>
      <c r="J75" s="118" t="s">
        <v>162</v>
      </c>
    </row>
    <row r="76" spans="1:27" s="118" customFormat="1">
      <c r="A76" s="126" t="s">
        <v>106</v>
      </c>
      <c r="B76" s="61">
        <v>40.46</v>
      </c>
      <c r="C76" s="49">
        <v>143.6</v>
      </c>
      <c r="D76" s="129"/>
      <c r="E76" s="127">
        <f>C76*B76*32.6%</f>
        <v>1894.078256</v>
      </c>
      <c r="F76" s="127">
        <f>E76-E75</f>
        <v>-419.86974399999986</v>
      </c>
      <c r="G76" s="118">
        <f>F76/F80</f>
        <v>0.32599999999999979</v>
      </c>
      <c r="H76" s="127">
        <f>F76*365</f>
        <v>-153252.45655999993</v>
      </c>
      <c r="I76" s="118">
        <f>H76/H80</f>
        <v>0.32599999999999973</v>
      </c>
      <c r="J76" s="127">
        <f>H76+B66</f>
        <v>-430314.21369115007</v>
      </c>
      <c r="K76" s="127">
        <f>J76/0.33</f>
        <v>-1303982.4657307577</v>
      </c>
    </row>
    <row r="77" spans="1:27" s="118" customFormat="1">
      <c r="A77" s="126" t="s">
        <v>107</v>
      </c>
      <c r="B77" s="61">
        <v>39.630000000000003</v>
      </c>
      <c r="C77" s="49">
        <v>148</v>
      </c>
      <c r="D77" s="129"/>
      <c r="E77" s="127">
        <f>C77*B77*32.6%</f>
        <v>1912.0682400000003</v>
      </c>
      <c r="F77" s="127">
        <f>E77-E75</f>
        <v>-401.87975999999958</v>
      </c>
      <c r="G77" s="118">
        <f>F77/F81</f>
        <v>0.32599999999999985</v>
      </c>
      <c r="H77" s="127">
        <f>F77*365</f>
        <v>-146686.11239999984</v>
      </c>
      <c r="I77" s="118">
        <f>H77/H81</f>
        <v>0.32599999999999985</v>
      </c>
      <c r="J77" s="127">
        <f>H77+B67</f>
        <v>-409633.7438607614</v>
      </c>
      <c r="K77" s="127">
        <f>J77/0.33</f>
        <v>-1241314.3753356405</v>
      </c>
    </row>
    <row r="78" spans="1:27" s="118" customFormat="1" ht="17" thickBot="1">
      <c r="A78" s="119"/>
      <c r="B78" s="122"/>
      <c r="C78" s="121"/>
      <c r="D78" s="130"/>
      <c r="E78" s="118" t="s">
        <v>206</v>
      </c>
    </row>
    <row r="79" spans="1:27" s="118" customFormat="1">
      <c r="A79" s="124"/>
      <c r="C79" s="128" t="s">
        <v>105</v>
      </c>
      <c r="D79" s="84"/>
      <c r="E79" s="127">
        <f>C75*B75</f>
        <v>7098</v>
      </c>
    </row>
    <row r="80" spans="1:27" s="118" customFormat="1">
      <c r="A80" s="124"/>
      <c r="C80" s="112" t="s">
        <v>106</v>
      </c>
      <c r="D80" s="84"/>
      <c r="E80" s="127">
        <f>C76*B76</f>
        <v>5810.0559999999996</v>
      </c>
      <c r="F80" s="127">
        <f>E80-E79</f>
        <v>-1287.9440000000004</v>
      </c>
      <c r="H80" s="127">
        <f>F80*365</f>
        <v>-470099.56000000017</v>
      </c>
      <c r="I80" s="127">
        <f>H80*0.326</f>
        <v>-153252.45656000005</v>
      </c>
      <c r="J80" s="127">
        <f>I80/0.33</f>
        <v>-464401.38351515163</v>
      </c>
    </row>
    <row r="81" spans="1:10" s="118" customFormat="1">
      <c r="A81" s="124"/>
      <c r="C81" s="112" t="s">
        <v>107</v>
      </c>
      <c r="D81" s="84"/>
      <c r="E81" s="127">
        <f>C77*B77</f>
        <v>5865.2400000000007</v>
      </c>
      <c r="F81" s="127">
        <f>E81-E79</f>
        <v>-1232.7599999999993</v>
      </c>
      <c r="H81" s="127">
        <f>F81*365</f>
        <v>-449957.39999999973</v>
      </c>
      <c r="I81" s="127">
        <f t="shared" ref="I81" si="11">H81*0.326</f>
        <v>-146686.11239999993</v>
      </c>
      <c r="J81" s="127">
        <f t="shared" ref="J81" si="12">I81/0.33</f>
        <v>-444503.37090909068</v>
      </c>
    </row>
    <row r="82" spans="1:10" s="118" customFormat="1">
      <c r="A82" s="124"/>
      <c r="C82" s="125"/>
      <c r="D82" s="125"/>
      <c r="I82" s="127"/>
      <c r="J82" s="127"/>
    </row>
    <row r="83" spans="1:10" s="122" customFormat="1" ht="17" thickBot="1">
      <c r="A83" s="119"/>
      <c r="C83" s="121"/>
      <c r="D83" s="121"/>
    </row>
  </sheetData>
  <mergeCells count="28">
    <mergeCell ref="C20:C22"/>
    <mergeCell ref="E2:J2"/>
    <mergeCell ref="K2:P2"/>
    <mergeCell ref="E3:G3"/>
    <mergeCell ref="H3:J3"/>
    <mergeCell ref="K3:M3"/>
    <mergeCell ref="N3:P3"/>
    <mergeCell ref="C14:C15"/>
    <mergeCell ref="E14:E15"/>
    <mergeCell ref="F14:F15"/>
    <mergeCell ref="G14:G15"/>
    <mergeCell ref="C16:C18"/>
    <mergeCell ref="B53:B57"/>
    <mergeCell ref="S14:U14"/>
    <mergeCell ref="W14:Y14"/>
    <mergeCell ref="AA14:AC14"/>
    <mergeCell ref="I15:J15"/>
    <mergeCell ref="I16:J16"/>
    <mergeCell ref="I17:J17"/>
    <mergeCell ref="M14:N14"/>
    <mergeCell ref="M15:N15"/>
    <mergeCell ref="M16:N16"/>
    <mergeCell ref="M17:N17"/>
    <mergeCell ref="C24:C26"/>
    <mergeCell ref="C28:C30"/>
    <mergeCell ref="C32:C34"/>
    <mergeCell ref="I14:J14"/>
    <mergeCell ref="O14:Q14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AA07-5439-B642-A002-8BA55808EADA}">
  <dimension ref="C1:K1121"/>
  <sheetViews>
    <sheetView topLeftCell="A295" workbookViewId="0">
      <selection activeCell="C1" sqref="C1"/>
    </sheetView>
  </sheetViews>
  <sheetFormatPr baseColWidth="10" defaultRowHeight="16"/>
  <cols>
    <col min="3" max="3" width="13.5" customWidth="1"/>
    <col min="7" max="7" width="10.5" bestFit="1" customWidth="1"/>
    <col min="8" max="8" width="24.83203125" bestFit="1" customWidth="1"/>
  </cols>
  <sheetData>
    <row r="1" spans="3:11">
      <c r="C1" s="28" t="s">
        <v>180</v>
      </c>
      <c r="D1" s="28" t="s">
        <v>181</v>
      </c>
      <c r="E1" s="28" t="s">
        <v>182</v>
      </c>
    </row>
    <row r="2" spans="3:11">
      <c r="C2" s="80">
        <v>45413</v>
      </c>
      <c r="D2" s="28">
        <v>5</v>
      </c>
      <c r="E2" s="28">
        <v>6.3102416790000004E-2</v>
      </c>
      <c r="G2" s="8" t="s">
        <v>98</v>
      </c>
      <c r="H2" t="s">
        <v>183</v>
      </c>
    </row>
    <row r="3" spans="3:11">
      <c r="C3" s="80">
        <v>45413</v>
      </c>
      <c r="D3" s="28">
        <v>14</v>
      </c>
      <c r="E3" s="28">
        <v>3.7557570870000001E-2</v>
      </c>
      <c r="G3" s="9">
        <v>1</v>
      </c>
      <c r="H3" s="10">
        <v>0.12756248689107139</v>
      </c>
      <c r="J3" s="9">
        <v>1</v>
      </c>
      <c r="K3" s="10">
        <v>0.12756248689107139</v>
      </c>
    </row>
    <row r="4" spans="3:11">
      <c r="C4" s="80">
        <v>45413</v>
      </c>
      <c r="D4" s="28">
        <v>3</v>
      </c>
      <c r="E4" s="28">
        <v>7.4450405959999993E-2</v>
      </c>
      <c r="G4" s="9">
        <v>2</v>
      </c>
      <c r="H4" s="10">
        <v>7.258246139321424E-2</v>
      </c>
      <c r="J4" s="9">
        <v>2</v>
      </c>
      <c r="K4" s="10">
        <v>7.258246139321424E-2</v>
      </c>
    </row>
    <row r="5" spans="3:11">
      <c r="C5" s="80">
        <v>45413</v>
      </c>
      <c r="D5" s="28">
        <v>2</v>
      </c>
      <c r="E5" s="28">
        <v>9.3917667730000001E-2</v>
      </c>
      <c r="G5" s="9">
        <v>3</v>
      </c>
      <c r="H5" s="10">
        <v>5.6052906579196461E-2</v>
      </c>
      <c r="J5" s="9">
        <v>3</v>
      </c>
      <c r="K5" s="10">
        <v>5.6052906579196461E-2</v>
      </c>
    </row>
    <row r="6" spans="3:11">
      <c r="C6" s="80">
        <v>45413</v>
      </c>
      <c r="D6" s="28">
        <v>4</v>
      </c>
      <c r="E6" s="28">
        <v>7.1554057259999998E-2</v>
      </c>
      <c r="G6" s="9">
        <v>4</v>
      </c>
      <c r="H6" s="10">
        <v>4.7998222843303566E-2</v>
      </c>
      <c r="J6" s="9">
        <v>4</v>
      </c>
      <c r="K6" s="10">
        <v>4.7998222843303566E-2</v>
      </c>
    </row>
    <row r="7" spans="3:11">
      <c r="C7" s="80">
        <v>45413</v>
      </c>
      <c r="D7" s="28">
        <v>30</v>
      </c>
      <c r="E7" s="28">
        <v>2.844119463E-2</v>
      </c>
      <c r="G7" s="9">
        <v>5</v>
      </c>
      <c r="H7" s="10">
        <v>4.3029614422053573E-2</v>
      </c>
      <c r="J7" s="9">
        <v>5</v>
      </c>
      <c r="K7" s="10">
        <v>4.3029614422053573E-2</v>
      </c>
    </row>
    <row r="8" spans="3:11">
      <c r="C8" s="80">
        <v>45413</v>
      </c>
      <c r="D8" s="28">
        <v>6</v>
      </c>
      <c r="E8" s="28">
        <v>5.49831442E-2</v>
      </c>
      <c r="G8" s="9">
        <v>6</v>
      </c>
      <c r="H8" s="10">
        <v>3.9660836126250008E-2</v>
      </c>
      <c r="J8" s="9">
        <v>6</v>
      </c>
      <c r="K8" s="10">
        <v>3.9660836126250008E-2</v>
      </c>
    </row>
    <row r="9" spans="3:11">
      <c r="C9" s="80">
        <v>45413</v>
      </c>
      <c r="D9" s="28">
        <v>7</v>
      </c>
      <c r="E9" s="28">
        <v>4.9855182560000003E-2</v>
      </c>
      <c r="G9" s="9">
        <v>7</v>
      </c>
      <c r="H9" s="10">
        <v>3.7387852941250001E-2</v>
      </c>
      <c r="J9" s="9">
        <v>7</v>
      </c>
      <c r="K9" s="10">
        <v>3.7387852941250001E-2</v>
      </c>
    </row>
    <row r="10" spans="3:11">
      <c r="C10" s="80">
        <v>45413</v>
      </c>
      <c r="D10" s="28">
        <v>60</v>
      </c>
      <c r="E10" s="28">
        <v>2.3788044250000001E-2</v>
      </c>
      <c r="G10" s="9">
        <v>14</v>
      </c>
      <c r="H10" s="10">
        <v>2.6543119252857135E-2</v>
      </c>
      <c r="J10" s="9">
        <v>14</v>
      </c>
      <c r="K10" s="10">
        <v>2.6543119252857135E-2</v>
      </c>
    </row>
    <row r="11" spans="3:11">
      <c r="C11" s="80">
        <v>45413</v>
      </c>
      <c r="D11" s="28">
        <v>1</v>
      </c>
      <c r="E11" s="28">
        <v>0.14947058539999999</v>
      </c>
      <c r="G11" s="9">
        <v>30</v>
      </c>
      <c r="H11" s="10">
        <v>1.7748652707142858E-2</v>
      </c>
      <c r="J11" s="9">
        <v>30</v>
      </c>
      <c r="K11" s="10">
        <v>1.7748652707142858E-2</v>
      </c>
    </row>
    <row r="12" spans="3:11">
      <c r="C12" s="80">
        <v>45414</v>
      </c>
      <c r="D12" s="28">
        <v>30</v>
      </c>
      <c r="E12" s="28">
        <v>2.8547862350000001E-2</v>
      </c>
      <c r="G12" s="9">
        <v>60</v>
      </c>
      <c r="H12" s="10">
        <v>1.2207736061241073E-2</v>
      </c>
      <c r="J12" s="9">
        <v>60</v>
      </c>
      <c r="K12" s="10">
        <v>1.2207736061241073E-2</v>
      </c>
    </row>
    <row r="13" spans="3:11">
      <c r="C13" s="80">
        <v>45414</v>
      </c>
      <c r="D13" s="28">
        <v>60</v>
      </c>
      <c r="E13" s="28">
        <v>2.6256701649999999E-2</v>
      </c>
      <c r="G13" s="9" t="s">
        <v>99</v>
      </c>
      <c r="H13" s="10">
        <v>4.8077388921758002E-2</v>
      </c>
    </row>
    <row r="14" spans="3:11">
      <c r="C14" s="80">
        <v>45414</v>
      </c>
      <c r="D14" s="28">
        <v>14</v>
      </c>
      <c r="E14" s="28">
        <v>3.771250516E-2</v>
      </c>
    </row>
    <row r="15" spans="3:11">
      <c r="C15" s="80">
        <v>45414</v>
      </c>
      <c r="D15" s="28">
        <v>6</v>
      </c>
      <c r="E15" s="28">
        <v>5.127617651E-2</v>
      </c>
    </row>
    <row r="16" spans="3:11">
      <c r="C16" s="80">
        <v>45414</v>
      </c>
      <c r="D16" s="28">
        <v>3</v>
      </c>
      <c r="E16" s="28">
        <v>7.7395408509999999E-2</v>
      </c>
    </row>
    <row r="17" spans="3:10">
      <c r="C17" s="80">
        <v>45414</v>
      </c>
      <c r="D17" s="28">
        <v>1</v>
      </c>
      <c r="E17" s="28">
        <v>0.14159373140000001</v>
      </c>
    </row>
    <row r="18" spans="3:10">
      <c r="C18" s="80">
        <v>45414</v>
      </c>
      <c r="D18" s="28">
        <v>2</v>
      </c>
      <c r="E18" s="28">
        <v>9.2150483429999999E-2</v>
      </c>
    </row>
    <row r="19" spans="3:10">
      <c r="C19" s="80">
        <v>45414</v>
      </c>
      <c r="D19" s="28">
        <v>7</v>
      </c>
      <c r="E19" s="28">
        <v>4.8664253310000002E-2</v>
      </c>
    </row>
    <row r="20" spans="3:10">
      <c r="C20" s="80">
        <v>45414</v>
      </c>
      <c r="D20" s="28">
        <v>5</v>
      </c>
      <c r="E20" s="28">
        <v>5.7416487189999997E-2</v>
      </c>
    </row>
    <row r="21" spans="3:10">
      <c r="C21" s="80">
        <v>45414</v>
      </c>
      <c r="D21" s="28">
        <v>4</v>
      </c>
      <c r="E21" s="28">
        <v>6.6993538929999999E-2</v>
      </c>
    </row>
    <row r="22" spans="3:10">
      <c r="C22" s="80">
        <v>45415</v>
      </c>
      <c r="D22" s="28">
        <v>60</v>
      </c>
      <c r="E22" s="28">
        <v>1.9876196919999999E-2</v>
      </c>
    </row>
    <row r="23" spans="3:10">
      <c r="C23" s="80">
        <v>45415</v>
      </c>
      <c r="D23" s="28">
        <v>14</v>
      </c>
      <c r="E23" s="28">
        <v>3.9849114999999997E-2</v>
      </c>
    </row>
    <row r="24" spans="3:10">
      <c r="C24" s="80">
        <v>45415</v>
      </c>
      <c r="D24" s="28">
        <v>6</v>
      </c>
      <c r="E24" s="28">
        <v>5.5324499470000003E-2</v>
      </c>
    </row>
    <row r="25" spans="3:10">
      <c r="C25" s="80">
        <v>45415</v>
      </c>
      <c r="D25" s="28">
        <v>30</v>
      </c>
      <c r="E25" s="28">
        <v>3.0515523749999999E-2</v>
      </c>
    </row>
    <row r="26" spans="3:10">
      <c r="C26" s="80">
        <v>45415</v>
      </c>
      <c r="D26" s="28">
        <v>3</v>
      </c>
      <c r="E26" s="28">
        <v>7.6312989649999996E-2</v>
      </c>
    </row>
    <row r="27" spans="3:10">
      <c r="C27" s="80">
        <v>45415</v>
      </c>
      <c r="D27" s="28">
        <v>1</v>
      </c>
      <c r="E27" s="28">
        <v>0.15069155619999999</v>
      </c>
    </row>
    <row r="28" spans="3:10">
      <c r="C28" s="80">
        <v>45415</v>
      </c>
      <c r="D28" s="28">
        <v>7</v>
      </c>
      <c r="E28" s="28">
        <v>5.5663023499999999E-2</v>
      </c>
    </row>
    <row r="29" spans="3:10">
      <c r="C29" s="80">
        <v>45415</v>
      </c>
      <c r="D29" s="28">
        <v>4</v>
      </c>
      <c r="E29" s="28">
        <v>6.697939839E-2</v>
      </c>
    </row>
    <row r="30" spans="3:10">
      <c r="C30" s="80">
        <v>45415</v>
      </c>
      <c r="D30" s="28">
        <v>5</v>
      </c>
      <c r="E30" s="28">
        <v>5.7017119640000002E-2</v>
      </c>
    </row>
    <row r="31" spans="3:10">
      <c r="C31" s="80">
        <v>45415</v>
      </c>
      <c r="D31" s="28">
        <v>2</v>
      </c>
      <c r="E31" s="28">
        <v>9.6866234649999994E-2</v>
      </c>
      <c r="J31">
        <f>EXP(0.0925/0.024)</f>
        <v>47.189276154761366</v>
      </c>
    </row>
    <row r="32" spans="3:10">
      <c r="C32" s="80">
        <v>45416</v>
      </c>
      <c r="D32" s="28">
        <v>3</v>
      </c>
      <c r="E32" s="28">
        <v>7.528279182E-2</v>
      </c>
    </row>
    <row r="33" spans="3:5">
      <c r="C33" s="80">
        <v>45416</v>
      </c>
      <c r="D33" s="28">
        <v>14</v>
      </c>
      <c r="E33" s="28">
        <v>4.2599277980000003E-2</v>
      </c>
    </row>
    <row r="34" spans="3:5">
      <c r="C34" s="80">
        <v>45416</v>
      </c>
      <c r="D34" s="28">
        <v>30</v>
      </c>
      <c r="E34" s="28">
        <v>2.9939831529999999E-2</v>
      </c>
    </row>
    <row r="35" spans="3:5">
      <c r="C35" s="80">
        <v>45416</v>
      </c>
      <c r="D35" s="28">
        <v>2</v>
      </c>
      <c r="E35" s="28">
        <v>9.6750902530000002E-2</v>
      </c>
    </row>
    <row r="36" spans="3:5">
      <c r="C36" s="80">
        <v>45416</v>
      </c>
      <c r="D36" s="28">
        <v>6</v>
      </c>
      <c r="E36" s="28">
        <v>5.7858002409999998E-2</v>
      </c>
    </row>
    <row r="37" spans="3:5">
      <c r="C37" s="80">
        <v>45416</v>
      </c>
      <c r="D37" s="28">
        <v>7</v>
      </c>
      <c r="E37" s="28">
        <v>5.7328519860000003E-2</v>
      </c>
    </row>
    <row r="38" spans="3:5">
      <c r="C38" s="80">
        <v>45416</v>
      </c>
      <c r="D38" s="28">
        <v>1</v>
      </c>
      <c r="E38" s="28">
        <v>0.1579783394</v>
      </c>
    </row>
    <row r="39" spans="3:5">
      <c r="C39" s="80">
        <v>45416</v>
      </c>
      <c r="D39" s="28">
        <v>5</v>
      </c>
      <c r="E39" s="28">
        <v>6.0216606499999999E-2</v>
      </c>
    </row>
    <row r="40" spans="3:5">
      <c r="C40" s="80">
        <v>45416</v>
      </c>
      <c r="D40" s="28">
        <v>60</v>
      </c>
      <c r="E40" s="28">
        <v>1.9350180509999999E-2</v>
      </c>
    </row>
    <row r="41" spans="3:5">
      <c r="C41" s="80">
        <v>45416</v>
      </c>
      <c r="D41" s="28">
        <v>4</v>
      </c>
      <c r="E41" s="28">
        <v>6.4645006020000007E-2</v>
      </c>
    </row>
    <row r="42" spans="3:5">
      <c r="C42" s="80">
        <v>45417</v>
      </c>
      <c r="D42" s="28">
        <v>1</v>
      </c>
      <c r="E42" s="28">
        <v>0.1552755773</v>
      </c>
    </row>
    <row r="43" spans="3:5">
      <c r="C43" s="80">
        <v>45417</v>
      </c>
      <c r="D43" s="28">
        <v>2</v>
      </c>
      <c r="E43" s="28">
        <v>8.3515927860000005E-2</v>
      </c>
    </row>
    <row r="44" spans="3:5">
      <c r="C44" s="80">
        <v>45417</v>
      </c>
      <c r="D44" s="28">
        <v>3</v>
      </c>
      <c r="E44" s="28">
        <v>6.4301365250000006E-2</v>
      </c>
    </row>
    <row r="45" spans="3:5">
      <c r="C45" s="80">
        <v>45417</v>
      </c>
      <c r="D45" s="28">
        <v>60</v>
      </c>
      <c r="E45" s="28">
        <v>2.0984324959999998E-2</v>
      </c>
    </row>
    <row r="46" spans="3:5">
      <c r="C46" s="80">
        <v>45417</v>
      </c>
      <c r="D46" s="28">
        <v>6</v>
      </c>
      <c r="E46" s="28">
        <v>5.7348727459999999E-2</v>
      </c>
    </row>
    <row r="47" spans="3:5">
      <c r="C47" s="80">
        <v>45417</v>
      </c>
      <c r="D47" s="28">
        <v>14</v>
      </c>
      <c r="E47" s="28">
        <v>4.529748862E-2</v>
      </c>
    </row>
    <row r="48" spans="3:5">
      <c r="C48" s="80">
        <v>45417</v>
      </c>
      <c r="D48" s="28">
        <v>30</v>
      </c>
      <c r="E48" s="28">
        <v>2.7136355979999999E-2</v>
      </c>
    </row>
    <row r="49" spans="3:5">
      <c r="C49" s="80">
        <v>45417</v>
      </c>
      <c r="D49" s="28">
        <v>5</v>
      </c>
      <c r="E49" s="28">
        <v>5.8907803809999999E-2</v>
      </c>
    </row>
    <row r="50" spans="3:5">
      <c r="C50" s="80">
        <v>45417</v>
      </c>
      <c r="D50" s="28">
        <v>4</v>
      </c>
      <c r="E50" s="28">
        <v>6.034046857E-2</v>
      </c>
    </row>
    <row r="51" spans="3:5">
      <c r="C51" s="80">
        <v>45417</v>
      </c>
      <c r="D51" s="28">
        <v>7</v>
      </c>
      <c r="E51" s="28">
        <v>6.0972526550000003E-2</v>
      </c>
    </row>
    <row r="52" spans="3:5">
      <c r="C52" s="80">
        <v>45418</v>
      </c>
      <c r="D52" s="28">
        <v>4</v>
      </c>
      <c r="E52" s="28">
        <v>6.1393055270000003E-2</v>
      </c>
    </row>
    <row r="53" spans="3:5">
      <c r="C53" s="80">
        <v>45418</v>
      </c>
      <c r="D53" s="28">
        <v>3</v>
      </c>
      <c r="E53" s="28">
        <v>6.8091226630000001E-2</v>
      </c>
    </row>
    <row r="54" spans="3:5">
      <c r="C54" s="80">
        <v>45418</v>
      </c>
      <c r="D54" s="28">
        <v>6</v>
      </c>
      <c r="E54" s="28">
        <v>5.8680912270000003E-2</v>
      </c>
    </row>
    <row r="55" spans="3:5">
      <c r="C55" s="80">
        <v>45418</v>
      </c>
      <c r="D55" s="28">
        <v>30</v>
      </c>
      <c r="E55" s="28">
        <v>2.5354427780000001E-2</v>
      </c>
    </row>
    <row r="56" spans="3:5">
      <c r="C56" s="80">
        <v>45418</v>
      </c>
      <c r="D56" s="28">
        <v>14</v>
      </c>
      <c r="E56" s="28">
        <v>4.0476679680000002E-2</v>
      </c>
    </row>
    <row r="57" spans="3:5">
      <c r="C57" s="80">
        <v>45418</v>
      </c>
      <c r="D57" s="28">
        <v>60</v>
      </c>
      <c r="E57" s="28">
        <v>1.9190466409999999E-2</v>
      </c>
    </row>
    <row r="58" spans="3:5">
      <c r="C58" s="80">
        <v>45418</v>
      </c>
      <c r="D58" s="28">
        <v>2</v>
      </c>
      <c r="E58" s="28">
        <v>8.0460242449999997E-2</v>
      </c>
    </row>
    <row r="59" spans="3:5">
      <c r="C59" s="80">
        <v>45418</v>
      </c>
      <c r="D59" s="28">
        <v>1</v>
      </c>
      <c r="E59" s="28">
        <v>0.1389356893</v>
      </c>
    </row>
    <row r="60" spans="3:5">
      <c r="C60" s="80">
        <v>45418</v>
      </c>
      <c r="D60" s="28">
        <v>5</v>
      </c>
      <c r="E60" s="28">
        <v>5.8311074579999997E-2</v>
      </c>
    </row>
    <row r="61" spans="3:5">
      <c r="C61" s="80">
        <v>45418</v>
      </c>
      <c r="D61" s="28">
        <v>7</v>
      </c>
      <c r="E61" s="28">
        <v>5.8722005340000001E-2</v>
      </c>
    </row>
    <row r="62" spans="3:5">
      <c r="C62" s="80">
        <v>45419</v>
      </c>
      <c r="D62" s="28">
        <v>60</v>
      </c>
      <c r="E62" s="28">
        <v>2.0135844690000002E-2</v>
      </c>
    </row>
    <row r="63" spans="3:5">
      <c r="C63" s="80">
        <v>45419</v>
      </c>
      <c r="D63" s="28">
        <v>2</v>
      </c>
      <c r="E63" s="28">
        <v>8.8010019750000001E-2</v>
      </c>
    </row>
    <row r="64" spans="3:5">
      <c r="C64" s="80">
        <v>45419</v>
      </c>
      <c r="D64" s="28">
        <v>3</v>
      </c>
      <c r="E64" s="28">
        <v>6.9512018879999998E-2</v>
      </c>
    </row>
    <row r="65" spans="3:5">
      <c r="C65" s="80">
        <v>45419</v>
      </c>
      <c r="D65" s="28">
        <v>30</v>
      </c>
      <c r="E65" s="28">
        <v>2.4374969890000001E-2</v>
      </c>
    </row>
    <row r="66" spans="3:5">
      <c r="C66" s="80">
        <v>45419</v>
      </c>
      <c r="D66" s="28">
        <v>14</v>
      </c>
      <c r="E66" s="28">
        <v>3.747772051E-2</v>
      </c>
    </row>
    <row r="67" spans="3:5">
      <c r="C67" s="80">
        <v>45419</v>
      </c>
      <c r="D67" s="28">
        <v>4</v>
      </c>
      <c r="E67" s="28">
        <v>6.4261284259999996E-2</v>
      </c>
    </row>
    <row r="68" spans="3:5">
      <c r="C68" s="80">
        <v>45419</v>
      </c>
      <c r="D68" s="28">
        <v>1</v>
      </c>
      <c r="E68" s="28">
        <v>0.1428296161</v>
      </c>
    </row>
    <row r="69" spans="3:5">
      <c r="C69" s="80">
        <v>45419</v>
      </c>
      <c r="D69" s="28">
        <v>7</v>
      </c>
      <c r="E69" s="28">
        <v>5.0869502380000001E-2</v>
      </c>
    </row>
    <row r="70" spans="3:5">
      <c r="C70" s="80">
        <v>45419</v>
      </c>
      <c r="D70" s="28">
        <v>5</v>
      </c>
      <c r="E70" s="28">
        <v>6.243075293E-2</v>
      </c>
    </row>
    <row r="71" spans="3:5">
      <c r="C71" s="80">
        <v>45419</v>
      </c>
      <c r="D71" s="28">
        <v>6</v>
      </c>
      <c r="E71" s="28">
        <v>5.9058721520000003E-2</v>
      </c>
    </row>
    <row r="72" spans="3:5">
      <c r="C72" s="80">
        <v>45420</v>
      </c>
      <c r="D72" s="28">
        <v>1</v>
      </c>
      <c r="E72" s="28">
        <v>0.14131457720000001</v>
      </c>
    </row>
    <row r="73" spans="3:5">
      <c r="C73" s="80">
        <v>45420</v>
      </c>
      <c r="D73" s="28">
        <v>30</v>
      </c>
      <c r="E73" s="28">
        <v>2.8629451680000001E-2</v>
      </c>
    </row>
    <row r="74" spans="3:5">
      <c r="C74" s="80">
        <v>45420</v>
      </c>
      <c r="D74" s="28">
        <v>7</v>
      </c>
      <c r="E74" s="28">
        <v>5.0968349099999997E-2</v>
      </c>
    </row>
    <row r="75" spans="3:5">
      <c r="C75" s="80">
        <v>45420</v>
      </c>
      <c r="D75" s="28">
        <v>6</v>
      </c>
      <c r="E75" s="28">
        <v>5.5822477590000003E-2</v>
      </c>
    </row>
    <row r="76" spans="3:5">
      <c r="C76" s="80">
        <v>45420</v>
      </c>
      <c r="D76" s="28">
        <v>14</v>
      </c>
      <c r="E76" s="28">
        <v>3.8040517109999998E-2</v>
      </c>
    </row>
    <row r="77" spans="3:5">
      <c r="C77" s="80">
        <v>45420</v>
      </c>
      <c r="D77" s="28">
        <v>60</v>
      </c>
      <c r="E77" s="28">
        <v>2.2190301650000001E-2</v>
      </c>
    </row>
    <row r="78" spans="3:5">
      <c r="C78" s="80">
        <v>45420</v>
      </c>
      <c r="D78" s="28">
        <v>5</v>
      </c>
      <c r="E78" s="28">
        <v>6.5084947249999997E-2</v>
      </c>
    </row>
    <row r="79" spans="3:5">
      <c r="C79" s="80">
        <v>45420</v>
      </c>
      <c r="D79" s="28">
        <v>2</v>
      </c>
      <c r="E79" s="28">
        <v>9.0544355839999993E-2</v>
      </c>
    </row>
    <row r="80" spans="3:5">
      <c r="C80" s="80">
        <v>45420</v>
      </c>
      <c r="D80" s="28">
        <v>4</v>
      </c>
      <c r="E80" s="28">
        <v>7.2762395359999996E-2</v>
      </c>
    </row>
    <row r="81" spans="3:5">
      <c r="C81" s="80">
        <v>45420</v>
      </c>
      <c r="D81" s="28">
        <v>3</v>
      </c>
      <c r="E81" s="28">
        <v>7.7963247309999997E-2</v>
      </c>
    </row>
    <row r="82" spans="3:5">
      <c r="C82" s="80">
        <v>45421</v>
      </c>
      <c r="D82" s="28">
        <v>3</v>
      </c>
      <c r="E82" s="28">
        <v>7.2568940489999997E-2</v>
      </c>
    </row>
    <row r="83" spans="3:5">
      <c r="C83" s="80">
        <v>45421</v>
      </c>
      <c r="D83" s="28">
        <v>30</v>
      </c>
      <c r="E83" s="28">
        <v>2.4238026119999999E-2</v>
      </c>
    </row>
    <row r="84" spans="3:5">
      <c r="C84" s="80">
        <v>45421</v>
      </c>
      <c r="D84" s="28">
        <v>6</v>
      </c>
      <c r="E84" s="28">
        <v>4.6117561680000002E-2</v>
      </c>
    </row>
    <row r="85" spans="3:5">
      <c r="C85" s="80">
        <v>45421</v>
      </c>
      <c r="D85" s="28">
        <v>7</v>
      </c>
      <c r="E85" s="28">
        <v>4.3976777940000003E-2</v>
      </c>
    </row>
    <row r="86" spans="3:5">
      <c r="C86" s="80">
        <v>45421</v>
      </c>
      <c r="D86" s="28">
        <v>4</v>
      </c>
      <c r="E86" s="28">
        <v>5.9869375910000001E-2</v>
      </c>
    </row>
    <row r="87" spans="3:5">
      <c r="C87" s="80">
        <v>45421</v>
      </c>
      <c r="D87" s="28">
        <v>5</v>
      </c>
      <c r="E87" s="28">
        <v>5.1560232220000002E-2</v>
      </c>
    </row>
    <row r="88" spans="3:5">
      <c r="C88" s="80">
        <v>45421</v>
      </c>
      <c r="D88" s="28">
        <v>1</v>
      </c>
      <c r="E88" s="28">
        <v>0.15863570390000001</v>
      </c>
    </row>
    <row r="89" spans="3:5">
      <c r="C89" s="80">
        <v>45421</v>
      </c>
      <c r="D89" s="28">
        <v>2</v>
      </c>
      <c r="E89" s="28">
        <v>8.5595065309999996E-2</v>
      </c>
    </row>
    <row r="90" spans="3:5">
      <c r="C90" s="80">
        <v>45421</v>
      </c>
      <c r="D90" s="28">
        <v>60</v>
      </c>
      <c r="E90" s="28">
        <v>1.8069666179999999E-2</v>
      </c>
    </row>
    <row r="91" spans="3:5">
      <c r="C91" s="80">
        <v>45421</v>
      </c>
      <c r="D91" s="28">
        <v>14</v>
      </c>
      <c r="E91" s="28">
        <v>3.301886792E-2</v>
      </c>
    </row>
    <row r="92" spans="3:5">
      <c r="C92" s="80">
        <v>45422</v>
      </c>
      <c r="D92" s="28">
        <v>6</v>
      </c>
      <c r="E92" s="28">
        <v>3.9590955999999997E-2</v>
      </c>
    </row>
    <row r="93" spans="3:5">
      <c r="C93" s="80">
        <v>45422</v>
      </c>
      <c r="D93" s="28">
        <v>1</v>
      </c>
      <c r="E93" s="28">
        <v>0.12156393660000001</v>
      </c>
    </row>
    <row r="94" spans="3:5">
      <c r="C94" s="80">
        <v>45422</v>
      </c>
      <c r="D94" s="28">
        <v>3</v>
      </c>
      <c r="E94" s="28">
        <v>5.98320668E-2</v>
      </c>
    </row>
    <row r="95" spans="3:5">
      <c r="C95" s="80">
        <v>45422</v>
      </c>
      <c r="D95" s="28">
        <v>60</v>
      </c>
      <c r="E95" s="28">
        <v>1.2032085559999999E-2</v>
      </c>
    </row>
    <row r="96" spans="3:5">
      <c r="C96" s="80">
        <v>45422</v>
      </c>
      <c r="D96" s="28">
        <v>7</v>
      </c>
      <c r="E96" s="28">
        <v>4.0224223660000002E-2</v>
      </c>
    </row>
    <row r="97" spans="3:5">
      <c r="C97" s="80">
        <v>45422</v>
      </c>
      <c r="D97" s="28">
        <v>14</v>
      </c>
      <c r="E97" s="28">
        <v>2.7723050940000001E-2</v>
      </c>
    </row>
    <row r="98" spans="3:5">
      <c r="C98" s="80">
        <v>45422</v>
      </c>
      <c r="D98" s="28">
        <v>5</v>
      </c>
      <c r="E98" s="28">
        <v>4.195984614E-2</v>
      </c>
    </row>
    <row r="99" spans="3:5">
      <c r="C99" s="80">
        <v>45422</v>
      </c>
      <c r="D99" s="28">
        <v>30</v>
      </c>
      <c r="E99" s="28">
        <v>2.0030021580000001E-2</v>
      </c>
    </row>
    <row r="100" spans="3:5">
      <c r="C100" s="80">
        <v>45422</v>
      </c>
      <c r="D100" s="28">
        <v>2</v>
      </c>
      <c r="E100" s="28">
        <v>7.6695750069999999E-2</v>
      </c>
    </row>
    <row r="101" spans="3:5">
      <c r="C101" s="80">
        <v>45422</v>
      </c>
      <c r="D101" s="28">
        <v>4</v>
      </c>
      <c r="E101" s="28">
        <v>4.8011070459999999E-2</v>
      </c>
    </row>
    <row r="102" spans="3:5">
      <c r="C102" s="80">
        <v>45423</v>
      </c>
      <c r="D102" s="28">
        <v>14</v>
      </c>
      <c r="E102" s="28">
        <v>2.9949826320000001E-2</v>
      </c>
    </row>
    <row r="103" spans="3:5">
      <c r="C103" s="80">
        <v>45423</v>
      </c>
      <c r="D103" s="28">
        <v>30</v>
      </c>
      <c r="E103" s="28">
        <v>1.968351988E-2</v>
      </c>
    </row>
    <row r="104" spans="3:5">
      <c r="C104" s="80">
        <v>45423</v>
      </c>
      <c r="D104" s="28">
        <v>7</v>
      </c>
      <c r="E104" s="28">
        <v>4.0036022130000001E-2</v>
      </c>
    </row>
    <row r="105" spans="3:5">
      <c r="C105" s="80">
        <v>45423</v>
      </c>
      <c r="D105" s="28">
        <v>4</v>
      </c>
      <c r="E105" s="28">
        <v>4.8629872640000002E-2</v>
      </c>
    </row>
    <row r="106" spans="3:5">
      <c r="C106" s="80">
        <v>45423</v>
      </c>
      <c r="D106" s="28">
        <v>5</v>
      </c>
      <c r="E106" s="28">
        <v>4.4513058020000003E-2</v>
      </c>
    </row>
    <row r="107" spans="3:5">
      <c r="C107" s="80">
        <v>45423</v>
      </c>
      <c r="D107" s="28">
        <v>6</v>
      </c>
      <c r="E107" s="28">
        <v>4.3149363179999997E-2</v>
      </c>
    </row>
    <row r="108" spans="3:5">
      <c r="C108" s="80">
        <v>45423</v>
      </c>
      <c r="D108" s="28">
        <v>1</v>
      </c>
      <c r="E108" s="28">
        <v>0.1291393284</v>
      </c>
    </row>
    <row r="109" spans="3:5">
      <c r="C109" s="80">
        <v>45423</v>
      </c>
      <c r="D109" s="28">
        <v>3</v>
      </c>
      <c r="E109" s="28">
        <v>5.784124534E-2</v>
      </c>
    </row>
    <row r="110" spans="3:5">
      <c r="C110" s="80">
        <v>45423</v>
      </c>
      <c r="D110" s="28">
        <v>2</v>
      </c>
      <c r="E110" s="28">
        <v>7.9608902610000004E-2</v>
      </c>
    </row>
    <row r="111" spans="3:5">
      <c r="C111" s="80">
        <v>45423</v>
      </c>
      <c r="D111" s="28">
        <v>60</v>
      </c>
      <c r="E111" s="28">
        <v>1.361121832E-2</v>
      </c>
    </row>
    <row r="112" spans="3:5">
      <c r="C112" s="80">
        <v>45424</v>
      </c>
      <c r="D112" s="28">
        <v>4</v>
      </c>
      <c r="E112" s="28">
        <v>4.6424711819999999E-2</v>
      </c>
    </row>
    <row r="113" spans="3:5">
      <c r="C113" s="80">
        <v>45424</v>
      </c>
      <c r="D113" s="28">
        <v>5</v>
      </c>
      <c r="E113" s="28">
        <v>4.6357168589999997E-2</v>
      </c>
    </row>
    <row r="114" spans="3:5">
      <c r="C114" s="80">
        <v>45424</v>
      </c>
      <c r="D114" s="28">
        <v>14</v>
      </c>
      <c r="E114" s="28">
        <v>3.2263148409999998E-2</v>
      </c>
    </row>
    <row r="115" spans="3:5">
      <c r="C115" s="80">
        <v>45424</v>
      </c>
      <c r="D115" s="28">
        <v>3</v>
      </c>
      <c r="E115" s="28">
        <v>5.4439841500000002E-2</v>
      </c>
    </row>
    <row r="116" spans="3:5">
      <c r="C116" s="80">
        <v>45424</v>
      </c>
      <c r="D116" s="28">
        <v>60</v>
      </c>
      <c r="E116" s="28">
        <v>1.380133285E-2</v>
      </c>
    </row>
    <row r="117" spans="3:5">
      <c r="C117" s="80">
        <v>45424</v>
      </c>
      <c r="D117" s="28">
        <v>1</v>
      </c>
      <c r="E117" s="28">
        <v>0.1295028818</v>
      </c>
    </row>
    <row r="118" spans="3:5">
      <c r="C118" s="80">
        <v>45424</v>
      </c>
      <c r="D118" s="28">
        <v>7</v>
      </c>
      <c r="E118" s="28">
        <v>4.4240814119999999E-2</v>
      </c>
    </row>
    <row r="119" spans="3:5">
      <c r="C119" s="80">
        <v>45424</v>
      </c>
      <c r="D119" s="28">
        <v>6</v>
      </c>
      <c r="E119" s="28">
        <v>4.3115093659999999E-2</v>
      </c>
    </row>
    <row r="120" spans="3:5">
      <c r="C120" s="80">
        <v>45424</v>
      </c>
      <c r="D120" s="28">
        <v>30</v>
      </c>
      <c r="E120" s="28">
        <v>1.9069704610000002E-2</v>
      </c>
    </row>
    <row r="121" spans="3:5">
      <c r="C121" s="80">
        <v>45424</v>
      </c>
      <c r="D121" s="28">
        <v>2</v>
      </c>
      <c r="E121" s="28">
        <v>6.95920389E-2</v>
      </c>
    </row>
    <row r="122" spans="3:5">
      <c r="C122" s="80">
        <v>45425</v>
      </c>
      <c r="D122" s="28">
        <v>6</v>
      </c>
      <c r="E122" s="28">
        <v>4.4195321760000003E-2</v>
      </c>
    </row>
    <row r="123" spans="3:5">
      <c r="C123" s="80">
        <v>45425</v>
      </c>
      <c r="D123" s="28">
        <v>5</v>
      </c>
      <c r="E123" s="28">
        <v>4.5876899860000001E-2</v>
      </c>
    </row>
    <row r="124" spans="3:5">
      <c r="C124" s="80">
        <v>45425</v>
      </c>
      <c r="D124" s="28">
        <v>14</v>
      </c>
      <c r="E124" s="28">
        <v>3.0354640509999999E-2</v>
      </c>
    </row>
    <row r="125" spans="3:5">
      <c r="C125" s="80">
        <v>45425</v>
      </c>
      <c r="D125" s="28">
        <v>7</v>
      </c>
      <c r="E125" s="28">
        <v>4.033631562E-2</v>
      </c>
    </row>
    <row r="126" spans="3:5">
      <c r="C126" s="80">
        <v>45425</v>
      </c>
      <c r="D126" s="28">
        <v>60</v>
      </c>
      <c r="E126" s="28">
        <v>1.409938558E-2</v>
      </c>
    </row>
    <row r="127" spans="3:5">
      <c r="C127" s="80">
        <v>45425</v>
      </c>
      <c r="D127" s="28">
        <v>1</v>
      </c>
      <c r="E127" s="28">
        <v>0.1217203837</v>
      </c>
    </row>
    <row r="128" spans="3:5">
      <c r="C128" s="80">
        <v>45425</v>
      </c>
      <c r="D128" s="28">
        <v>4</v>
      </c>
      <c r="E128" s="28">
        <v>4.8420825700000003E-2</v>
      </c>
    </row>
    <row r="129" spans="3:5">
      <c r="C129" s="80">
        <v>45425</v>
      </c>
      <c r="D129" s="28">
        <v>30</v>
      </c>
      <c r="E129" s="28">
        <v>2.0114261080000001E-2</v>
      </c>
    </row>
    <row r="130" spans="3:5">
      <c r="C130" s="80">
        <v>45425</v>
      </c>
      <c r="D130" s="28">
        <v>3</v>
      </c>
      <c r="E130" s="28">
        <v>5.6203514070000002E-2</v>
      </c>
    </row>
    <row r="131" spans="3:5">
      <c r="C131" s="80">
        <v>45425</v>
      </c>
      <c r="D131" s="28">
        <v>2</v>
      </c>
      <c r="E131" s="28">
        <v>7.0346017029999999E-2</v>
      </c>
    </row>
    <row r="132" spans="3:5">
      <c r="C132" s="80">
        <v>45426</v>
      </c>
      <c r="D132" s="28">
        <v>1</v>
      </c>
      <c r="E132" s="28">
        <v>0.1239803535</v>
      </c>
    </row>
    <row r="133" spans="3:5">
      <c r="C133" s="80">
        <v>45426</v>
      </c>
      <c r="D133" s="28">
        <v>14</v>
      </c>
      <c r="E133" s="28">
        <v>2.284873531E-2</v>
      </c>
    </row>
    <row r="134" spans="3:5">
      <c r="C134" s="80">
        <v>45426</v>
      </c>
      <c r="D134" s="28">
        <v>6</v>
      </c>
      <c r="E134" s="28">
        <v>3.896834498E-2</v>
      </c>
    </row>
    <row r="135" spans="3:5">
      <c r="C135" s="80">
        <v>45426</v>
      </c>
      <c r="D135" s="28">
        <v>60</v>
      </c>
      <c r="E135" s="28">
        <v>1.1402730599999999E-2</v>
      </c>
    </row>
    <row r="136" spans="3:5">
      <c r="C136" s="80">
        <v>45426</v>
      </c>
      <c r="D136" s="28">
        <v>5</v>
      </c>
      <c r="E136" s="28">
        <v>4.4637254690000003E-2</v>
      </c>
    </row>
    <row r="137" spans="3:5">
      <c r="C137" s="80">
        <v>45426</v>
      </c>
      <c r="D137" s="28">
        <v>7</v>
      </c>
      <c r="E137" s="28">
        <v>3.4922214770000001E-2</v>
      </c>
    </row>
    <row r="138" spans="3:5">
      <c r="C138" s="80">
        <v>45426</v>
      </c>
      <c r="D138" s="28">
        <v>2</v>
      </c>
      <c r="E138" s="28">
        <v>7.1553757280000005E-2</v>
      </c>
    </row>
    <row r="139" spans="3:5">
      <c r="C139" s="80">
        <v>45426</v>
      </c>
      <c r="D139" s="28">
        <v>3</v>
      </c>
      <c r="E139" s="28">
        <v>5.591016293E-2</v>
      </c>
    </row>
    <row r="140" spans="3:5">
      <c r="C140" s="80">
        <v>45426</v>
      </c>
      <c r="D140" s="28">
        <v>4</v>
      </c>
      <c r="E140" s="28">
        <v>4.8077547220000003E-2</v>
      </c>
    </row>
    <row r="141" spans="3:5">
      <c r="C141" s="80">
        <v>45426</v>
      </c>
      <c r="D141" s="28">
        <v>30</v>
      </c>
      <c r="E141" s="28">
        <v>1.709327737E-2</v>
      </c>
    </row>
    <row r="142" spans="3:5">
      <c r="C142" s="80">
        <v>45427</v>
      </c>
      <c r="D142" s="28">
        <v>7</v>
      </c>
      <c r="E142" s="28">
        <v>3.631628445E-2</v>
      </c>
    </row>
    <row r="143" spans="3:5">
      <c r="C143" s="80">
        <v>45427</v>
      </c>
      <c r="D143" s="28">
        <v>4</v>
      </c>
      <c r="E143" s="28">
        <v>5.1001953269999997E-2</v>
      </c>
    </row>
    <row r="144" spans="3:5">
      <c r="C144" s="80">
        <v>45427</v>
      </c>
      <c r="D144" s="28">
        <v>60</v>
      </c>
      <c r="E144" s="28">
        <v>1.360052087E-2</v>
      </c>
    </row>
    <row r="145" spans="3:5">
      <c r="C145" s="80">
        <v>45427</v>
      </c>
      <c r="D145" s="28">
        <v>30</v>
      </c>
      <c r="E145" s="28">
        <v>1.668716391E-2</v>
      </c>
    </row>
    <row r="146" spans="3:5">
      <c r="C146" s="80">
        <v>45427</v>
      </c>
      <c r="D146" s="28">
        <v>14</v>
      </c>
      <c r="E146" s="28">
        <v>2.601943621E-2</v>
      </c>
    </row>
    <row r="147" spans="3:5">
      <c r="C147" s="80">
        <v>45427</v>
      </c>
      <c r="D147" s="28">
        <v>5</v>
      </c>
      <c r="E147" s="28">
        <v>4.3767633649999999E-2</v>
      </c>
    </row>
    <row r="148" spans="3:5">
      <c r="C148" s="80">
        <v>45427</v>
      </c>
      <c r="D148" s="28">
        <v>6</v>
      </c>
      <c r="E148" s="28">
        <v>3.976464347E-2</v>
      </c>
    </row>
    <row r="149" spans="3:5">
      <c r="C149" s="80">
        <v>45427</v>
      </c>
      <c r="D149" s="28">
        <v>3</v>
      </c>
      <c r="E149" s="28">
        <v>5.9490221609999998E-2</v>
      </c>
    </row>
    <row r="150" spans="3:5">
      <c r="C150" s="80">
        <v>45427</v>
      </c>
      <c r="D150" s="28">
        <v>2</v>
      </c>
      <c r="E150" s="28">
        <v>7.8902312569999994E-2</v>
      </c>
    </row>
    <row r="151" spans="3:5">
      <c r="C151" s="80">
        <v>45427</v>
      </c>
      <c r="D151" s="28">
        <v>1</v>
      </c>
      <c r="E151" s="28">
        <v>0.1283368299</v>
      </c>
    </row>
    <row r="152" spans="3:5">
      <c r="C152" s="80">
        <v>45428</v>
      </c>
      <c r="D152" s="28">
        <v>7</v>
      </c>
      <c r="E152" s="28">
        <v>3.76794108E-2</v>
      </c>
    </row>
    <row r="153" spans="3:5">
      <c r="C153" s="80">
        <v>45428</v>
      </c>
      <c r="D153" s="28">
        <v>30</v>
      </c>
      <c r="E153" s="28">
        <v>1.8626046300000001E-2</v>
      </c>
    </row>
    <row r="154" spans="3:5">
      <c r="C154" s="80">
        <v>45428</v>
      </c>
      <c r="D154" s="28">
        <v>1</v>
      </c>
      <c r="E154" s="28">
        <v>0.13116155139999999</v>
      </c>
    </row>
    <row r="155" spans="3:5">
      <c r="C155" s="80">
        <v>45428</v>
      </c>
      <c r="D155" s="28">
        <v>14</v>
      </c>
      <c r="E155" s="28">
        <v>2.7650001260000001E-2</v>
      </c>
    </row>
    <row r="156" spans="3:5">
      <c r="C156" s="80">
        <v>45428</v>
      </c>
      <c r="D156" s="28">
        <v>60</v>
      </c>
      <c r="E156" s="28">
        <v>1.302063696E-2</v>
      </c>
    </row>
    <row r="157" spans="3:5">
      <c r="C157" s="80">
        <v>45428</v>
      </c>
      <c r="D157" s="28">
        <v>3</v>
      </c>
      <c r="E157" s="28">
        <v>5.939722997E-2</v>
      </c>
    </row>
    <row r="158" spans="3:5">
      <c r="C158" s="80">
        <v>45428</v>
      </c>
      <c r="D158" s="28">
        <v>2</v>
      </c>
      <c r="E158" s="28">
        <v>7.7696503530000002E-2</v>
      </c>
    </row>
    <row r="159" spans="3:5">
      <c r="C159" s="80">
        <v>45428</v>
      </c>
      <c r="D159" s="28">
        <v>5</v>
      </c>
      <c r="E159" s="28">
        <v>4.7055274869999997E-2</v>
      </c>
    </row>
    <row r="160" spans="3:5">
      <c r="C160" s="80">
        <v>45428</v>
      </c>
      <c r="D160" s="28">
        <v>6</v>
      </c>
      <c r="E160" s="28">
        <v>4.0167910920000001E-2</v>
      </c>
    </row>
    <row r="161" spans="3:5">
      <c r="C161" s="80">
        <v>45428</v>
      </c>
      <c r="D161" s="28">
        <v>4</v>
      </c>
      <c r="E161" s="28">
        <v>5.0951411410000001E-2</v>
      </c>
    </row>
    <row r="162" spans="3:5">
      <c r="C162" s="80">
        <v>45429</v>
      </c>
      <c r="D162" s="28">
        <v>5</v>
      </c>
      <c r="E162" s="28">
        <v>4.1048824589999998E-2</v>
      </c>
    </row>
    <row r="163" spans="3:5">
      <c r="C163" s="80">
        <v>45429</v>
      </c>
      <c r="D163" s="28">
        <v>6</v>
      </c>
      <c r="E163" s="28">
        <v>3.707052441E-2</v>
      </c>
    </row>
    <row r="164" spans="3:5">
      <c r="C164" s="80">
        <v>45429</v>
      </c>
      <c r="D164" s="28">
        <v>60</v>
      </c>
      <c r="E164" s="28">
        <v>1.151295961E-2</v>
      </c>
    </row>
    <row r="165" spans="3:5">
      <c r="C165" s="80">
        <v>45429</v>
      </c>
      <c r="D165" s="28">
        <v>14</v>
      </c>
      <c r="E165" s="28">
        <v>2.529636327E-2</v>
      </c>
    </row>
    <row r="166" spans="3:5">
      <c r="C166" s="80">
        <v>45429</v>
      </c>
      <c r="D166" s="28">
        <v>2</v>
      </c>
      <c r="E166" s="28">
        <v>7.5045207959999999E-2</v>
      </c>
    </row>
    <row r="167" spans="3:5">
      <c r="C167" s="80">
        <v>45429</v>
      </c>
      <c r="D167" s="28">
        <v>3</v>
      </c>
      <c r="E167" s="28">
        <v>5.4812135820000003E-2</v>
      </c>
    </row>
    <row r="168" spans="3:5">
      <c r="C168" s="80">
        <v>45429</v>
      </c>
      <c r="D168" s="28">
        <v>7</v>
      </c>
      <c r="E168" s="28">
        <v>3.7653204740000001E-2</v>
      </c>
    </row>
    <row r="169" spans="3:5">
      <c r="C169" s="80">
        <v>45429</v>
      </c>
      <c r="D169" s="28">
        <v>30</v>
      </c>
      <c r="E169" s="28">
        <v>1.9429375129999999E-2</v>
      </c>
    </row>
    <row r="170" spans="3:5">
      <c r="C170" s="80">
        <v>45429</v>
      </c>
      <c r="D170" s="28">
        <v>4</v>
      </c>
      <c r="E170" s="28">
        <v>4.687562789E-2</v>
      </c>
    </row>
    <row r="171" spans="3:5">
      <c r="C171" s="80">
        <v>45429</v>
      </c>
      <c r="D171" s="28">
        <v>1</v>
      </c>
      <c r="E171" s="28">
        <v>0.13331324089999999</v>
      </c>
    </row>
    <row r="172" spans="3:5">
      <c r="C172" s="80">
        <v>45430</v>
      </c>
      <c r="D172" s="28">
        <v>14</v>
      </c>
      <c r="E172" s="28">
        <v>2.430033379E-2</v>
      </c>
    </row>
    <row r="173" spans="3:5">
      <c r="C173" s="80">
        <v>45430</v>
      </c>
      <c r="D173" s="28">
        <v>30</v>
      </c>
      <c r="E173" s="28">
        <v>2.0228881630000001E-2</v>
      </c>
    </row>
    <row r="174" spans="3:5">
      <c r="C174" s="80">
        <v>45430</v>
      </c>
      <c r="D174" s="28">
        <v>5</v>
      </c>
      <c r="E174" s="28">
        <v>4.1062979130000003E-2</v>
      </c>
    </row>
    <row r="175" spans="3:5">
      <c r="C175" s="80">
        <v>45430</v>
      </c>
      <c r="D175" s="28">
        <v>7</v>
      </c>
      <c r="E175" s="28">
        <v>3.6881487730000002E-2</v>
      </c>
    </row>
    <row r="176" spans="3:5">
      <c r="C176" s="80">
        <v>45430</v>
      </c>
      <c r="D176" s="28">
        <v>1</v>
      </c>
      <c r="E176" s="28">
        <v>0.1298646517</v>
      </c>
    </row>
    <row r="177" spans="3:5">
      <c r="C177" s="80">
        <v>45430</v>
      </c>
      <c r="D177" s="28">
        <v>2</v>
      </c>
      <c r="E177" s="28">
        <v>7.3011040599999993E-2</v>
      </c>
    </row>
    <row r="178" spans="3:5">
      <c r="C178" s="80">
        <v>45430</v>
      </c>
      <c r="D178" s="28">
        <v>6</v>
      </c>
      <c r="E178" s="28">
        <v>3.9155632179999997E-2</v>
      </c>
    </row>
    <row r="179" spans="3:5">
      <c r="C179" s="80">
        <v>45430</v>
      </c>
      <c r="D179" s="28">
        <v>4</v>
      </c>
      <c r="E179" s="28">
        <v>4.5024392029999999E-2</v>
      </c>
    </row>
    <row r="180" spans="3:5">
      <c r="C180" s="80">
        <v>45430</v>
      </c>
      <c r="D180" s="28">
        <v>3</v>
      </c>
      <c r="E180" s="28">
        <v>5.4341048310000001E-2</v>
      </c>
    </row>
    <row r="181" spans="3:5">
      <c r="C181" s="80">
        <v>45430</v>
      </c>
      <c r="D181" s="28">
        <v>60</v>
      </c>
      <c r="E181" s="28">
        <v>1.056376774E-2</v>
      </c>
    </row>
    <row r="182" spans="3:5">
      <c r="C182" s="80">
        <v>45431</v>
      </c>
      <c r="D182" s="28">
        <v>5</v>
      </c>
      <c r="E182" s="28">
        <v>4.2187934390000001E-2</v>
      </c>
    </row>
    <row r="183" spans="3:5">
      <c r="C183" s="80">
        <v>45431</v>
      </c>
      <c r="D183" s="28">
        <v>4</v>
      </c>
      <c r="E183" s="28">
        <v>4.5767306090000001E-2</v>
      </c>
    </row>
    <row r="184" spans="3:5">
      <c r="C184" s="80">
        <v>45431</v>
      </c>
      <c r="D184" s="28">
        <v>30</v>
      </c>
      <c r="E184" s="28">
        <v>1.8713511259999999E-2</v>
      </c>
    </row>
    <row r="185" spans="3:5">
      <c r="C185" s="80">
        <v>45431</v>
      </c>
      <c r="D185" s="28">
        <v>2</v>
      </c>
      <c r="E185" s="28">
        <v>7.0371142619999993E-2</v>
      </c>
    </row>
    <row r="186" spans="3:5">
      <c r="C186" s="80">
        <v>45431</v>
      </c>
      <c r="D186" s="28">
        <v>60</v>
      </c>
      <c r="E186" s="28">
        <v>1.124200723E-2</v>
      </c>
    </row>
    <row r="187" spans="3:5">
      <c r="C187" s="80">
        <v>45431</v>
      </c>
      <c r="D187" s="28">
        <v>7</v>
      </c>
      <c r="E187" s="28">
        <v>3.9147206009999998E-2</v>
      </c>
    </row>
    <row r="188" spans="3:5">
      <c r="C188" s="80">
        <v>45431</v>
      </c>
      <c r="D188" s="28">
        <v>14</v>
      </c>
      <c r="E188" s="28">
        <v>2.8704475949999999E-2</v>
      </c>
    </row>
    <row r="189" spans="3:5">
      <c r="C189" s="80">
        <v>45431</v>
      </c>
      <c r="D189" s="28">
        <v>6</v>
      </c>
      <c r="E189" s="28">
        <v>3.8486933559999999E-2</v>
      </c>
    </row>
    <row r="190" spans="3:5">
      <c r="C190" s="80">
        <v>45431</v>
      </c>
      <c r="D190" s="28">
        <v>1</v>
      </c>
      <c r="E190" s="28">
        <v>0.12710244649999999</v>
      </c>
    </row>
    <row r="191" spans="3:5">
      <c r="C191" s="80">
        <v>45431</v>
      </c>
      <c r="D191" s="28">
        <v>3</v>
      </c>
      <c r="E191" s="28">
        <v>5.3325688070000002E-2</v>
      </c>
    </row>
    <row r="192" spans="3:5">
      <c r="C192" s="80">
        <v>45432</v>
      </c>
      <c r="D192" s="28">
        <v>60</v>
      </c>
      <c r="E192" s="28">
        <v>1.043159594E-2</v>
      </c>
    </row>
    <row r="193" spans="3:5">
      <c r="C193" s="80">
        <v>45432</v>
      </c>
      <c r="D193" s="28">
        <v>2</v>
      </c>
      <c r="E193" s="28">
        <v>7.1769380090000001E-2</v>
      </c>
    </row>
    <row r="194" spans="3:5">
      <c r="C194" s="80">
        <v>45432</v>
      </c>
      <c r="D194" s="28">
        <v>14</v>
      </c>
      <c r="E194" s="28">
        <v>2.5815932220000001E-2</v>
      </c>
    </row>
    <row r="195" spans="3:5">
      <c r="C195" s="80">
        <v>45432</v>
      </c>
      <c r="D195" s="28">
        <v>3</v>
      </c>
      <c r="E195" s="28">
        <v>5.3573048380000002E-2</v>
      </c>
    </row>
    <row r="196" spans="3:5">
      <c r="C196" s="80">
        <v>45432</v>
      </c>
      <c r="D196" s="28">
        <v>7</v>
      </c>
      <c r="E196" s="28">
        <v>3.7444893960000003E-2</v>
      </c>
    </row>
    <row r="197" spans="3:5">
      <c r="C197" s="80">
        <v>45432</v>
      </c>
      <c r="D197" s="28">
        <v>4</v>
      </c>
      <c r="E197" s="28">
        <v>4.8094192780000003E-2</v>
      </c>
    </row>
    <row r="198" spans="3:5">
      <c r="C198" s="80">
        <v>45432</v>
      </c>
      <c r="D198" s="28">
        <v>5</v>
      </c>
      <c r="E198" s="28">
        <v>4.2506485730000002E-2</v>
      </c>
    </row>
    <row r="199" spans="3:5">
      <c r="C199" s="80">
        <v>45432</v>
      </c>
      <c r="D199" s="28">
        <v>6</v>
      </c>
      <c r="E199" s="28">
        <v>4.1073275159999999E-2</v>
      </c>
    </row>
    <row r="200" spans="3:5">
      <c r="C200" s="80">
        <v>45432</v>
      </c>
      <c r="D200" s="28">
        <v>1</v>
      </c>
      <c r="E200" s="28">
        <v>0.1229476969</v>
      </c>
    </row>
    <row r="201" spans="3:5">
      <c r="C201" s="80">
        <v>45432</v>
      </c>
      <c r="D201" s="28">
        <v>30</v>
      </c>
      <c r="E201" s="28">
        <v>1.7470655469999999E-2</v>
      </c>
    </row>
    <row r="202" spans="3:5">
      <c r="C202" s="80">
        <v>45433</v>
      </c>
      <c r="D202" s="28">
        <v>6</v>
      </c>
      <c r="E202" s="28">
        <v>4.0136870460000001E-2</v>
      </c>
    </row>
    <row r="203" spans="3:5">
      <c r="C203" s="80">
        <v>45433</v>
      </c>
      <c r="D203" s="28">
        <v>4</v>
      </c>
      <c r="E203" s="28">
        <v>4.9890857599999998E-2</v>
      </c>
    </row>
    <row r="204" spans="3:5">
      <c r="C204" s="80">
        <v>45433</v>
      </c>
      <c r="D204" s="28">
        <v>1</v>
      </c>
      <c r="E204" s="28">
        <v>0.1248746337</v>
      </c>
    </row>
    <row r="205" spans="3:5">
      <c r="C205" s="80">
        <v>45433</v>
      </c>
      <c r="D205" s="28">
        <v>7</v>
      </c>
      <c r="E205" s="28">
        <v>3.3784979649999998E-2</v>
      </c>
    </row>
    <row r="206" spans="3:5">
      <c r="C206" s="80">
        <v>45433</v>
      </c>
      <c r="D206" s="28">
        <v>3</v>
      </c>
      <c r="E206" s="28">
        <v>5.6911368509999997E-2</v>
      </c>
    </row>
    <row r="207" spans="3:5">
      <c r="C207" s="80">
        <v>45433</v>
      </c>
      <c r="D207" s="28">
        <v>14</v>
      </c>
      <c r="E207" s="28">
        <v>2.3657351869999999E-2</v>
      </c>
    </row>
    <row r="208" spans="3:5">
      <c r="C208" s="80">
        <v>45433</v>
      </c>
      <c r="D208" s="28">
        <v>30</v>
      </c>
      <c r="E208" s="28">
        <v>1.850504415E-2</v>
      </c>
    </row>
    <row r="209" spans="3:5">
      <c r="C209" s="80">
        <v>45433</v>
      </c>
      <c r="D209" s="28">
        <v>60</v>
      </c>
      <c r="E209" s="28">
        <v>1.1248549680000001E-2</v>
      </c>
    </row>
    <row r="210" spans="3:5">
      <c r="C210" s="80">
        <v>45433</v>
      </c>
      <c r="D210" s="28">
        <v>2</v>
      </c>
      <c r="E210" s="28">
        <v>7.1739002179999997E-2</v>
      </c>
    </row>
    <row r="211" spans="3:5">
      <c r="C211" s="80">
        <v>45433</v>
      </c>
      <c r="D211" s="28">
        <v>5</v>
      </c>
      <c r="E211" s="28">
        <v>4.3892942130000001E-2</v>
      </c>
    </row>
    <row r="212" spans="3:5">
      <c r="C212" s="80">
        <v>45434</v>
      </c>
      <c r="D212" s="28">
        <v>7</v>
      </c>
      <c r="E212" s="28">
        <v>3.6161397820000003E-2</v>
      </c>
    </row>
    <row r="213" spans="3:5">
      <c r="C213" s="80">
        <v>45434</v>
      </c>
      <c r="D213" s="28">
        <v>4</v>
      </c>
      <c r="E213" s="28">
        <v>5.009907232E-2</v>
      </c>
    </row>
    <row r="214" spans="3:5">
      <c r="C214" s="80">
        <v>45434</v>
      </c>
      <c r="D214" s="28">
        <v>1</v>
      </c>
      <c r="E214" s="28">
        <v>0.1223768351</v>
      </c>
    </row>
    <row r="215" spans="3:5">
      <c r="C215" s="80">
        <v>45434</v>
      </c>
      <c r="D215" s="28">
        <v>6</v>
      </c>
      <c r="E215" s="28">
        <v>3.7197153920000003E-2</v>
      </c>
    </row>
    <row r="216" spans="3:5">
      <c r="C216" s="80">
        <v>45434</v>
      </c>
      <c r="D216" s="28">
        <v>2</v>
      </c>
      <c r="E216" s="28">
        <v>7.4867153019999994E-2</v>
      </c>
    </row>
    <row r="217" spans="3:5">
      <c r="C217" s="80">
        <v>45434</v>
      </c>
      <c r="D217" s="28">
        <v>14</v>
      </c>
      <c r="E217" s="28">
        <v>2.3146897230000001E-2</v>
      </c>
    </row>
    <row r="218" spans="3:5">
      <c r="C218" s="80">
        <v>45434</v>
      </c>
      <c r="D218" s="28">
        <v>30</v>
      </c>
      <c r="E218" s="28">
        <v>1.875619202E-2</v>
      </c>
    </row>
    <row r="219" spans="3:5">
      <c r="C219" s="80">
        <v>45434</v>
      </c>
      <c r="D219" s="28">
        <v>5</v>
      </c>
      <c r="E219" s="28">
        <v>4.5303071239999999E-2</v>
      </c>
    </row>
    <row r="220" spans="3:5">
      <c r="C220" s="80">
        <v>45434</v>
      </c>
      <c r="D220" s="28">
        <v>3</v>
      </c>
      <c r="E220" s="28">
        <v>5.6336125369999997E-2</v>
      </c>
    </row>
    <row r="221" spans="3:5">
      <c r="C221" s="80">
        <v>45434</v>
      </c>
      <c r="D221" s="28">
        <v>60</v>
      </c>
      <c r="E221" s="28">
        <v>1.1213185630000001E-2</v>
      </c>
    </row>
    <row r="222" spans="3:5">
      <c r="C222" s="80">
        <v>45435</v>
      </c>
      <c r="D222" s="28">
        <v>2</v>
      </c>
      <c r="E222" s="28">
        <v>7.7977416379999998E-2</v>
      </c>
    </row>
    <row r="223" spans="3:5">
      <c r="C223" s="80">
        <v>45435</v>
      </c>
      <c r="D223" s="28">
        <v>6</v>
      </c>
      <c r="E223" s="28">
        <v>3.9651539899999998E-2</v>
      </c>
    </row>
    <row r="224" spans="3:5">
      <c r="C224" s="80">
        <v>45435</v>
      </c>
      <c r="D224" s="28">
        <v>7</v>
      </c>
      <c r="E224" s="28">
        <v>3.4727647180000001E-2</v>
      </c>
    </row>
    <row r="225" spans="3:5">
      <c r="C225" s="80">
        <v>45435</v>
      </c>
      <c r="D225" s="28">
        <v>5</v>
      </c>
      <c r="E225" s="28">
        <v>4.4457069809999999E-2</v>
      </c>
    </row>
    <row r="226" spans="3:5">
      <c r="C226" s="80">
        <v>45435</v>
      </c>
      <c r="D226" s="28">
        <v>60</v>
      </c>
      <c r="E226" s="28">
        <v>1.266482021E-2</v>
      </c>
    </row>
    <row r="227" spans="3:5">
      <c r="C227" s="80">
        <v>45435</v>
      </c>
      <c r="D227" s="28">
        <v>4</v>
      </c>
      <c r="E227" s="28">
        <v>5.0943351560000003E-2</v>
      </c>
    </row>
    <row r="228" spans="3:5">
      <c r="C228" s="80">
        <v>45435</v>
      </c>
      <c r="D228" s="28">
        <v>3</v>
      </c>
      <c r="E228" s="28">
        <v>6.0767464430000001E-2</v>
      </c>
    </row>
    <row r="229" spans="3:5">
      <c r="C229" s="80">
        <v>45435</v>
      </c>
      <c r="D229" s="28">
        <v>1</v>
      </c>
      <c r="E229" s="28">
        <v>0.1538006297</v>
      </c>
    </row>
    <row r="230" spans="3:5">
      <c r="C230" s="80">
        <v>45435</v>
      </c>
      <c r="D230" s="28">
        <v>30</v>
      </c>
      <c r="E230" s="28">
        <v>1.8630305610000002E-2</v>
      </c>
    </row>
    <row r="231" spans="3:5">
      <c r="C231" s="80">
        <v>45435</v>
      </c>
      <c r="D231" s="28">
        <v>14</v>
      </c>
      <c r="E231" s="28">
        <v>2.4832516629999999E-2</v>
      </c>
    </row>
    <row r="232" spans="3:5">
      <c r="C232" s="80">
        <v>45436</v>
      </c>
      <c r="D232" s="28">
        <v>3</v>
      </c>
      <c r="E232" s="28">
        <v>4.787689975E-2</v>
      </c>
    </row>
    <row r="233" spans="3:5">
      <c r="C233" s="80">
        <v>45436</v>
      </c>
      <c r="D233" s="28">
        <v>30</v>
      </c>
      <c r="E233" s="28">
        <v>1.1884745990000001E-2</v>
      </c>
    </row>
    <row r="234" spans="3:5">
      <c r="C234" s="80">
        <v>45436</v>
      </c>
      <c r="D234" s="28">
        <v>14</v>
      </c>
      <c r="E234" s="28">
        <v>1.7060627040000002E-2</v>
      </c>
    </row>
    <row r="235" spans="3:5">
      <c r="C235" s="80">
        <v>45436</v>
      </c>
      <c r="D235" s="28">
        <v>6</v>
      </c>
      <c r="E235" s="28">
        <v>2.8434378400000002E-2</v>
      </c>
    </row>
    <row r="236" spans="3:5">
      <c r="C236" s="80">
        <v>45436</v>
      </c>
      <c r="D236" s="28">
        <v>4</v>
      </c>
      <c r="E236" s="28">
        <v>3.7780634950000003E-2</v>
      </c>
    </row>
    <row r="237" spans="3:5">
      <c r="C237" s="80">
        <v>45436</v>
      </c>
      <c r="D237" s="28">
        <v>1</v>
      </c>
      <c r="E237" s="28">
        <v>0.12357828110000001</v>
      </c>
    </row>
    <row r="238" spans="3:5">
      <c r="C238" s="80">
        <v>45436</v>
      </c>
      <c r="D238" s="28">
        <v>7</v>
      </c>
      <c r="E238" s="28">
        <v>2.8434378400000002E-2</v>
      </c>
    </row>
    <row r="239" spans="3:5">
      <c r="C239" s="80">
        <v>45436</v>
      </c>
      <c r="D239" s="28">
        <v>60</v>
      </c>
      <c r="E239" s="28">
        <v>7.8462400689999993E-3</v>
      </c>
    </row>
    <row r="240" spans="3:5">
      <c r="C240" s="80">
        <v>45436</v>
      </c>
      <c r="D240" s="28">
        <v>2</v>
      </c>
      <c r="E240" s="28">
        <v>6.5324893679999996E-2</v>
      </c>
    </row>
    <row r="241" spans="3:5">
      <c r="C241" s="80">
        <v>45436</v>
      </c>
      <c r="D241" s="28">
        <v>5</v>
      </c>
      <c r="E241" s="28">
        <v>3.1854745660000003E-2</v>
      </c>
    </row>
    <row r="242" spans="3:5">
      <c r="C242" s="80">
        <v>45437</v>
      </c>
      <c r="D242" s="28">
        <v>14</v>
      </c>
      <c r="E242" s="28">
        <v>1.6480128819999999E-2</v>
      </c>
    </row>
    <row r="243" spans="3:5">
      <c r="C243" s="80">
        <v>45437</v>
      </c>
      <c r="D243" s="28">
        <v>60</v>
      </c>
      <c r="E243" s="28">
        <v>6.7095594900000001E-3</v>
      </c>
    </row>
    <row r="244" spans="3:5">
      <c r="C244" s="80">
        <v>45437</v>
      </c>
      <c r="D244" s="28">
        <v>3</v>
      </c>
      <c r="E244" s="28">
        <v>4.3992949519999998E-2</v>
      </c>
    </row>
    <row r="245" spans="3:5">
      <c r="C245" s="80">
        <v>45437</v>
      </c>
      <c r="D245" s="28">
        <v>2</v>
      </c>
      <c r="E245" s="28">
        <v>6.2395276469999997E-2</v>
      </c>
    </row>
    <row r="246" spans="3:5">
      <c r="C246" s="80">
        <v>45437</v>
      </c>
      <c r="D246" s="28">
        <v>30</v>
      </c>
      <c r="E246" s="28">
        <v>1.0633745090000001E-2</v>
      </c>
    </row>
    <row r="247" spans="3:5">
      <c r="C247" s="80">
        <v>45437</v>
      </c>
      <c r="D247" s="28">
        <v>4</v>
      </c>
      <c r="E247" s="28">
        <v>3.5738377949999997E-2</v>
      </c>
    </row>
    <row r="248" spans="3:5">
      <c r="C248" s="80">
        <v>45437</v>
      </c>
      <c r="D248" s="28">
        <v>6</v>
      </c>
      <c r="E248" s="28">
        <v>2.9413258090000002E-2</v>
      </c>
    </row>
    <row r="249" spans="3:5">
      <c r="C249" s="80">
        <v>45437</v>
      </c>
      <c r="D249" s="28">
        <v>5</v>
      </c>
      <c r="E249" s="28">
        <v>3.1009045209999999E-2</v>
      </c>
    </row>
    <row r="250" spans="3:5">
      <c r="C250" s="80">
        <v>45437</v>
      </c>
      <c r="D250" s="28">
        <v>1</v>
      </c>
      <c r="E250" s="28">
        <v>0.1194446661</v>
      </c>
    </row>
    <row r="251" spans="3:5">
      <c r="C251" s="80">
        <v>45437</v>
      </c>
      <c r="D251" s="28">
        <v>7</v>
      </c>
      <c r="E251" s="28">
        <v>2.7048591720000001E-2</v>
      </c>
    </row>
    <row r="252" spans="3:5">
      <c r="C252" s="80">
        <v>45438</v>
      </c>
      <c r="D252" s="28">
        <v>3</v>
      </c>
      <c r="E252" s="28">
        <v>4.5660505679999998E-2</v>
      </c>
    </row>
    <row r="253" spans="3:5">
      <c r="C253" s="80">
        <v>45438</v>
      </c>
      <c r="D253" s="28">
        <v>14</v>
      </c>
      <c r="E253" s="28">
        <v>1.9668575319999999E-2</v>
      </c>
    </row>
    <row r="254" spans="3:5">
      <c r="C254" s="80">
        <v>45438</v>
      </c>
      <c r="D254" s="28">
        <v>30</v>
      </c>
      <c r="E254" s="28">
        <v>1.170923596E-2</v>
      </c>
    </row>
    <row r="255" spans="3:5">
      <c r="C255" s="80">
        <v>45438</v>
      </c>
      <c r="D255" s="28">
        <v>4</v>
      </c>
      <c r="E255" s="28">
        <v>3.7508156940000002E-2</v>
      </c>
    </row>
    <row r="256" spans="3:5">
      <c r="C256" s="80">
        <v>45438</v>
      </c>
      <c r="D256" s="28">
        <v>5</v>
      </c>
      <c r="E256" s="28">
        <v>3.4484343260000001E-2</v>
      </c>
    </row>
    <row r="257" spans="3:5">
      <c r="C257" s="80">
        <v>45438</v>
      </c>
      <c r="D257" s="28">
        <v>6</v>
      </c>
      <c r="E257" s="28">
        <v>3.1699493580000002E-2</v>
      </c>
    </row>
    <row r="258" spans="3:5">
      <c r="C258" s="80">
        <v>45438</v>
      </c>
      <c r="D258" s="28">
        <v>1</v>
      </c>
      <c r="E258" s="28">
        <v>0.1138295819</v>
      </c>
    </row>
    <row r="259" spans="3:5">
      <c r="C259" s="80">
        <v>45438</v>
      </c>
      <c r="D259" s="28">
        <v>60</v>
      </c>
      <c r="E259" s="28">
        <v>7.72956628E-3</v>
      </c>
    </row>
    <row r="260" spans="3:5">
      <c r="C260" s="80">
        <v>45438</v>
      </c>
      <c r="D260" s="28">
        <v>7</v>
      </c>
      <c r="E260" s="28">
        <v>3.028409143E-2</v>
      </c>
    </row>
    <row r="261" spans="3:5">
      <c r="C261" s="80">
        <v>45438</v>
      </c>
      <c r="D261" s="28">
        <v>2</v>
      </c>
      <c r="E261" s="28">
        <v>5.9630708710000001E-2</v>
      </c>
    </row>
    <row r="262" spans="3:5">
      <c r="C262" s="80">
        <v>45439</v>
      </c>
      <c r="D262" s="28">
        <v>30</v>
      </c>
      <c r="E262" s="28">
        <v>1.282022243E-2</v>
      </c>
    </row>
    <row r="263" spans="3:5">
      <c r="C263" s="80">
        <v>45439</v>
      </c>
      <c r="D263" s="28">
        <v>7</v>
      </c>
      <c r="E263" s="28">
        <v>2.9728872680000001E-2</v>
      </c>
    </row>
    <row r="264" spans="3:5">
      <c r="C264" s="80">
        <v>45439</v>
      </c>
      <c r="D264" s="28">
        <v>14</v>
      </c>
      <c r="E264" s="28">
        <v>2.054406668E-2</v>
      </c>
    </row>
    <row r="265" spans="3:5">
      <c r="C265" s="80">
        <v>45439</v>
      </c>
      <c r="D265" s="28">
        <v>3</v>
      </c>
      <c r="E265" s="28">
        <v>4.625246325E-2</v>
      </c>
    </row>
    <row r="266" spans="3:5">
      <c r="C266" s="80">
        <v>45439</v>
      </c>
      <c r="D266" s="28">
        <v>60</v>
      </c>
      <c r="E266" s="28">
        <v>8.1089039389999999E-3</v>
      </c>
    </row>
    <row r="267" spans="3:5">
      <c r="C267" s="80">
        <v>45439</v>
      </c>
      <c r="D267" s="28">
        <v>4</v>
      </c>
      <c r="E267" s="28">
        <v>4.0533194410000001E-2</v>
      </c>
    </row>
    <row r="268" spans="3:5">
      <c r="C268" s="80">
        <v>45439</v>
      </c>
      <c r="D268" s="28">
        <v>2</v>
      </c>
      <c r="E268" s="28">
        <v>6.01032866E-2</v>
      </c>
    </row>
    <row r="269" spans="3:5">
      <c r="C269" s="80">
        <v>45439</v>
      </c>
      <c r="D269" s="28">
        <v>5</v>
      </c>
      <c r="E269" s="28">
        <v>3.5131033550000003E-2</v>
      </c>
    </row>
    <row r="270" spans="3:5">
      <c r="C270" s="80">
        <v>45439</v>
      </c>
      <c r="D270" s="28">
        <v>6</v>
      </c>
      <c r="E270" s="28">
        <v>3.3318987969999998E-2</v>
      </c>
    </row>
    <row r="271" spans="3:5">
      <c r="C271" s="80">
        <v>45439</v>
      </c>
      <c r="D271" s="28">
        <v>1</v>
      </c>
      <c r="E271" s="28">
        <v>0.1111123695</v>
      </c>
    </row>
    <row r="272" spans="3:5">
      <c r="C272" s="80">
        <v>45440</v>
      </c>
      <c r="D272" s="28">
        <v>1</v>
      </c>
      <c r="E272" s="28">
        <v>0.1135507186</v>
      </c>
    </row>
    <row r="273" spans="3:5">
      <c r="C273" s="80">
        <v>45440</v>
      </c>
      <c r="D273" s="28">
        <v>3</v>
      </c>
      <c r="E273" s="28">
        <v>4.8370799210000003E-2</v>
      </c>
    </row>
    <row r="274" spans="3:5">
      <c r="C274" s="80">
        <v>45440</v>
      </c>
      <c r="D274" s="28">
        <v>7</v>
      </c>
      <c r="E274" s="28">
        <v>2.7115702379999999E-2</v>
      </c>
    </row>
    <row r="275" spans="3:5">
      <c r="C275" s="80">
        <v>45440</v>
      </c>
      <c r="D275" s="28">
        <v>14</v>
      </c>
      <c r="E275" s="28">
        <v>1.8188086209999999E-2</v>
      </c>
    </row>
    <row r="276" spans="3:5">
      <c r="C276" s="80">
        <v>45440</v>
      </c>
      <c r="D276" s="28">
        <v>4</v>
      </c>
      <c r="E276" s="28">
        <v>3.8420846160000001E-2</v>
      </c>
    </row>
    <row r="277" spans="3:5">
      <c r="C277" s="80">
        <v>45440</v>
      </c>
      <c r="D277" s="28">
        <v>6</v>
      </c>
      <c r="E277" s="28">
        <v>3.115749932E-2</v>
      </c>
    </row>
    <row r="278" spans="3:5">
      <c r="C278" s="80">
        <v>45440</v>
      </c>
      <c r="D278" s="28">
        <v>2</v>
      </c>
      <c r="E278" s="28">
        <v>6.1245111210000001E-2</v>
      </c>
    </row>
    <row r="279" spans="3:5">
      <c r="C279" s="80">
        <v>45440</v>
      </c>
      <c r="D279" s="28">
        <v>5</v>
      </c>
      <c r="E279" s="28">
        <v>3.4402824499999998E-2</v>
      </c>
    </row>
    <row r="280" spans="3:5">
      <c r="C280" s="80">
        <v>45440</v>
      </c>
      <c r="D280" s="28">
        <v>30</v>
      </c>
      <c r="E280" s="28">
        <v>1.160233473E-2</v>
      </c>
    </row>
    <row r="281" spans="3:5">
      <c r="C281" s="80">
        <v>45440</v>
      </c>
      <c r="D281" s="28">
        <v>60</v>
      </c>
      <c r="E281" s="28">
        <v>8.2975713560000004E-3</v>
      </c>
    </row>
    <row r="282" spans="3:5">
      <c r="C282" s="80">
        <v>45441</v>
      </c>
      <c r="D282" s="28">
        <v>2</v>
      </c>
      <c r="E282" s="28">
        <v>6.167344592E-2</v>
      </c>
    </row>
    <row r="283" spans="3:5">
      <c r="C283" s="80">
        <v>45441</v>
      </c>
      <c r="D283" s="28">
        <v>5</v>
      </c>
      <c r="E283" s="28">
        <v>3.4531592729999998E-2</v>
      </c>
    </row>
    <row r="284" spans="3:5">
      <c r="C284" s="80">
        <v>45441</v>
      </c>
      <c r="D284" s="28">
        <v>4</v>
      </c>
      <c r="E284" s="28">
        <v>3.8492663500000003E-2</v>
      </c>
    </row>
    <row r="285" spans="3:5">
      <c r="C285" s="80">
        <v>45441</v>
      </c>
      <c r="D285" s="28">
        <v>1</v>
      </c>
      <c r="E285" s="28">
        <v>0.11532891789999999</v>
      </c>
    </row>
    <row r="286" spans="3:5">
      <c r="C286" s="80">
        <v>45441</v>
      </c>
      <c r="D286" s="28">
        <v>60</v>
      </c>
      <c r="E286" s="28">
        <v>7.9540856529999992E-3</v>
      </c>
    </row>
    <row r="287" spans="3:5">
      <c r="C287" s="80">
        <v>45441</v>
      </c>
      <c r="D287" s="28">
        <v>14</v>
      </c>
      <c r="E287" s="28">
        <v>1.783546649E-2</v>
      </c>
    </row>
    <row r="288" spans="3:5">
      <c r="C288" s="80">
        <v>45441</v>
      </c>
      <c r="D288" s="28">
        <v>7</v>
      </c>
      <c r="E288" s="28">
        <v>2.6662691400000001E-2</v>
      </c>
    </row>
    <row r="289" spans="3:5">
      <c r="C289" s="80">
        <v>45441</v>
      </c>
      <c r="D289" s="28">
        <v>6</v>
      </c>
      <c r="E289" s="28">
        <v>2.9558958199999999E-2</v>
      </c>
    </row>
    <row r="290" spans="3:5">
      <c r="C290" s="80">
        <v>45441</v>
      </c>
      <c r="D290" s="28">
        <v>3</v>
      </c>
      <c r="E290" s="28">
        <v>4.6446749150000001E-2</v>
      </c>
    </row>
    <row r="291" spans="3:5">
      <c r="C291" s="80">
        <v>45441</v>
      </c>
      <c r="D291" s="28">
        <v>30</v>
      </c>
      <c r="E291" s="28">
        <v>1.1553123070000001E-2</v>
      </c>
    </row>
    <row r="292" spans="3:5">
      <c r="C292" s="80">
        <v>45442</v>
      </c>
      <c r="D292" s="28">
        <v>4</v>
      </c>
      <c r="E292" s="28">
        <v>3.9295610809999999E-2</v>
      </c>
    </row>
    <row r="293" spans="3:5">
      <c r="C293" s="80">
        <v>45442</v>
      </c>
      <c r="D293" s="28">
        <v>5</v>
      </c>
      <c r="E293" s="28">
        <v>3.3611696949999999E-2</v>
      </c>
    </row>
    <row r="294" spans="3:5">
      <c r="C294" s="80">
        <v>45442</v>
      </c>
      <c r="D294" s="28">
        <v>2</v>
      </c>
      <c r="E294" s="28">
        <v>6.083017298E-2</v>
      </c>
    </row>
    <row r="295" spans="3:5">
      <c r="C295" s="80">
        <v>45442</v>
      </c>
      <c r="D295" s="28">
        <v>6</v>
      </c>
      <c r="E295" s="28">
        <v>2.9469343750000002E-2</v>
      </c>
    </row>
    <row r="296" spans="3:5">
      <c r="C296" s="80">
        <v>45442</v>
      </c>
      <c r="D296" s="28">
        <v>60</v>
      </c>
      <c r="E296" s="28">
        <v>7.3484210819999996E-3</v>
      </c>
    </row>
    <row r="297" spans="3:5">
      <c r="C297" s="80">
        <v>45442</v>
      </c>
      <c r="D297" s="28">
        <v>3</v>
      </c>
      <c r="E297" s="28">
        <v>4.6199532799999998E-2</v>
      </c>
    </row>
    <row r="298" spans="3:5">
      <c r="C298" s="80">
        <v>45442</v>
      </c>
      <c r="D298" s="28">
        <v>1</v>
      </c>
      <c r="E298" s="28">
        <v>0.11635472920000001</v>
      </c>
    </row>
    <row r="299" spans="3:5">
      <c r="C299" s="80">
        <v>45442</v>
      </c>
      <c r="D299" s="28">
        <v>14</v>
      </c>
      <c r="E299" s="28">
        <v>1.7136858429999999E-2</v>
      </c>
    </row>
    <row r="300" spans="3:5">
      <c r="C300" s="80">
        <v>45442</v>
      </c>
      <c r="D300" s="28">
        <v>7</v>
      </c>
      <c r="E300" s="28">
        <v>2.5705287649999999E-2</v>
      </c>
    </row>
    <row r="301" spans="3:5">
      <c r="C301" s="80">
        <v>45442</v>
      </c>
      <c r="D301" s="28">
        <v>30</v>
      </c>
      <c r="E301" s="28">
        <v>1.114084947E-2</v>
      </c>
    </row>
    <row r="302" spans="3:5">
      <c r="C302" s="80">
        <v>45443</v>
      </c>
      <c r="D302" s="28">
        <v>4</v>
      </c>
      <c r="E302" s="28">
        <v>3.7914407820000003E-2</v>
      </c>
    </row>
    <row r="303" spans="3:5">
      <c r="C303" s="80">
        <v>45443</v>
      </c>
      <c r="D303" s="28">
        <v>7</v>
      </c>
      <c r="E303" s="28">
        <v>2.800544693E-2</v>
      </c>
    </row>
    <row r="304" spans="3:5">
      <c r="C304" s="80">
        <v>45443</v>
      </c>
      <c r="D304" s="28">
        <v>2</v>
      </c>
      <c r="E304" s="28">
        <v>6.4155597240000001E-2</v>
      </c>
    </row>
    <row r="305" spans="3:5">
      <c r="C305" s="80">
        <v>45443</v>
      </c>
      <c r="D305" s="28">
        <v>3</v>
      </c>
      <c r="E305" s="28">
        <v>4.7240992439999997E-2</v>
      </c>
    </row>
    <row r="306" spans="3:5">
      <c r="C306" s="80">
        <v>45443</v>
      </c>
      <c r="D306" s="28">
        <v>5</v>
      </c>
      <c r="E306" s="28">
        <v>3.2604506560000003E-2</v>
      </c>
    </row>
    <row r="307" spans="3:5">
      <c r="C307" s="80">
        <v>45443</v>
      </c>
      <c r="D307" s="28">
        <v>14</v>
      </c>
      <c r="E307" s="28">
        <v>1.818212961E-2</v>
      </c>
    </row>
    <row r="308" spans="3:5">
      <c r="C308" s="80">
        <v>45443</v>
      </c>
      <c r="D308" s="28">
        <v>6</v>
      </c>
      <c r="E308" s="28">
        <v>2.8724852910000001E-2</v>
      </c>
    </row>
    <row r="309" spans="3:5">
      <c r="C309" s="80">
        <v>45443</v>
      </c>
      <c r="D309" s="28">
        <v>60</v>
      </c>
      <c r="E309" s="28">
        <v>7.4595548249999999E-3</v>
      </c>
    </row>
    <row r="310" spans="3:5">
      <c r="C310" s="80">
        <v>45443</v>
      </c>
      <c r="D310" s="28">
        <v>30</v>
      </c>
      <c r="E310" s="28">
        <v>1.202435703E-2</v>
      </c>
    </row>
    <row r="311" spans="3:5">
      <c r="C311" s="80">
        <v>45443</v>
      </c>
      <c r="D311" s="28">
        <v>1</v>
      </c>
      <c r="E311" s="28">
        <v>0.11521629279999999</v>
      </c>
    </row>
    <row r="312" spans="3:5">
      <c r="C312" s="80">
        <v>45444</v>
      </c>
      <c r="D312" s="28">
        <v>3</v>
      </c>
      <c r="E312" s="28">
        <v>4.458228828E-2</v>
      </c>
    </row>
    <row r="313" spans="3:5">
      <c r="C313" s="80">
        <v>45444</v>
      </c>
      <c r="D313" s="28">
        <v>1</v>
      </c>
      <c r="E313" s="28">
        <v>0.115289444</v>
      </c>
    </row>
    <row r="314" spans="3:5">
      <c r="C314" s="80">
        <v>45444</v>
      </c>
      <c r="D314" s="28">
        <v>2</v>
      </c>
      <c r="E314" s="28">
        <v>6.0826165270000003E-2</v>
      </c>
    </row>
    <row r="315" spans="3:5">
      <c r="C315" s="80">
        <v>45444</v>
      </c>
      <c r="D315" s="28">
        <v>30</v>
      </c>
      <c r="E315" s="28">
        <v>1.19346205E-2</v>
      </c>
    </row>
    <row r="316" spans="3:5">
      <c r="C316" s="80">
        <v>45444</v>
      </c>
      <c r="D316" s="28">
        <v>4</v>
      </c>
      <c r="E316" s="28">
        <v>3.6805426969999999E-2</v>
      </c>
    </row>
    <row r="317" spans="3:5">
      <c r="C317" s="80">
        <v>45444</v>
      </c>
      <c r="D317" s="28">
        <v>5</v>
      </c>
      <c r="E317" s="28">
        <v>3.2706583400000003E-2</v>
      </c>
    </row>
    <row r="318" spans="3:5">
      <c r="C318" s="80">
        <v>45444</v>
      </c>
      <c r="D318" s="28">
        <v>60</v>
      </c>
      <c r="E318" s="28">
        <v>6.968875722E-3</v>
      </c>
    </row>
    <row r="319" spans="3:5">
      <c r="C319" s="80">
        <v>45444</v>
      </c>
      <c r="D319" s="28">
        <v>6</v>
      </c>
      <c r="E319" s="28">
        <v>3.0240544040000001E-2</v>
      </c>
    </row>
    <row r="320" spans="3:5">
      <c r="C320" s="80">
        <v>45444</v>
      </c>
      <c r="D320" s="28">
        <v>14</v>
      </c>
      <c r="E320" s="28">
        <v>1.8390088709999999E-2</v>
      </c>
    </row>
    <row r="321" spans="3:5">
      <c r="C321" s="80">
        <v>45444</v>
      </c>
      <c r="D321" s="28">
        <v>7</v>
      </c>
      <c r="E321" s="28">
        <v>2.7126432910000001E-2</v>
      </c>
    </row>
    <row r="322" spans="3:5">
      <c r="C322" s="80">
        <v>45445</v>
      </c>
      <c r="D322" s="28">
        <v>14</v>
      </c>
      <c r="E322" s="28">
        <v>2.020209525E-2</v>
      </c>
    </row>
    <row r="323" spans="3:5">
      <c r="C323" s="80">
        <v>45445</v>
      </c>
      <c r="D323" s="28">
        <v>2</v>
      </c>
      <c r="E323" s="28">
        <v>5.7723456419999999E-2</v>
      </c>
    </row>
    <row r="324" spans="3:5">
      <c r="C324" s="80">
        <v>45445</v>
      </c>
      <c r="D324" s="28">
        <v>5</v>
      </c>
      <c r="E324" s="28">
        <v>3.3204547139999999E-2</v>
      </c>
    </row>
    <row r="325" spans="3:5">
      <c r="C325" s="80">
        <v>45445</v>
      </c>
      <c r="D325" s="28">
        <v>3</v>
      </c>
      <c r="E325" s="28">
        <v>4.4119176760000003E-2</v>
      </c>
    </row>
    <row r="326" spans="3:5">
      <c r="C326" s="80">
        <v>45445</v>
      </c>
      <c r="D326" s="28">
        <v>4</v>
      </c>
      <c r="E326" s="28">
        <v>3.6384575379999999E-2</v>
      </c>
    </row>
    <row r="327" spans="3:5">
      <c r="C327" s="80">
        <v>45445</v>
      </c>
      <c r="D327" s="28">
        <v>60</v>
      </c>
      <c r="E327" s="28">
        <v>7.311092949E-3</v>
      </c>
    </row>
    <row r="328" spans="3:5">
      <c r="C328" s="80">
        <v>45445</v>
      </c>
      <c r="D328" s="28">
        <v>1</v>
      </c>
      <c r="E328" s="28">
        <v>0.114592466</v>
      </c>
    </row>
    <row r="329" spans="3:5">
      <c r="C329" s="80">
        <v>45445</v>
      </c>
      <c r="D329" s="28">
        <v>30</v>
      </c>
      <c r="E329" s="28">
        <v>1.089976967E-2</v>
      </c>
    </row>
    <row r="330" spans="3:5">
      <c r="C330" s="80">
        <v>45445</v>
      </c>
      <c r="D330" s="28">
        <v>6</v>
      </c>
      <c r="E330" s="28">
        <v>2.945241103E-2</v>
      </c>
    </row>
    <row r="331" spans="3:5">
      <c r="C331" s="80">
        <v>45445</v>
      </c>
      <c r="D331" s="28">
        <v>7</v>
      </c>
      <c r="E331" s="28">
        <v>2.9132922209999999E-2</v>
      </c>
    </row>
    <row r="332" spans="3:5">
      <c r="C332" s="80">
        <v>45446</v>
      </c>
      <c r="D332" s="28">
        <v>3</v>
      </c>
      <c r="E332" s="28">
        <v>5.2056843679999999E-2</v>
      </c>
    </row>
    <row r="333" spans="3:5">
      <c r="C333" s="80">
        <v>45446</v>
      </c>
      <c r="D333" s="28">
        <v>60</v>
      </c>
      <c r="E333" s="28">
        <v>1.0088922130000001E-2</v>
      </c>
    </row>
    <row r="334" spans="3:5">
      <c r="C334" s="80">
        <v>45446</v>
      </c>
      <c r="D334" s="28">
        <v>2</v>
      </c>
      <c r="E334" s="28">
        <v>6.74644727E-2</v>
      </c>
    </row>
    <row r="335" spans="3:5">
      <c r="C335" s="80">
        <v>45446</v>
      </c>
      <c r="D335" s="28">
        <v>30</v>
      </c>
      <c r="E335" s="28">
        <v>1.527466135E-2</v>
      </c>
    </row>
    <row r="336" spans="3:5">
      <c r="C336" s="80">
        <v>45446</v>
      </c>
      <c r="D336" s="28">
        <v>1</v>
      </c>
      <c r="E336" s="28">
        <v>0.1209673398</v>
      </c>
    </row>
    <row r="337" spans="3:5">
      <c r="C337" s="80">
        <v>45446</v>
      </c>
      <c r="D337" s="28">
        <v>5</v>
      </c>
      <c r="E337" s="28">
        <v>4.0122995100000003E-2</v>
      </c>
    </row>
    <row r="338" spans="3:5">
      <c r="C338" s="80">
        <v>45446</v>
      </c>
      <c r="D338" s="28">
        <v>6</v>
      </c>
      <c r="E338" s="28">
        <v>3.9591124409999998E-2</v>
      </c>
    </row>
    <row r="339" spans="3:5">
      <c r="C339" s="80">
        <v>45446</v>
      </c>
      <c r="D339" s="28">
        <v>7</v>
      </c>
      <c r="E339" s="28">
        <v>3.6715698499999998E-2</v>
      </c>
    </row>
    <row r="340" spans="3:5">
      <c r="C340" s="80">
        <v>45446</v>
      </c>
      <c r="D340" s="28">
        <v>14</v>
      </c>
      <c r="E340" s="28">
        <v>2.9319371729999998E-2</v>
      </c>
    </row>
    <row r="341" spans="3:5">
      <c r="C341" s="80">
        <v>45446</v>
      </c>
      <c r="D341" s="28">
        <v>4</v>
      </c>
      <c r="E341" s="28">
        <v>4.5308734310000001E-2</v>
      </c>
    </row>
    <row r="342" spans="3:5">
      <c r="C342" s="80">
        <v>45447</v>
      </c>
      <c r="D342" s="28">
        <v>60</v>
      </c>
      <c r="E342" s="28">
        <v>1.1431670729999999E-2</v>
      </c>
    </row>
    <row r="343" spans="3:5">
      <c r="C343" s="80">
        <v>45447</v>
      </c>
      <c r="D343" s="28">
        <v>14</v>
      </c>
      <c r="E343" s="28">
        <v>2.8516594700000002E-2</v>
      </c>
    </row>
    <row r="344" spans="3:5">
      <c r="C344" s="80">
        <v>45447</v>
      </c>
      <c r="D344" s="28">
        <v>4</v>
      </c>
      <c r="E344" s="28">
        <v>4.8355132779999997E-2</v>
      </c>
    </row>
    <row r="345" spans="3:5">
      <c r="C345" s="80">
        <v>45447</v>
      </c>
      <c r="D345" s="28">
        <v>6</v>
      </c>
      <c r="E345" s="28">
        <v>3.9614494020000002E-2</v>
      </c>
    </row>
    <row r="346" spans="3:5">
      <c r="C346" s="80">
        <v>45447</v>
      </c>
      <c r="D346" s="28">
        <v>7</v>
      </c>
      <c r="E346" s="28">
        <v>3.565095855E-2</v>
      </c>
    </row>
    <row r="347" spans="3:5">
      <c r="C347" s="80">
        <v>45447</v>
      </c>
      <c r="D347" s="28">
        <v>2</v>
      </c>
      <c r="E347" s="28">
        <v>7.0342324299999995E-2</v>
      </c>
    </row>
    <row r="348" spans="3:5">
      <c r="C348" s="80">
        <v>45447</v>
      </c>
      <c r="D348" s="28">
        <v>5</v>
      </c>
      <c r="E348" s="28">
        <v>4.4871393699999998E-2</v>
      </c>
    </row>
    <row r="349" spans="3:5">
      <c r="C349" s="80">
        <v>45447</v>
      </c>
      <c r="D349" s="28">
        <v>30</v>
      </c>
      <c r="E349" s="28">
        <v>1.6792873980000001E-2</v>
      </c>
    </row>
    <row r="350" spans="3:5">
      <c r="C350" s="80">
        <v>45447</v>
      </c>
      <c r="D350" s="28">
        <v>1</v>
      </c>
      <c r="E350" s="28">
        <v>0.1249765317</v>
      </c>
    </row>
    <row r="351" spans="3:5">
      <c r="C351" s="80">
        <v>45447</v>
      </c>
      <c r="D351" s="28">
        <v>3</v>
      </c>
      <c r="E351" s="28">
        <v>5.6303064440000002E-2</v>
      </c>
    </row>
    <row r="352" spans="3:5">
      <c r="C352" s="80">
        <v>45448</v>
      </c>
      <c r="D352" s="28">
        <v>30</v>
      </c>
      <c r="E352" s="28">
        <v>1.683956377E-2</v>
      </c>
    </row>
    <row r="353" spans="3:5">
      <c r="C353" s="80">
        <v>45448</v>
      </c>
      <c r="D353" s="28">
        <v>14</v>
      </c>
      <c r="E353" s="28">
        <v>2.6190330040000001E-2</v>
      </c>
    </row>
    <row r="354" spans="3:5">
      <c r="C354" s="80">
        <v>45448</v>
      </c>
      <c r="D354" s="28">
        <v>4</v>
      </c>
      <c r="E354" s="28">
        <v>4.7613201559999999E-2</v>
      </c>
    </row>
    <row r="355" spans="3:5">
      <c r="C355" s="80">
        <v>45448</v>
      </c>
      <c r="D355" s="28">
        <v>7</v>
      </c>
      <c r="E355" s="28">
        <v>3.3310826020000003E-2</v>
      </c>
    </row>
    <row r="356" spans="3:5">
      <c r="C356" s="80">
        <v>45448</v>
      </c>
      <c r="D356" s="28">
        <v>3</v>
      </c>
      <c r="E356" s="28">
        <v>5.4099400489999998E-2</v>
      </c>
    </row>
    <row r="357" spans="3:5">
      <c r="C357" s="80">
        <v>45448</v>
      </c>
      <c r="D357" s="28">
        <v>2</v>
      </c>
      <c r="E357" s="28">
        <v>7.0877580669999996E-2</v>
      </c>
    </row>
    <row r="358" spans="3:5">
      <c r="C358" s="80">
        <v>45448</v>
      </c>
      <c r="D358" s="28">
        <v>5</v>
      </c>
      <c r="E358" s="28">
        <v>4.3132199779999998E-2</v>
      </c>
    </row>
    <row r="359" spans="3:5">
      <c r="C359" s="80">
        <v>45448</v>
      </c>
      <c r="D359" s="28">
        <v>1</v>
      </c>
      <c r="E359" s="28">
        <v>0.1244040677</v>
      </c>
    </row>
    <row r="360" spans="3:5">
      <c r="C360" s="80">
        <v>45448</v>
      </c>
      <c r="D360" s="28">
        <v>60</v>
      </c>
      <c r="E360" s="28">
        <v>1.1683342540000001E-2</v>
      </c>
    </row>
    <row r="361" spans="3:5">
      <c r="C361" s="80">
        <v>45448</v>
      </c>
      <c r="D361" s="28">
        <v>6</v>
      </c>
      <c r="E361" s="28">
        <v>3.7014302380000003E-2</v>
      </c>
    </row>
    <row r="362" spans="3:5">
      <c r="C362" s="80">
        <v>45449</v>
      </c>
      <c r="D362" s="28">
        <v>60</v>
      </c>
      <c r="E362" s="28">
        <v>1.127484917E-2</v>
      </c>
    </row>
    <row r="363" spans="3:5">
      <c r="C363" s="80">
        <v>45449</v>
      </c>
      <c r="D363" s="28">
        <v>30</v>
      </c>
      <c r="E363" s="28">
        <v>1.590347147E-2</v>
      </c>
    </row>
    <row r="364" spans="3:5">
      <c r="C364" s="80">
        <v>45449</v>
      </c>
      <c r="D364" s="28">
        <v>7</v>
      </c>
      <c r="E364" s="28">
        <v>3.325091485E-2</v>
      </c>
    </row>
    <row r="365" spans="3:5">
      <c r="C365" s="80">
        <v>45449</v>
      </c>
      <c r="D365" s="28">
        <v>14</v>
      </c>
      <c r="E365" s="28">
        <v>2.3538720209999999E-2</v>
      </c>
    </row>
    <row r="366" spans="3:5">
      <c r="C366" s="80">
        <v>45449</v>
      </c>
      <c r="D366" s="28">
        <v>2</v>
      </c>
      <c r="E366" s="28">
        <v>6.9983186629999999E-2</v>
      </c>
    </row>
    <row r="367" spans="3:5">
      <c r="C367" s="80">
        <v>45449</v>
      </c>
      <c r="D367" s="28">
        <v>6</v>
      </c>
      <c r="E367" s="28">
        <v>3.4556423699999998E-2</v>
      </c>
    </row>
    <row r="368" spans="3:5">
      <c r="C368" s="80">
        <v>45449</v>
      </c>
      <c r="D368" s="28">
        <v>4</v>
      </c>
      <c r="E368" s="28">
        <v>4.5277420630000002E-2</v>
      </c>
    </row>
    <row r="369" spans="3:5">
      <c r="C369" s="80">
        <v>45449</v>
      </c>
      <c r="D369" s="28">
        <v>5</v>
      </c>
      <c r="E369" s="28">
        <v>3.9303728609999998E-2</v>
      </c>
    </row>
    <row r="370" spans="3:5">
      <c r="C370" s="80">
        <v>45449</v>
      </c>
      <c r="D370" s="28">
        <v>1</v>
      </c>
      <c r="E370" s="28">
        <v>0.12645633470000001</v>
      </c>
    </row>
    <row r="371" spans="3:5">
      <c r="C371" s="80">
        <v>45449</v>
      </c>
      <c r="D371" s="28">
        <v>3</v>
      </c>
      <c r="E371" s="28">
        <v>5.4158836910000001E-2</v>
      </c>
    </row>
    <row r="372" spans="3:5">
      <c r="C372" s="80">
        <v>45450</v>
      </c>
      <c r="D372" s="28">
        <v>7</v>
      </c>
      <c r="E372" s="28">
        <v>3.434147085E-2</v>
      </c>
    </row>
    <row r="373" spans="3:5">
      <c r="C373" s="80">
        <v>45450</v>
      </c>
      <c r="D373" s="28">
        <v>4</v>
      </c>
      <c r="E373" s="28">
        <v>4.5451946719999997E-2</v>
      </c>
    </row>
    <row r="374" spans="3:5">
      <c r="C374" s="80">
        <v>45450</v>
      </c>
      <c r="D374" s="28">
        <v>5</v>
      </c>
      <c r="E374" s="28">
        <v>4.038267299E-2</v>
      </c>
    </row>
    <row r="375" spans="3:5">
      <c r="C375" s="80">
        <v>45450</v>
      </c>
      <c r="D375" s="28">
        <v>14</v>
      </c>
      <c r="E375" s="28">
        <v>2.507956473E-2</v>
      </c>
    </row>
    <row r="376" spans="3:5">
      <c r="C376" s="80">
        <v>45450</v>
      </c>
      <c r="D376" s="28">
        <v>6</v>
      </c>
      <c r="E376" s="28">
        <v>3.6285327690000001E-2</v>
      </c>
    </row>
    <row r="377" spans="3:5">
      <c r="C377" s="80">
        <v>45450</v>
      </c>
      <c r="D377" s="28">
        <v>1</v>
      </c>
      <c r="E377" s="28">
        <v>0.1207478132</v>
      </c>
    </row>
    <row r="378" spans="3:5">
      <c r="C378" s="80">
        <v>45450</v>
      </c>
      <c r="D378" s="28">
        <v>3</v>
      </c>
      <c r="E378" s="28">
        <v>5.3665694739999999E-2</v>
      </c>
    </row>
    <row r="379" spans="3:5">
      <c r="C379" s="80">
        <v>45450</v>
      </c>
      <c r="D379" s="28">
        <v>30</v>
      </c>
      <c r="E379" s="28">
        <v>1.5798601190000001E-2</v>
      </c>
    </row>
    <row r="380" spans="3:5">
      <c r="C380" s="80">
        <v>45450</v>
      </c>
      <c r="D380" s="28">
        <v>60</v>
      </c>
      <c r="E380" s="28">
        <v>1.053875326E-2</v>
      </c>
    </row>
    <row r="381" spans="3:5">
      <c r="C381" s="80">
        <v>45450</v>
      </c>
      <c r="D381" s="28">
        <v>2</v>
      </c>
      <c r="E381" s="28">
        <v>7.0855487580000001E-2</v>
      </c>
    </row>
    <row r="382" spans="3:5">
      <c r="C382" s="80">
        <v>45451</v>
      </c>
      <c r="D382" s="28">
        <v>7</v>
      </c>
      <c r="E382" s="28">
        <v>3.3919526489999997E-2</v>
      </c>
    </row>
    <row r="383" spans="3:5">
      <c r="C383" s="80">
        <v>45451</v>
      </c>
      <c r="D383" s="28">
        <v>30</v>
      </c>
      <c r="E383" s="28">
        <v>1.6428584980000001E-2</v>
      </c>
    </row>
    <row r="384" spans="3:5">
      <c r="C384" s="80">
        <v>45451</v>
      </c>
      <c r="D384" s="28">
        <v>14</v>
      </c>
      <c r="E384" s="28">
        <v>2.621744162E-2</v>
      </c>
    </row>
    <row r="385" spans="3:5">
      <c r="C385" s="80">
        <v>45451</v>
      </c>
      <c r="D385" s="28">
        <v>5</v>
      </c>
      <c r="E385" s="28">
        <v>3.9819399390000003E-2</v>
      </c>
    </row>
    <row r="386" spans="3:5">
      <c r="C386" s="80">
        <v>45451</v>
      </c>
      <c r="D386" s="28">
        <v>6</v>
      </c>
      <c r="E386" s="28">
        <v>3.6385711299999998E-2</v>
      </c>
    </row>
    <row r="387" spans="3:5">
      <c r="C387" s="80">
        <v>45451</v>
      </c>
      <c r="D387" s="28">
        <v>1</v>
      </c>
      <c r="E387" s="28">
        <v>0.12744484280000001</v>
      </c>
    </row>
    <row r="388" spans="3:5">
      <c r="C388" s="80">
        <v>45451</v>
      </c>
      <c r="D388" s="28">
        <v>60</v>
      </c>
      <c r="E388" s="28">
        <v>1.049077078E-2</v>
      </c>
    </row>
    <row r="389" spans="3:5">
      <c r="C389" s="80">
        <v>45451</v>
      </c>
      <c r="D389" s="28">
        <v>4</v>
      </c>
      <c r="E389" s="28">
        <v>4.4011913569999998E-2</v>
      </c>
    </row>
    <row r="390" spans="3:5">
      <c r="C390" s="80">
        <v>45451</v>
      </c>
      <c r="D390" s="28">
        <v>2</v>
      </c>
      <c r="E390" s="28">
        <v>7.0191413879999998E-2</v>
      </c>
    </row>
    <row r="391" spans="3:5">
      <c r="C391" s="80">
        <v>45451</v>
      </c>
      <c r="D391" s="28">
        <v>3</v>
      </c>
      <c r="E391" s="28">
        <v>5.2055470190000001E-2</v>
      </c>
    </row>
    <row r="392" spans="3:5">
      <c r="C392" s="80">
        <v>45452</v>
      </c>
      <c r="D392" s="28">
        <v>7</v>
      </c>
      <c r="E392" s="28">
        <v>3.8848920859999997E-2</v>
      </c>
    </row>
    <row r="393" spans="3:5">
      <c r="C393" s="80">
        <v>45452</v>
      </c>
      <c r="D393" s="28">
        <v>60</v>
      </c>
      <c r="E393" s="28">
        <v>1.070244928E-2</v>
      </c>
    </row>
    <row r="394" spans="3:5">
      <c r="C394" s="80">
        <v>45452</v>
      </c>
      <c r="D394" s="28">
        <v>1</v>
      </c>
      <c r="E394" s="28">
        <v>0.1241290114</v>
      </c>
    </row>
    <row r="395" spans="3:5">
      <c r="C395" s="80">
        <v>45452</v>
      </c>
      <c r="D395" s="28">
        <v>6</v>
      </c>
      <c r="E395" s="28">
        <v>3.6925066690000001E-2</v>
      </c>
    </row>
    <row r="396" spans="3:5">
      <c r="C396" s="80">
        <v>45452</v>
      </c>
      <c r="D396" s="28">
        <v>5</v>
      </c>
      <c r="E396" s="28">
        <v>3.8929755070000002E-2</v>
      </c>
    </row>
    <row r="397" spans="3:5">
      <c r="C397" s="80">
        <v>45452</v>
      </c>
      <c r="D397" s="28">
        <v>3</v>
      </c>
      <c r="E397" s="28">
        <v>5.0699215909999998E-2</v>
      </c>
    </row>
    <row r="398" spans="3:5">
      <c r="C398" s="80">
        <v>45452</v>
      </c>
      <c r="D398" s="28">
        <v>30</v>
      </c>
      <c r="E398" s="28">
        <v>1.66680139E-2</v>
      </c>
    </row>
    <row r="399" spans="3:5">
      <c r="C399" s="80">
        <v>45452</v>
      </c>
      <c r="D399" s="28">
        <v>2</v>
      </c>
      <c r="E399" s="28">
        <v>6.773906717E-2</v>
      </c>
    </row>
    <row r="400" spans="3:5">
      <c r="C400" s="80">
        <v>45452</v>
      </c>
      <c r="D400" s="28">
        <v>14</v>
      </c>
      <c r="E400" s="28">
        <v>2.7661466329999999E-2</v>
      </c>
    </row>
    <row r="401" spans="3:5">
      <c r="C401" s="80">
        <v>45452</v>
      </c>
      <c r="D401" s="28">
        <v>4</v>
      </c>
      <c r="E401" s="28">
        <v>4.3537304989999998E-2</v>
      </c>
    </row>
    <row r="402" spans="3:5">
      <c r="C402" s="80">
        <v>45453</v>
      </c>
      <c r="D402" s="28">
        <v>7</v>
      </c>
      <c r="E402" s="28">
        <v>3.7386267039999997E-2</v>
      </c>
    </row>
    <row r="403" spans="3:5">
      <c r="C403" s="80">
        <v>45453</v>
      </c>
      <c r="D403" s="28">
        <v>60</v>
      </c>
      <c r="E403" s="28">
        <v>1.0310738910000001E-2</v>
      </c>
    </row>
    <row r="404" spans="3:5">
      <c r="C404" s="80">
        <v>45453</v>
      </c>
      <c r="D404" s="28">
        <v>4</v>
      </c>
      <c r="E404" s="28">
        <v>4.1526304190000002E-2</v>
      </c>
    </row>
    <row r="405" spans="3:5">
      <c r="C405" s="80">
        <v>45453</v>
      </c>
      <c r="D405" s="28">
        <v>14</v>
      </c>
      <c r="E405" s="28">
        <v>2.5343953660000001E-2</v>
      </c>
    </row>
    <row r="406" spans="3:5">
      <c r="C406" s="80">
        <v>45453</v>
      </c>
      <c r="D406" s="28">
        <v>30</v>
      </c>
      <c r="E406" s="28">
        <v>1.45137424E-2</v>
      </c>
    </row>
    <row r="407" spans="3:5">
      <c r="C407" s="80">
        <v>45453</v>
      </c>
      <c r="D407" s="28">
        <v>2</v>
      </c>
      <c r="E407" s="28">
        <v>6.4178446619999996E-2</v>
      </c>
    </row>
    <row r="408" spans="3:5">
      <c r="C408" s="80">
        <v>45453</v>
      </c>
      <c r="D408" s="28">
        <v>1</v>
      </c>
      <c r="E408" s="28">
        <v>0.1176840978</v>
      </c>
    </row>
    <row r="409" spans="3:5">
      <c r="C409" s="80">
        <v>45453</v>
      </c>
      <c r="D409" s="28">
        <v>5</v>
      </c>
      <c r="E409" s="28">
        <v>3.6567704559999997E-2</v>
      </c>
    </row>
    <row r="410" spans="3:5">
      <c r="C410" s="80">
        <v>45453</v>
      </c>
      <c r="D410" s="28">
        <v>6</v>
      </c>
      <c r="E410" s="28">
        <v>3.7496458140000001E-2</v>
      </c>
    </row>
    <row r="411" spans="3:5">
      <c r="C411" s="80">
        <v>45453</v>
      </c>
      <c r="D411" s="28">
        <v>3</v>
      </c>
      <c r="E411" s="28">
        <v>5.1144413309999998E-2</v>
      </c>
    </row>
    <row r="412" spans="3:5">
      <c r="C412" s="80">
        <v>45454</v>
      </c>
      <c r="D412" s="28">
        <v>2</v>
      </c>
      <c r="E412" s="28">
        <v>6.7059237120000004E-2</v>
      </c>
    </row>
    <row r="413" spans="3:5">
      <c r="C413" s="80">
        <v>45454</v>
      </c>
      <c r="D413" s="28">
        <v>3</v>
      </c>
      <c r="E413" s="28">
        <v>5.0711900159999997E-2</v>
      </c>
    </row>
    <row r="414" spans="3:5">
      <c r="C414" s="80">
        <v>45454</v>
      </c>
      <c r="D414" s="28">
        <v>1</v>
      </c>
      <c r="E414" s="28">
        <v>0.118843382</v>
      </c>
    </row>
    <row r="415" spans="3:5">
      <c r="C415" s="80">
        <v>45454</v>
      </c>
      <c r="D415" s="28">
        <v>30</v>
      </c>
      <c r="E415" s="28">
        <v>1.4466514329999999E-2</v>
      </c>
    </row>
    <row r="416" spans="3:5">
      <c r="C416" s="80">
        <v>45454</v>
      </c>
      <c r="D416" s="28">
        <v>7</v>
      </c>
      <c r="E416" s="28">
        <v>3.4962207770000003E-2</v>
      </c>
    </row>
    <row r="417" spans="3:5">
      <c r="C417" s="80">
        <v>45454</v>
      </c>
      <c r="D417" s="28">
        <v>5</v>
      </c>
      <c r="E417" s="28">
        <v>3.99191422E-2</v>
      </c>
    </row>
    <row r="418" spans="3:5">
      <c r="C418" s="80">
        <v>45454</v>
      </c>
      <c r="D418" s="28">
        <v>60</v>
      </c>
      <c r="E418" s="28">
        <v>9.4216909830000008E-3</v>
      </c>
    </row>
    <row r="419" spans="3:5">
      <c r="C419" s="80">
        <v>45454</v>
      </c>
      <c r="D419" s="28">
        <v>4</v>
      </c>
      <c r="E419" s="28">
        <v>4.3311654069999997E-2</v>
      </c>
    </row>
    <row r="420" spans="3:5">
      <c r="C420" s="80">
        <v>45454</v>
      </c>
      <c r="D420" s="28">
        <v>14</v>
      </c>
      <c r="E420" s="28">
        <v>2.2411671649999999E-2</v>
      </c>
    </row>
    <row r="421" spans="3:5">
      <c r="C421" s="80">
        <v>45454</v>
      </c>
      <c r="D421" s="28">
        <v>6</v>
      </c>
      <c r="E421" s="28">
        <v>4.0130075580000001E-2</v>
      </c>
    </row>
    <row r="422" spans="3:5">
      <c r="C422" s="80">
        <v>45455</v>
      </c>
      <c r="D422" s="28">
        <v>6</v>
      </c>
      <c r="E422" s="28">
        <v>3.9825717480000002E-2</v>
      </c>
    </row>
    <row r="423" spans="3:5">
      <c r="C423" s="80">
        <v>45455</v>
      </c>
      <c r="D423" s="28">
        <v>2</v>
      </c>
      <c r="E423" s="28">
        <v>6.7354434480000003E-2</v>
      </c>
    </row>
    <row r="424" spans="3:5">
      <c r="C424" s="80">
        <v>45455</v>
      </c>
      <c r="D424" s="28">
        <v>5</v>
      </c>
      <c r="E424" s="28">
        <v>4.4272802559999998E-2</v>
      </c>
    </row>
    <row r="425" spans="3:5">
      <c r="C425" s="80">
        <v>45455</v>
      </c>
      <c r="D425" s="28">
        <v>4</v>
      </c>
      <c r="E425" s="28">
        <v>4.6307298980000001E-2</v>
      </c>
    </row>
    <row r="426" spans="3:5">
      <c r="C426" s="80">
        <v>45455</v>
      </c>
      <c r="D426" s="28">
        <v>30</v>
      </c>
      <c r="E426" s="28">
        <v>1.550178243E-2</v>
      </c>
    </row>
    <row r="427" spans="3:5">
      <c r="C427" s="80">
        <v>45455</v>
      </c>
      <c r="D427" s="28">
        <v>14</v>
      </c>
      <c r="E427" s="28">
        <v>2.3549746140000001E-2</v>
      </c>
    </row>
    <row r="428" spans="3:5">
      <c r="C428" s="80">
        <v>45455</v>
      </c>
      <c r="D428" s="28">
        <v>60</v>
      </c>
      <c r="E428" s="28">
        <v>1.17028555E-2</v>
      </c>
    </row>
    <row r="429" spans="3:5">
      <c r="C429" s="80">
        <v>45455</v>
      </c>
      <c r="D429" s="28">
        <v>7</v>
      </c>
      <c r="E429" s="28">
        <v>3.6404882790000002E-2</v>
      </c>
    </row>
    <row r="430" spans="3:5">
      <c r="C430" s="80">
        <v>45455</v>
      </c>
      <c r="D430" s="28">
        <v>1</v>
      </c>
      <c r="E430" s="28">
        <v>0.12205178060000001</v>
      </c>
    </row>
    <row r="431" spans="3:5">
      <c r="C431" s="80">
        <v>45455</v>
      </c>
      <c r="D431" s="28">
        <v>3</v>
      </c>
      <c r="E431" s="28">
        <v>5.1600590539999998E-2</v>
      </c>
    </row>
    <row r="432" spans="3:5">
      <c r="C432" s="80">
        <v>45456</v>
      </c>
      <c r="D432" s="28">
        <v>7</v>
      </c>
      <c r="E432" s="28">
        <v>3.5007304599999997E-2</v>
      </c>
    </row>
    <row r="433" spans="3:5">
      <c r="C433" s="80">
        <v>45456</v>
      </c>
      <c r="D433" s="28">
        <v>2</v>
      </c>
      <c r="E433" s="28">
        <v>6.8206720230000004E-2</v>
      </c>
    </row>
    <row r="434" spans="3:5">
      <c r="C434" s="80">
        <v>45456</v>
      </c>
      <c r="D434" s="28">
        <v>4</v>
      </c>
      <c r="E434" s="28">
        <v>5.0803506210000002E-2</v>
      </c>
    </row>
    <row r="435" spans="3:5">
      <c r="C435" s="80">
        <v>45456</v>
      </c>
      <c r="D435" s="28">
        <v>60</v>
      </c>
      <c r="E435" s="28">
        <v>1.3020452890000001E-2</v>
      </c>
    </row>
    <row r="436" spans="3:5">
      <c r="C436" s="80">
        <v>45456</v>
      </c>
      <c r="D436" s="28">
        <v>30</v>
      </c>
      <c r="E436" s="28">
        <v>1.6179693209999998E-2</v>
      </c>
    </row>
    <row r="437" spans="3:5">
      <c r="C437" s="80">
        <v>45456</v>
      </c>
      <c r="D437" s="28">
        <v>6</v>
      </c>
      <c r="E437" s="28">
        <v>3.8988312640000002E-2</v>
      </c>
    </row>
    <row r="438" spans="3:5">
      <c r="C438" s="80">
        <v>45456</v>
      </c>
      <c r="D438" s="28">
        <v>5</v>
      </c>
      <c r="E438" s="28">
        <v>4.2129291450000002E-2</v>
      </c>
    </row>
    <row r="439" spans="3:5">
      <c r="C439" s="80">
        <v>45456</v>
      </c>
      <c r="D439" s="28">
        <v>14</v>
      </c>
      <c r="E439" s="28">
        <v>2.289992695E-2</v>
      </c>
    </row>
    <row r="440" spans="3:5">
      <c r="C440" s="80">
        <v>45456</v>
      </c>
      <c r="D440" s="28">
        <v>1</v>
      </c>
      <c r="E440" s="28">
        <v>0.1198685172</v>
      </c>
    </row>
    <row r="441" spans="3:5">
      <c r="C441" s="80">
        <v>45456</v>
      </c>
      <c r="D441" s="28">
        <v>3</v>
      </c>
      <c r="E441" s="28">
        <v>5.2720964209999999E-2</v>
      </c>
    </row>
    <row r="442" spans="3:5">
      <c r="C442" s="80">
        <v>45457</v>
      </c>
      <c r="D442" s="28">
        <v>6</v>
      </c>
      <c r="E442" s="28">
        <v>3.7769655270000001E-2</v>
      </c>
    </row>
    <row r="443" spans="3:5">
      <c r="C443" s="80">
        <v>45457</v>
      </c>
      <c r="D443" s="28">
        <v>14</v>
      </c>
      <c r="E443" s="28">
        <v>2.3740414250000001E-2</v>
      </c>
    </row>
    <row r="444" spans="3:5">
      <c r="C444" s="80">
        <v>45457</v>
      </c>
      <c r="D444" s="28">
        <v>60</v>
      </c>
      <c r="E444" s="28">
        <v>1.0015767219999999E-2</v>
      </c>
    </row>
    <row r="445" spans="3:5">
      <c r="C445" s="80">
        <v>45457</v>
      </c>
      <c r="D445" s="28">
        <v>1</v>
      </c>
      <c r="E445" s="28">
        <v>0.11993836450000001</v>
      </c>
    </row>
    <row r="446" spans="3:5">
      <c r="C446" s="80">
        <v>45457</v>
      </c>
      <c r="D446" s="28">
        <v>7</v>
      </c>
      <c r="E446" s="28">
        <v>3.4419121339999997E-2</v>
      </c>
    </row>
    <row r="447" spans="3:5">
      <c r="C447" s="80">
        <v>45457</v>
      </c>
      <c r="D447" s="28">
        <v>2</v>
      </c>
      <c r="E447" s="28">
        <v>6.7673618579999997E-2</v>
      </c>
    </row>
    <row r="448" spans="3:5">
      <c r="C448" s="80">
        <v>45457</v>
      </c>
      <c r="D448" s="28">
        <v>3</v>
      </c>
      <c r="E448" s="28">
        <v>5.7299505479999999E-2</v>
      </c>
    </row>
    <row r="449" spans="3:5">
      <c r="C449" s="80">
        <v>45457</v>
      </c>
      <c r="D449" s="28">
        <v>5</v>
      </c>
      <c r="E449" s="28">
        <v>4.1299362139999997E-2</v>
      </c>
    </row>
    <row r="450" spans="3:5">
      <c r="C450" s="80">
        <v>45457</v>
      </c>
      <c r="D450" s="28">
        <v>30</v>
      </c>
      <c r="E450" s="28">
        <v>1.6089729810000002E-2</v>
      </c>
    </row>
    <row r="451" spans="3:5">
      <c r="C451" s="80">
        <v>45457</v>
      </c>
      <c r="D451" s="28">
        <v>4</v>
      </c>
      <c r="E451" s="28">
        <v>4.7803339780000002E-2</v>
      </c>
    </row>
    <row r="452" spans="3:5">
      <c r="C452" s="80">
        <v>45458</v>
      </c>
      <c r="D452" s="28">
        <v>14</v>
      </c>
      <c r="E452" s="28">
        <v>2.4191054770000001E-2</v>
      </c>
    </row>
    <row r="453" spans="3:5">
      <c r="C453" s="80">
        <v>45458</v>
      </c>
      <c r="D453" s="28">
        <v>4</v>
      </c>
      <c r="E453" s="28">
        <v>4.739991633E-2</v>
      </c>
    </row>
    <row r="454" spans="3:5">
      <c r="C454" s="80">
        <v>45458</v>
      </c>
      <c r="D454" s="28">
        <v>7</v>
      </c>
      <c r="E454" s="28">
        <v>3.5486276579999997E-2</v>
      </c>
    </row>
    <row r="455" spans="3:5">
      <c r="C455" s="80">
        <v>45458</v>
      </c>
      <c r="D455" s="28">
        <v>60</v>
      </c>
      <c r="E455" s="28">
        <v>1.0967824080000001E-2</v>
      </c>
    </row>
    <row r="456" spans="3:5">
      <c r="C456" s="80">
        <v>45458</v>
      </c>
      <c r="D456" s="28">
        <v>3</v>
      </c>
      <c r="E456" s="28">
        <v>5.5093763070000003E-2</v>
      </c>
    </row>
    <row r="457" spans="3:5">
      <c r="C457" s="80">
        <v>45458</v>
      </c>
      <c r="D457" s="28">
        <v>5</v>
      </c>
      <c r="E457" s="28">
        <v>4.1670455990000001E-2</v>
      </c>
    </row>
    <row r="458" spans="3:5">
      <c r="C458" s="80">
        <v>45458</v>
      </c>
      <c r="D458" s="28">
        <v>2</v>
      </c>
      <c r="E458" s="28">
        <v>7.3682678840000002E-2</v>
      </c>
    </row>
    <row r="459" spans="3:5">
      <c r="C459" s="80">
        <v>45458</v>
      </c>
      <c r="D459" s="28">
        <v>1</v>
      </c>
      <c r="E459" s="28">
        <v>0.1237927209</v>
      </c>
    </row>
    <row r="460" spans="3:5">
      <c r="C460" s="80">
        <v>45458</v>
      </c>
      <c r="D460" s="28">
        <v>30</v>
      </c>
      <c r="E460" s="28">
        <v>1.7443023700000001E-2</v>
      </c>
    </row>
    <row r="461" spans="3:5">
      <c r="C461" s="80">
        <v>45458</v>
      </c>
      <c r="D461" s="28">
        <v>6</v>
      </c>
      <c r="E461" s="28">
        <v>3.6868622560000001E-2</v>
      </c>
    </row>
    <row r="462" spans="3:5">
      <c r="C462" s="80">
        <v>45459</v>
      </c>
      <c r="D462" s="28">
        <v>6</v>
      </c>
      <c r="E462" s="28">
        <v>3.723151115E-2</v>
      </c>
    </row>
    <row r="463" spans="3:5">
      <c r="C463" s="80">
        <v>45459</v>
      </c>
      <c r="D463" s="28">
        <v>3</v>
      </c>
      <c r="E463" s="28">
        <v>5.1698975219999999E-2</v>
      </c>
    </row>
    <row r="464" spans="3:5">
      <c r="C464" s="80">
        <v>45459</v>
      </c>
      <c r="D464" s="28">
        <v>2</v>
      </c>
      <c r="E464" s="28">
        <v>7.0798565940000002E-2</v>
      </c>
    </row>
    <row r="465" spans="3:5">
      <c r="C465" s="80">
        <v>45459</v>
      </c>
      <c r="D465" s="28">
        <v>30</v>
      </c>
      <c r="E465" s="28">
        <v>1.602208192E-2</v>
      </c>
    </row>
    <row r="466" spans="3:5">
      <c r="C466" s="80">
        <v>45459</v>
      </c>
      <c r="D466" s="28">
        <v>5</v>
      </c>
      <c r="E466" s="28">
        <v>4.1546368860000002E-2</v>
      </c>
    </row>
    <row r="467" spans="3:5">
      <c r="C467" s="80">
        <v>45459</v>
      </c>
      <c r="D467" s="28">
        <v>7</v>
      </c>
      <c r="E467" s="28">
        <v>3.7057013229999998E-2</v>
      </c>
    </row>
    <row r="468" spans="3:5">
      <c r="C468" s="80">
        <v>45459</v>
      </c>
      <c r="D468" s="28">
        <v>60</v>
      </c>
      <c r="E468" s="28">
        <v>1.1326501480000001E-2</v>
      </c>
    </row>
    <row r="469" spans="3:5">
      <c r="C469" s="80">
        <v>45459</v>
      </c>
      <c r="D469" s="28">
        <v>1</v>
      </c>
      <c r="E469" s="28">
        <v>0.130080269</v>
      </c>
    </row>
    <row r="470" spans="3:5">
      <c r="C470" s="80">
        <v>45459</v>
      </c>
      <c r="D470" s="28">
        <v>4</v>
      </c>
      <c r="E470" s="28">
        <v>4.4957010059999997E-2</v>
      </c>
    </row>
    <row r="471" spans="3:5">
      <c r="C471" s="80">
        <v>45459</v>
      </c>
      <c r="D471" s="28">
        <v>14</v>
      </c>
      <c r="E471" s="28">
        <v>2.750721787E-2</v>
      </c>
    </row>
    <row r="472" spans="3:5">
      <c r="C472" s="80">
        <v>45460</v>
      </c>
      <c r="D472" s="28">
        <v>4</v>
      </c>
      <c r="E472" s="28">
        <v>4.5740520319999999E-2</v>
      </c>
    </row>
    <row r="473" spans="3:5">
      <c r="C473" s="80">
        <v>45460</v>
      </c>
      <c r="D473" s="28">
        <v>6</v>
      </c>
      <c r="E473" s="28">
        <v>3.8173779970000002E-2</v>
      </c>
    </row>
    <row r="474" spans="3:5">
      <c r="C474" s="80">
        <v>45460</v>
      </c>
      <c r="D474" s="28">
        <v>14</v>
      </c>
      <c r="E474" s="28">
        <v>2.469818058E-2</v>
      </c>
    </row>
    <row r="475" spans="3:5">
      <c r="C475" s="80">
        <v>45460</v>
      </c>
      <c r="D475" s="28">
        <v>60</v>
      </c>
      <c r="E475" s="28">
        <v>1.1491809780000001E-2</v>
      </c>
    </row>
    <row r="476" spans="3:5">
      <c r="C476" s="80">
        <v>45460</v>
      </c>
      <c r="D476" s="28">
        <v>2</v>
      </c>
      <c r="E476" s="28">
        <v>7.1501445329999996E-2</v>
      </c>
    </row>
    <row r="477" spans="3:5">
      <c r="C477" s="80">
        <v>45460</v>
      </c>
      <c r="D477" s="28">
        <v>5</v>
      </c>
      <c r="E477" s="28">
        <v>4.0030040240000002E-2</v>
      </c>
    </row>
    <row r="478" spans="3:5">
      <c r="C478" s="80">
        <v>45460</v>
      </c>
      <c r="D478" s="28">
        <v>3</v>
      </c>
      <c r="E478" s="28">
        <v>5.364733889E-2</v>
      </c>
    </row>
    <row r="479" spans="3:5">
      <c r="C479" s="80">
        <v>45460</v>
      </c>
      <c r="D479" s="28">
        <v>7</v>
      </c>
      <c r="E479" s="28">
        <v>3.5297285040000001E-2</v>
      </c>
    </row>
    <row r="480" spans="3:5">
      <c r="C480" s="80">
        <v>45460</v>
      </c>
      <c r="D480" s="28">
        <v>1</v>
      </c>
      <c r="E480" s="28">
        <v>0.12857790629999999</v>
      </c>
    </row>
    <row r="481" spans="3:5">
      <c r="C481" s="80">
        <v>45460</v>
      </c>
      <c r="D481" s="28">
        <v>30</v>
      </c>
      <c r="E481" s="28">
        <v>1.5331859660000001E-2</v>
      </c>
    </row>
    <row r="482" spans="3:5">
      <c r="C482" s="80">
        <v>45461</v>
      </c>
      <c r="D482" s="28">
        <v>3</v>
      </c>
      <c r="E482" s="28">
        <v>5.4786575329999997E-2</v>
      </c>
    </row>
    <row r="483" spans="3:5">
      <c r="C483" s="80">
        <v>45461</v>
      </c>
      <c r="D483" s="28">
        <v>14</v>
      </c>
      <c r="E483" s="28">
        <v>2.354490305E-2</v>
      </c>
    </row>
    <row r="484" spans="3:5">
      <c r="C484" s="80">
        <v>45461</v>
      </c>
      <c r="D484" s="28">
        <v>5</v>
      </c>
      <c r="E484" s="28">
        <v>4.2512501369999997E-2</v>
      </c>
    </row>
    <row r="485" spans="3:5">
      <c r="C485" s="80">
        <v>45461</v>
      </c>
      <c r="D485" s="28">
        <v>7</v>
      </c>
      <c r="E485" s="28">
        <v>3.3514648940000002E-2</v>
      </c>
    </row>
    <row r="486" spans="3:5">
      <c r="C486" s="80">
        <v>45461</v>
      </c>
      <c r="D486" s="28">
        <v>60</v>
      </c>
      <c r="E486" s="28">
        <v>1.1020017869999999E-2</v>
      </c>
    </row>
    <row r="487" spans="3:5">
      <c r="C487" s="80">
        <v>45461</v>
      </c>
      <c r="D487" s="28">
        <v>2</v>
      </c>
      <c r="E487" s="28">
        <v>7.2327684860000005E-2</v>
      </c>
    </row>
    <row r="488" spans="3:5">
      <c r="C488" s="80">
        <v>45461</v>
      </c>
      <c r="D488" s="28">
        <v>6</v>
      </c>
      <c r="E488" s="28">
        <v>3.7496277020000003E-2</v>
      </c>
    </row>
    <row r="489" spans="3:5">
      <c r="C489" s="80">
        <v>45461</v>
      </c>
      <c r="D489" s="28">
        <v>4</v>
      </c>
      <c r="E489" s="28">
        <v>4.5193046260000001E-2</v>
      </c>
    </row>
    <row r="490" spans="3:5">
      <c r="C490" s="80">
        <v>45461</v>
      </c>
      <c r="D490" s="28">
        <v>30</v>
      </c>
      <c r="E490" s="28">
        <v>1.376326556E-2</v>
      </c>
    </row>
    <row r="491" spans="3:5">
      <c r="C491" s="80">
        <v>45461</v>
      </c>
      <c r="D491" s="28">
        <v>1</v>
      </c>
      <c r="E491" s="28">
        <v>0.13037480600000001</v>
      </c>
    </row>
    <row r="492" spans="3:5">
      <c r="C492" s="80">
        <v>45462</v>
      </c>
      <c r="D492" s="28">
        <v>5</v>
      </c>
      <c r="E492" s="28">
        <v>4.2422352720000001E-2</v>
      </c>
    </row>
    <row r="493" spans="3:5">
      <c r="C493" s="80">
        <v>45462</v>
      </c>
      <c r="D493" s="28">
        <v>30</v>
      </c>
      <c r="E493" s="28">
        <v>1.3840530760000001E-2</v>
      </c>
    </row>
    <row r="494" spans="3:5">
      <c r="C494" s="80">
        <v>45462</v>
      </c>
      <c r="D494" s="28">
        <v>1</v>
      </c>
      <c r="E494" s="28">
        <v>0.1245647768</v>
      </c>
    </row>
    <row r="495" spans="3:5">
      <c r="C495" s="80">
        <v>45462</v>
      </c>
      <c r="D495" s="28">
        <v>60</v>
      </c>
      <c r="E495" s="28">
        <v>1.243742313E-2</v>
      </c>
    </row>
    <row r="496" spans="3:5">
      <c r="C496" s="80">
        <v>45462</v>
      </c>
      <c r="D496" s="28">
        <v>4</v>
      </c>
      <c r="E496" s="28">
        <v>4.813871711E-2</v>
      </c>
    </row>
    <row r="497" spans="3:5">
      <c r="C497" s="80">
        <v>45462</v>
      </c>
      <c r="D497" s="28">
        <v>7</v>
      </c>
      <c r="E497" s="28">
        <v>3.4973756690000003E-2</v>
      </c>
    </row>
    <row r="498" spans="3:5">
      <c r="C498" s="80">
        <v>45462</v>
      </c>
      <c r="D498" s="28">
        <v>2</v>
      </c>
      <c r="E498" s="28">
        <v>7.4849728909999996E-2</v>
      </c>
    </row>
    <row r="499" spans="3:5">
      <c r="C499" s="80">
        <v>45462</v>
      </c>
      <c r="D499" s="28">
        <v>14</v>
      </c>
      <c r="E499" s="28">
        <v>2.3887474230000001E-2</v>
      </c>
    </row>
    <row r="500" spans="3:5">
      <c r="C500" s="80">
        <v>45462</v>
      </c>
      <c r="D500" s="28">
        <v>3</v>
      </c>
      <c r="E500" s="28">
        <v>5.5760536300000003E-2</v>
      </c>
    </row>
    <row r="501" spans="3:5">
      <c r="C501" s="80">
        <v>45462</v>
      </c>
      <c r="D501" s="28">
        <v>6</v>
      </c>
      <c r="E501" s="28">
        <v>3.6965823070000001E-2</v>
      </c>
    </row>
    <row r="502" spans="3:5">
      <c r="C502" s="80">
        <v>45463</v>
      </c>
      <c r="D502" s="28">
        <v>2</v>
      </c>
      <c r="E502" s="28">
        <v>7.2158253180000007E-2</v>
      </c>
    </row>
    <row r="503" spans="3:5">
      <c r="C503" s="80">
        <v>45463</v>
      </c>
      <c r="D503" s="28">
        <v>30</v>
      </c>
      <c r="E503" s="28">
        <v>1.393667065E-2</v>
      </c>
    </row>
    <row r="504" spans="3:5">
      <c r="C504" s="80">
        <v>45463</v>
      </c>
      <c r="D504" s="28">
        <v>3</v>
      </c>
      <c r="E504" s="28">
        <v>5.4904163450000001E-2</v>
      </c>
    </row>
    <row r="505" spans="3:5">
      <c r="C505" s="80">
        <v>45463</v>
      </c>
      <c r="D505" s="28">
        <v>60</v>
      </c>
      <c r="E505" s="28">
        <v>1.172505792E-2</v>
      </c>
    </row>
    <row r="506" spans="3:5">
      <c r="C506" s="80">
        <v>45463</v>
      </c>
      <c r="D506" s="28">
        <v>1</v>
      </c>
      <c r="E506" s="28">
        <v>0.12776451589999999</v>
      </c>
    </row>
    <row r="507" spans="3:5">
      <c r="C507" s="80">
        <v>45463</v>
      </c>
      <c r="D507" s="28">
        <v>4</v>
      </c>
      <c r="E507" s="28">
        <v>4.818156287E-2</v>
      </c>
    </row>
    <row r="508" spans="3:5">
      <c r="C508" s="80">
        <v>45463</v>
      </c>
      <c r="D508" s="28">
        <v>5</v>
      </c>
      <c r="E508" s="28">
        <v>3.9931896369999997E-2</v>
      </c>
    </row>
    <row r="509" spans="3:5">
      <c r="C509" s="80">
        <v>45463</v>
      </c>
      <c r="D509" s="28">
        <v>6</v>
      </c>
      <c r="E509" s="28">
        <v>3.6386295020000001E-2</v>
      </c>
    </row>
    <row r="510" spans="3:5">
      <c r="C510" s="80">
        <v>45463</v>
      </c>
      <c r="D510" s="28">
        <v>14</v>
      </c>
      <c r="E510" s="28">
        <v>2.257249175E-2</v>
      </c>
    </row>
    <row r="511" spans="3:5">
      <c r="C511" s="80">
        <v>45463</v>
      </c>
      <c r="D511" s="28">
        <v>7</v>
      </c>
      <c r="E511" s="28">
        <v>3.1734887310000001E-2</v>
      </c>
    </row>
    <row r="512" spans="3:5">
      <c r="C512" s="80">
        <v>45464</v>
      </c>
      <c r="D512" s="28">
        <v>1</v>
      </c>
      <c r="E512" s="28">
        <v>0.12561186290000001</v>
      </c>
    </row>
    <row r="513" spans="3:5">
      <c r="C513" s="80">
        <v>45464</v>
      </c>
      <c r="D513" s="28">
        <v>4</v>
      </c>
      <c r="E513" s="28">
        <v>4.5961704579999998E-2</v>
      </c>
    </row>
    <row r="514" spans="3:5">
      <c r="C514" s="80">
        <v>45464</v>
      </c>
      <c r="D514" s="28">
        <v>2</v>
      </c>
      <c r="E514" s="28">
        <v>7.2829686150000003E-2</v>
      </c>
    </row>
    <row r="515" spans="3:5">
      <c r="C515" s="80">
        <v>45464</v>
      </c>
      <c r="D515" s="28">
        <v>7</v>
      </c>
      <c r="E515" s="28">
        <v>3.5973941840000002E-2</v>
      </c>
    </row>
    <row r="516" spans="3:5">
      <c r="C516" s="80">
        <v>45464</v>
      </c>
      <c r="D516" s="28">
        <v>14</v>
      </c>
      <c r="E516" s="28">
        <v>2.371868701E-2</v>
      </c>
    </row>
    <row r="517" spans="3:5">
      <c r="C517" s="80">
        <v>45464</v>
      </c>
      <c r="D517" s="28">
        <v>6</v>
      </c>
      <c r="E517" s="28">
        <v>3.6423841060000003E-2</v>
      </c>
    </row>
    <row r="518" spans="3:5">
      <c r="C518" s="80">
        <v>45464</v>
      </c>
      <c r="D518" s="28">
        <v>3</v>
      </c>
      <c r="E518" s="28">
        <v>5.5895479409999997E-2</v>
      </c>
    </row>
    <row r="519" spans="3:5">
      <c r="C519" s="80">
        <v>45464</v>
      </c>
      <c r="D519" s="28">
        <v>30</v>
      </c>
      <c r="E519" s="28">
        <v>1.486467031E-2</v>
      </c>
    </row>
    <row r="520" spans="3:5">
      <c r="C520" s="80">
        <v>45464</v>
      </c>
      <c r="D520" s="28">
        <v>60</v>
      </c>
      <c r="E520" s="28">
        <v>1.0977541029999999E-2</v>
      </c>
    </row>
    <row r="521" spans="3:5">
      <c r="C521" s="80">
        <v>45464</v>
      </c>
      <c r="D521" s="28">
        <v>5</v>
      </c>
      <c r="E521" s="28">
        <v>4.0310970340000002E-2</v>
      </c>
    </row>
    <row r="522" spans="3:5">
      <c r="C522" s="80">
        <v>45465</v>
      </c>
      <c r="D522" s="28">
        <v>4</v>
      </c>
      <c r="E522" s="28">
        <v>4.5082117790000001E-2</v>
      </c>
    </row>
    <row r="523" spans="3:5">
      <c r="C523" s="80">
        <v>45465</v>
      </c>
      <c r="D523" s="28">
        <v>3</v>
      </c>
      <c r="E523" s="28">
        <v>5.2852996290000002E-2</v>
      </c>
    </row>
    <row r="524" spans="3:5">
      <c r="C524" s="80">
        <v>45465</v>
      </c>
      <c r="D524" s="28">
        <v>60</v>
      </c>
      <c r="E524" s="28">
        <v>1.1077635299999999E-2</v>
      </c>
    </row>
    <row r="525" spans="3:5">
      <c r="C525" s="80">
        <v>45465</v>
      </c>
      <c r="D525" s="28">
        <v>6</v>
      </c>
      <c r="E525" s="28">
        <v>3.6833596650000001E-2</v>
      </c>
    </row>
    <row r="526" spans="3:5">
      <c r="C526" s="80">
        <v>45465</v>
      </c>
      <c r="D526" s="28">
        <v>30</v>
      </c>
      <c r="E526" s="28">
        <v>1.6460300550000001E-2</v>
      </c>
    </row>
    <row r="527" spans="3:5">
      <c r="C527" s="80">
        <v>45465</v>
      </c>
      <c r="D527" s="28">
        <v>5</v>
      </c>
      <c r="E527" s="28">
        <v>3.8872763349999999E-2</v>
      </c>
    </row>
    <row r="528" spans="3:5">
      <c r="C528" s="80">
        <v>45465</v>
      </c>
      <c r="D528" s="28">
        <v>7</v>
      </c>
      <c r="E528" s="28">
        <v>3.468420472E-2</v>
      </c>
    </row>
    <row r="529" spans="3:5">
      <c r="C529" s="80">
        <v>45465</v>
      </c>
      <c r="D529" s="28">
        <v>1</v>
      </c>
      <c r="E529" s="28">
        <v>0.12624462650000001</v>
      </c>
    </row>
    <row r="530" spans="3:5">
      <c r="C530" s="80">
        <v>45465</v>
      </c>
      <c r="D530" s="28">
        <v>14</v>
      </c>
      <c r="E530" s="28">
        <v>2.4341404269999999E-2</v>
      </c>
    </row>
    <row r="531" spans="3:5">
      <c r="C531" s="80">
        <v>45465</v>
      </c>
      <c r="D531" s="28">
        <v>2</v>
      </c>
      <c r="E531" s="28">
        <v>7.2546570160000004E-2</v>
      </c>
    </row>
    <row r="532" spans="3:5">
      <c r="C532" s="80">
        <v>45466</v>
      </c>
      <c r="D532" s="28">
        <v>5</v>
      </c>
      <c r="E532" s="28">
        <v>4.2721979620000003E-2</v>
      </c>
    </row>
    <row r="533" spans="3:5">
      <c r="C533" s="80">
        <v>45466</v>
      </c>
      <c r="D533" s="28">
        <v>2</v>
      </c>
      <c r="E533" s="28">
        <v>6.9614264920000002E-2</v>
      </c>
    </row>
    <row r="534" spans="3:5">
      <c r="C534" s="80">
        <v>45466</v>
      </c>
      <c r="D534" s="28">
        <v>4</v>
      </c>
      <c r="E534" s="28">
        <v>4.4868995629999998E-2</v>
      </c>
    </row>
    <row r="535" spans="3:5">
      <c r="C535" s="80">
        <v>45466</v>
      </c>
      <c r="D535" s="28">
        <v>3</v>
      </c>
      <c r="E535" s="28">
        <v>5.4039301310000003E-2</v>
      </c>
    </row>
    <row r="536" spans="3:5">
      <c r="C536" s="80">
        <v>45466</v>
      </c>
      <c r="D536" s="28">
        <v>14</v>
      </c>
      <c r="E536" s="28">
        <v>2.7620087339999998E-2</v>
      </c>
    </row>
    <row r="537" spans="3:5">
      <c r="C537" s="80">
        <v>45466</v>
      </c>
      <c r="D537" s="28">
        <v>6</v>
      </c>
      <c r="E537" s="28">
        <v>3.9046579329999997E-2</v>
      </c>
    </row>
    <row r="538" spans="3:5">
      <c r="C538" s="80">
        <v>45466</v>
      </c>
      <c r="D538" s="28">
        <v>60</v>
      </c>
      <c r="E538" s="28">
        <v>1.2136098979999999E-2</v>
      </c>
    </row>
    <row r="539" spans="3:5">
      <c r="C539" s="80">
        <v>45466</v>
      </c>
      <c r="D539" s="28">
        <v>30</v>
      </c>
      <c r="E539" s="28">
        <v>1.8540756910000001E-2</v>
      </c>
    </row>
    <row r="540" spans="3:5">
      <c r="C540" s="80">
        <v>45466</v>
      </c>
      <c r="D540" s="28">
        <v>7</v>
      </c>
      <c r="E540" s="28">
        <v>3.9010189229999999E-2</v>
      </c>
    </row>
    <row r="541" spans="3:5">
      <c r="C541" s="80">
        <v>45466</v>
      </c>
      <c r="D541" s="28">
        <v>1</v>
      </c>
      <c r="E541" s="28">
        <v>0.12985807860000001</v>
      </c>
    </row>
    <row r="542" spans="3:5">
      <c r="C542" s="80">
        <v>45467</v>
      </c>
      <c r="D542" s="28">
        <v>1</v>
      </c>
      <c r="E542" s="28">
        <v>0.12548839349999999</v>
      </c>
    </row>
    <row r="543" spans="3:5">
      <c r="C543" s="80">
        <v>45467</v>
      </c>
      <c r="D543" s="28">
        <v>5</v>
      </c>
      <c r="E543" s="28">
        <v>4.054623458E-2</v>
      </c>
    </row>
    <row r="544" spans="3:5">
      <c r="C544" s="80">
        <v>45467</v>
      </c>
      <c r="D544" s="28">
        <v>14</v>
      </c>
      <c r="E544" s="28">
        <v>2.6277484100000002E-2</v>
      </c>
    </row>
    <row r="545" spans="3:5">
      <c r="C545" s="80">
        <v>45467</v>
      </c>
      <c r="D545" s="28">
        <v>6</v>
      </c>
      <c r="E545" s="28">
        <v>4.0029112079999998E-2</v>
      </c>
    </row>
    <row r="546" spans="3:5">
      <c r="C546" s="80">
        <v>45467</v>
      </c>
      <c r="D546" s="28">
        <v>2</v>
      </c>
      <c r="E546" s="28">
        <v>7.0405270820000004E-2</v>
      </c>
    </row>
    <row r="547" spans="3:5">
      <c r="C547" s="80">
        <v>45467</v>
      </c>
      <c r="D547" s="28">
        <v>7</v>
      </c>
      <c r="E547" s="28">
        <v>3.5758063280000002E-2</v>
      </c>
    </row>
    <row r="548" spans="3:5">
      <c r="C548" s="80">
        <v>45467</v>
      </c>
      <c r="D548" s="28">
        <v>3</v>
      </c>
      <c r="E548" s="28">
        <v>5.1750555429999998E-2</v>
      </c>
    </row>
    <row r="549" spans="3:5">
      <c r="C549" s="80">
        <v>45467</v>
      </c>
      <c r="D549" s="28">
        <v>60</v>
      </c>
      <c r="E549" s="28">
        <v>1.189381751E-2</v>
      </c>
    </row>
    <row r="550" spans="3:5">
      <c r="C550" s="80">
        <v>45467</v>
      </c>
      <c r="D550" s="28">
        <v>30</v>
      </c>
      <c r="E550" s="28">
        <v>1.706504252E-2</v>
      </c>
    </row>
    <row r="551" spans="3:5">
      <c r="C551" s="80">
        <v>45467</v>
      </c>
      <c r="D551" s="28">
        <v>4</v>
      </c>
      <c r="E551" s="28">
        <v>4.6215429400000001E-2</v>
      </c>
    </row>
    <row r="552" spans="3:5">
      <c r="C552" s="80">
        <v>45468</v>
      </c>
      <c r="D552" s="28">
        <v>14</v>
      </c>
      <c r="E552" s="28">
        <v>2.3595144299999999E-2</v>
      </c>
    </row>
    <row r="553" spans="3:5">
      <c r="C553" s="80">
        <v>45468</v>
      </c>
      <c r="D553" s="28">
        <v>30</v>
      </c>
      <c r="E553" s="28">
        <v>1.652062063E-2</v>
      </c>
    </row>
    <row r="554" spans="3:5">
      <c r="C554" s="80">
        <v>45468</v>
      </c>
      <c r="D554" s="28">
        <v>2</v>
      </c>
      <c r="E554" s="28">
        <v>7.0684942520000002E-2</v>
      </c>
    </row>
    <row r="555" spans="3:5">
      <c r="C555" s="80">
        <v>45468</v>
      </c>
      <c r="D555" s="28">
        <v>60</v>
      </c>
      <c r="E555" s="28">
        <v>1.139561058E-2</v>
      </c>
    </row>
    <row r="556" spans="3:5">
      <c r="C556" s="80">
        <v>45468</v>
      </c>
      <c r="D556" s="28">
        <v>5</v>
      </c>
      <c r="E556" s="28">
        <v>4.3431947909999997E-2</v>
      </c>
    </row>
    <row r="557" spans="3:5">
      <c r="C557" s="80">
        <v>45468</v>
      </c>
      <c r="D557" s="28">
        <v>7</v>
      </c>
      <c r="E557" s="28">
        <v>3.398585095E-2</v>
      </c>
    </row>
    <row r="558" spans="3:5">
      <c r="C558" s="80">
        <v>45468</v>
      </c>
      <c r="D558" s="28">
        <v>6</v>
      </c>
      <c r="E558" s="28">
        <v>3.7965270519999997E-2</v>
      </c>
    </row>
    <row r="559" spans="3:5">
      <c r="C559" s="80">
        <v>45468</v>
      </c>
      <c r="D559" s="28">
        <v>4</v>
      </c>
      <c r="E559" s="28">
        <v>4.600450197E-2</v>
      </c>
    </row>
    <row r="560" spans="3:5">
      <c r="C560" s="80">
        <v>45468</v>
      </c>
      <c r="D560" s="28">
        <v>1</v>
      </c>
      <c r="E560" s="28">
        <v>0.12587426639999999</v>
      </c>
    </row>
    <row r="561" spans="3:5">
      <c r="C561" s="80">
        <v>45468</v>
      </c>
      <c r="D561" s="28">
        <v>3</v>
      </c>
      <c r="E561" s="28">
        <v>5.4968245040000002E-2</v>
      </c>
    </row>
    <row r="562" spans="3:5">
      <c r="C562" s="80">
        <v>45469</v>
      </c>
      <c r="D562" s="28">
        <v>14</v>
      </c>
      <c r="E562" s="28">
        <v>2.377146179E-2</v>
      </c>
    </row>
    <row r="563" spans="3:5">
      <c r="C563" s="80">
        <v>45469</v>
      </c>
      <c r="D563" s="28">
        <v>30</v>
      </c>
      <c r="E563" s="28">
        <v>1.6546598289999999E-2</v>
      </c>
    </row>
    <row r="564" spans="3:5">
      <c r="C564" s="80">
        <v>45469</v>
      </c>
      <c r="D564" s="28">
        <v>3</v>
      </c>
      <c r="E564" s="28">
        <v>5.5535947850000003E-2</v>
      </c>
    </row>
    <row r="565" spans="3:5">
      <c r="C565" s="80">
        <v>45469</v>
      </c>
      <c r="D565" s="28">
        <v>60</v>
      </c>
      <c r="E565" s="28">
        <v>1.1501650509999999E-2</v>
      </c>
    </row>
    <row r="566" spans="3:5">
      <c r="C566" s="80">
        <v>45469</v>
      </c>
      <c r="D566" s="28">
        <v>7</v>
      </c>
      <c r="E566" s="28">
        <v>3.3238524300000002E-2</v>
      </c>
    </row>
    <row r="567" spans="3:5">
      <c r="C567" s="80">
        <v>45469</v>
      </c>
      <c r="D567" s="28">
        <v>2</v>
      </c>
      <c r="E567" s="28">
        <v>7.1708846310000005E-2</v>
      </c>
    </row>
    <row r="568" spans="3:5">
      <c r="C568" s="80">
        <v>45469</v>
      </c>
      <c r="D568" s="28">
        <v>1</v>
      </c>
      <c r="E568" s="28">
        <v>0.127826105</v>
      </c>
    </row>
    <row r="569" spans="3:5">
      <c r="C569" s="80">
        <v>45469</v>
      </c>
      <c r="D569" s="28">
        <v>4</v>
      </c>
      <c r="E569" s="28">
        <v>4.7210745950000001E-2</v>
      </c>
    </row>
    <row r="570" spans="3:5">
      <c r="C570" s="80">
        <v>45469</v>
      </c>
      <c r="D570" s="28">
        <v>6</v>
      </c>
      <c r="E570" s="28">
        <v>3.5709095439999998E-2</v>
      </c>
    </row>
    <row r="571" spans="3:5">
      <c r="C571" s="80">
        <v>45469</v>
      </c>
      <c r="D571" s="28">
        <v>5</v>
      </c>
      <c r="E571" s="28">
        <v>4.15844873E-2</v>
      </c>
    </row>
    <row r="572" spans="3:5">
      <c r="C572" s="80">
        <v>45470</v>
      </c>
      <c r="D572" s="28">
        <v>60</v>
      </c>
      <c r="E572" s="28">
        <v>1.2132781840000001E-2</v>
      </c>
    </row>
    <row r="573" spans="3:5">
      <c r="C573" s="80">
        <v>45470</v>
      </c>
      <c r="D573" s="28">
        <v>5</v>
      </c>
      <c r="E573" s="28">
        <v>4.0767843890000002E-2</v>
      </c>
    </row>
    <row r="574" spans="3:5">
      <c r="C574" s="80">
        <v>45470</v>
      </c>
      <c r="D574" s="28">
        <v>4</v>
      </c>
      <c r="E574" s="28">
        <v>4.723724679E-2</v>
      </c>
    </row>
    <row r="575" spans="3:5">
      <c r="C575" s="80">
        <v>45470</v>
      </c>
      <c r="D575" s="28">
        <v>6</v>
      </c>
      <c r="E575" s="28">
        <v>3.563474388E-2</v>
      </c>
    </row>
    <row r="576" spans="3:5">
      <c r="C576" s="80">
        <v>45470</v>
      </c>
      <c r="D576" s="28">
        <v>30</v>
      </c>
      <c r="E576" s="28">
        <v>1.7647682679999999E-2</v>
      </c>
    </row>
    <row r="577" spans="3:5">
      <c r="C577" s="80">
        <v>45470</v>
      </c>
      <c r="D577" s="28">
        <v>3</v>
      </c>
      <c r="E577" s="28">
        <v>5.5064163749999999E-2</v>
      </c>
    </row>
    <row r="578" spans="3:5">
      <c r="C578" s="80">
        <v>45470</v>
      </c>
      <c r="D578" s="28">
        <v>14</v>
      </c>
      <c r="E578" s="28">
        <v>2.3438328559999999E-2</v>
      </c>
    </row>
    <row r="579" spans="3:5">
      <c r="C579" s="80">
        <v>45470</v>
      </c>
      <c r="D579" s="28">
        <v>7</v>
      </c>
      <c r="E579" s="28">
        <v>3.3704528579999997E-2</v>
      </c>
    </row>
    <row r="580" spans="3:5">
      <c r="C580" s="80">
        <v>45470</v>
      </c>
      <c r="D580" s="28">
        <v>2</v>
      </c>
      <c r="E580" s="28">
        <v>7.1714922050000005E-2</v>
      </c>
    </row>
    <row r="581" spans="3:5">
      <c r="C581" s="80">
        <v>45470</v>
      </c>
      <c r="D581" s="28">
        <v>1</v>
      </c>
      <c r="E581" s="28">
        <v>0.1252730936</v>
      </c>
    </row>
    <row r="582" spans="3:5">
      <c r="C582" s="80">
        <v>45471</v>
      </c>
      <c r="D582" s="28">
        <v>3</v>
      </c>
      <c r="E582" s="28">
        <v>5.8021243200000003E-2</v>
      </c>
    </row>
    <row r="583" spans="3:5">
      <c r="C583" s="80">
        <v>45471</v>
      </c>
      <c r="D583" s="28">
        <v>4</v>
      </c>
      <c r="E583" s="28">
        <v>4.5340563899999999E-2</v>
      </c>
    </row>
    <row r="584" spans="3:5">
      <c r="C584" s="80">
        <v>45471</v>
      </c>
      <c r="D584" s="28">
        <v>30</v>
      </c>
      <c r="E584" s="28">
        <v>1.7695867569999999E-2</v>
      </c>
    </row>
    <row r="585" spans="3:5">
      <c r="C585" s="80">
        <v>45471</v>
      </c>
      <c r="D585" s="28">
        <v>7</v>
      </c>
      <c r="E585" s="28">
        <v>3.6044117350000002E-2</v>
      </c>
    </row>
    <row r="586" spans="3:5">
      <c r="C586" s="80">
        <v>45471</v>
      </c>
      <c r="D586" s="28">
        <v>6</v>
      </c>
      <c r="E586" s="28">
        <v>3.7145012329999998E-2</v>
      </c>
    </row>
    <row r="587" spans="3:5">
      <c r="C587" s="80">
        <v>45471</v>
      </c>
      <c r="D587" s="28">
        <v>2</v>
      </c>
      <c r="E587" s="28">
        <v>7.0966952759999993E-2</v>
      </c>
    </row>
    <row r="588" spans="3:5">
      <c r="C588" s="80">
        <v>45471</v>
      </c>
      <c r="D588" s="28">
        <v>14</v>
      </c>
      <c r="E588" s="28">
        <v>2.47701372E-2</v>
      </c>
    </row>
    <row r="589" spans="3:5">
      <c r="C589" s="80">
        <v>45471</v>
      </c>
      <c r="D589" s="28">
        <v>60</v>
      </c>
      <c r="E589" s="28">
        <v>1.070314571E-2</v>
      </c>
    </row>
    <row r="590" spans="3:5">
      <c r="C590" s="80">
        <v>45471</v>
      </c>
      <c r="D590" s="28">
        <v>5</v>
      </c>
      <c r="E590" s="28">
        <v>4.0875823120000002E-2</v>
      </c>
    </row>
    <row r="591" spans="3:5">
      <c r="C591" s="80">
        <v>45471</v>
      </c>
      <c r="D591" s="28">
        <v>1</v>
      </c>
      <c r="E591" s="28">
        <v>0.12819310510000001</v>
      </c>
    </row>
    <row r="592" spans="3:5">
      <c r="C592" s="80">
        <v>45472</v>
      </c>
      <c r="D592" s="28">
        <v>14</v>
      </c>
      <c r="E592" s="28">
        <v>2.5144991639999999E-2</v>
      </c>
    </row>
    <row r="593" spans="3:5">
      <c r="C593" s="80">
        <v>45472</v>
      </c>
      <c r="D593" s="28">
        <v>4</v>
      </c>
      <c r="E593" s="28">
        <v>4.4981814609999997E-2</v>
      </c>
    </row>
    <row r="594" spans="3:5">
      <c r="C594" s="80">
        <v>45472</v>
      </c>
      <c r="D594" s="28">
        <v>2</v>
      </c>
      <c r="E594" s="28">
        <v>7.4196402240000001E-2</v>
      </c>
    </row>
    <row r="595" spans="3:5">
      <c r="C595" s="80">
        <v>45472</v>
      </c>
      <c r="D595" s="28">
        <v>60</v>
      </c>
      <c r="E595" s="28">
        <v>1.0734296670000001E-2</v>
      </c>
    </row>
    <row r="596" spans="3:5">
      <c r="C596" s="80">
        <v>45472</v>
      </c>
      <c r="D596" s="28">
        <v>3</v>
      </c>
      <c r="E596" s="28">
        <v>5.3062026929999999E-2</v>
      </c>
    </row>
    <row r="597" spans="3:5">
      <c r="C597" s="80">
        <v>45472</v>
      </c>
      <c r="D597" s="28">
        <v>6</v>
      </c>
      <c r="E597" s="28">
        <v>3.8612012190000003E-2</v>
      </c>
    </row>
    <row r="598" spans="3:5">
      <c r="C598" s="80">
        <v>45472</v>
      </c>
      <c r="D598" s="28">
        <v>7</v>
      </c>
      <c r="E598" s="28">
        <v>3.5210852260000002E-2</v>
      </c>
    </row>
    <row r="599" spans="3:5">
      <c r="C599" s="80">
        <v>45472</v>
      </c>
      <c r="D599" s="28">
        <v>30</v>
      </c>
      <c r="E599" s="28">
        <v>1.8264032239999999E-2</v>
      </c>
    </row>
    <row r="600" spans="3:5">
      <c r="C600" s="80">
        <v>45472</v>
      </c>
      <c r="D600" s="28">
        <v>1</v>
      </c>
      <c r="E600" s="28">
        <v>0.12985353390000001</v>
      </c>
    </row>
    <row r="601" spans="3:5">
      <c r="C601" s="80">
        <v>45472</v>
      </c>
      <c r="D601" s="28">
        <v>5</v>
      </c>
      <c r="E601" s="28">
        <v>4.0990858149999997E-2</v>
      </c>
    </row>
    <row r="602" spans="3:5">
      <c r="C602" s="80">
        <v>45473</v>
      </c>
      <c r="D602" s="28">
        <v>1</v>
      </c>
      <c r="E602" s="28">
        <v>0.12864252809999999</v>
      </c>
    </row>
    <row r="603" spans="3:5">
      <c r="C603" s="80">
        <v>45473</v>
      </c>
      <c r="D603" s="28">
        <v>7</v>
      </c>
      <c r="E603" s="28">
        <v>3.69294529E-2</v>
      </c>
    </row>
    <row r="604" spans="3:5">
      <c r="C604" s="80">
        <v>45473</v>
      </c>
      <c r="D604" s="28">
        <v>3</v>
      </c>
      <c r="E604" s="28">
        <v>5.1601324720000001E-2</v>
      </c>
    </row>
    <row r="605" spans="3:5">
      <c r="C605" s="80">
        <v>45473</v>
      </c>
      <c r="D605" s="28">
        <v>60</v>
      </c>
      <c r="E605" s="28">
        <v>9.9169272330000002E-3</v>
      </c>
    </row>
    <row r="606" spans="3:5">
      <c r="C606" s="80">
        <v>45473</v>
      </c>
      <c r="D606" s="28">
        <v>2</v>
      </c>
      <c r="E606" s="28">
        <v>6.6902255359999996E-2</v>
      </c>
    </row>
    <row r="607" spans="3:5">
      <c r="C607" s="80">
        <v>45473</v>
      </c>
      <c r="D607" s="28">
        <v>14</v>
      </c>
      <c r="E607" s="28">
        <v>2.627245647E-2</v>
      </c>
    </row>
    <row r="608" spans="3:5">
      <c r="C608" s="80">
        <v>45473</v>
      </c>
      <c r="D608" s="28">
        <v>30</v>
      </c>
      <c r="E608" s="28">
        <v>1.6189013669999999E-2</v>
      </c>
    </row>
    <row r="609" spans="3:5">
      <c r="C609" s="80">
        <v>45473</v>
      </c>
      <c r="D609" s="28">
        <v>5</v>
      </c>
      <c r="E609" s="28">
        <v>3.9556698549999998E-2</v>
      </c>
    </row>
    <row r="610" spans="3:5">
      <c r="C610" s="80">
        <v>45473</v>
      </c>
      <c r="D610" s="28">
        <v>4</v>
      </c>
      <c r="E610" s="28">
        <v>4.5699272880000003E-2</v>
      </c>
    </row>
    <row r="611" spans="3:5">
      <c r="C611" s="80">
        <v>45473</v>
      </c>
      <c r="D611" s="28">
        <v>6</v>
      </c>
      <c r="E611" s="28">
        <v>3.6836944250000003E-2</v>
      </c>
    </row>
    <row r="612" spans="3:5">
      <c r="C612" s="80">
        <v>45474</v>
      </c>
      <c r="D612" s="28">
        <v>4</v>
      </c>
      <c r="E612" s="28">
        <v>4.3816907279999998E-2</v>
      </c>
    </row>
    <row r="613" spans="3:5">
      <c r="C613" s="80">
        <v>45474</v>
      </c>
      <c r="D613" s="28">
        <v>3</v>
      </c>
      <c r="E613" s="28">
        <v>5.0700092379999999E-2</v>
      </c>
    </row>
    <row r="614" spans="3:5">
      <c r="C614" s="80">
        <v>45474</v>
      </c>
      <c r="D614" s="28">
        <v>2</v>
      </c>
      <c r="E614" s="28">
        <v>6.4828735489999997E-2</v>
      </c>
    </row>
    <row r="615" spans="3:5">
      <c r="C615" s="80">
        <v>45474</v>
      </c>
      <c r="D615" s="28">
        <v>5</v>
      </c>
      <c r="E615" s="28">
        <v>3.9940587239999999E-2</v>
      </c>
    </row>
    <row r="616" spans="3:5">
      <c r="C616" s="80">
        <v>45474</v>
      </c>
      <c r="D616" s="28">
        <v>7</v>
      </c>
      <c r="E616" s="28">
        <v>3.6535221979999997E-2</v>
      </c>
    </row>
    <row r="617" spans="3:5">
      <c r="C617" s="80">
        <v>45474</v>
      </c>
      <c r="D617" s="28">
        <v>14</v>
      </c>
      <c r="E617" s="28">
        <v>2.5576466749999999E-2</v>
      </c>
    </row>
    <row r="618" spans="3:5">
      <c r="C618" s="80">
        <v>45474</v>
      </c>
      <c r="D618" s="28">
        <v>1</v>
      </c>
      <c r="E618" s="28">
        <v>0.12029271649999999</v>
      </c>
    </row>
    <row r="619" spans="3:5">
      <c r="C619" s="80">
        <v>45474</v>
      </c>
      <c r="D619" s="28">
        <v>6</v>
      </c>
      <c r="E619" s="28">
        <v>3.9433405179999999E-2</v>
      </c>
    </row>
    <row r="620" spans="3:5">
      <c r="C620" s="80">
        <v>45474</v>
      </c>
      <c r="D620" s="28">
        <v>30</v>
      </c>
      <c r="E620" s="28">
        <v>1.497998442E-2</v>
      </c>
    </row>
    <row r="621" spans="3:5">
      <c r="C621" s="80">
        <v>45474</v>
      </c>
      <c r="D621" s="28">
        <v>60</v>
      </c>
      <c r="E621" s="28">
        <v>1.0668936909999999E-2</v>
      </c>
    </row>
    <row r="622" spans="3:5">
      <c r="C622" s="80">
        <v>45475</v>
      </c>
      <c r="D622" s="28">
        <v>7</v>
      </c>
      <c r="E622" s="28">
        <v>3.255915342E-2</v>
      </c>
    </row>
    <row r="623" spans="3:5">
      <c r="C623" s="80">
        <v>45475</v>
      </c>
      <c r="D623" s="28">
        <v>60</v>
      </c>
      <c r="E623" s="28">
        <v>9.4526574450000001E-3</v>
      </c>
    </row>
    <row r="624" spans="3:5">
      <c r="C624" s="80">
        <v>45475</v>
      </c>
      <c r="D624" s="28">
        <v>5</v>
      </c>
      <c r="E624" s="28">
        <v>4.1496571679999997E-2</v>
      </c>
    </row>
    <row r="625" spans="3:5">
      <c r="C625" s="80">
        <v>45475</v>
      </c>
      <c r="D625" s="28">
        <v>2</v>
      </c>
      <c r="E625" s="28">
        <v>6.9081685229999995E-2</v>
      </c>
    </row>
    <row r="626" spans="3:5">
      <c r="C626" s="80">
        <v>45475</v>
      </c>
      <c r="D626" s="28">
        <v>14</v>
      </c>
      <c r="E626" s="28">
        <v>2.3681185840000001E-2</v>
      </c>
    </row>
    <row r="627" spans="3:5">
      <c r="C627" s="80">
        <v>45475</v>
      </c>
      <c r="D627" s="28">
        <v>1</v>
      </c>
      <c r="E627" s="28">
        <v>0.117712338</v>
      </c>
    </row>
    <row r="628" spans="3:5">
      <c r="C628" s="80">
        <v>45475</v>
      </c>
      <c r="D628" s="28">
        <v>4</v>
      </c>
      <c r="E628" s="28">
        <v>4.5539217630000003E-2</v>
      </c>
    </row>
    <row r="629" spans="3:5">
      <c r="C629" s="80">
        <v>45475</v>
      </c>
      <c r="D629" s="28">
        <v>6</v>
      </c>
      <c r="E629" s="28">
        <v>3.872220681E-2</v>
      </c>
    </row>
    <row r="630" spans="3:5">
      <c r="C630" s="80">
        <v>45475</v>
      </c>
      <c r="D630" s="28">
        <v>30</v>
      </c>
      <c r="E630" s="28">
        <v>1.6329118940000002E-2</v>
      </c>
    </row>
    <row r="631" spans="3:5">
      <c r="C631" s="80">
        <v>45475</v>
      </c>
      <c r="D631" s="28">
        <v>3</v>
      </c>
      <c r="E631" s="28">
        <v>5.2494946690000002E-2</v>
      </c>
    </row>
    <row r="632" spans="3:5">
      <c r="C632" s="80">
        <v>45476</v>
      </c>
      <c r="D632" s="28">
        <v>4</v>
      </c>
      <c r="E632" s="28">
        <v>4.6342883279999997E-2</v>
      </c>
    </row>
    <row r="633" spans="3:5">
      <c r="C633" s="80">
        <v>45476</v>
      </c>
      <c r="D633" s="28">
        <v>2</v>
      </c>
      <c r="E633" s="28">
        <v>6.9275229739999999E-2</v>
      </c>
    </row>
    <row r="634" spans="3:5">
      <c r="C634" s="80">
        <v>45476</v>
      </c>
      <c r="D634" s="28">
        <v>7</v>
      </c>
      <c r="E634" s="28">
        <v>3.301592582E-2</v>
      </c>
    </row>
    <row r="635" spans="3:5">
      <c r="C635" s="80">
        <v>45476</v>
      </c>
      <c r="D635" s="28">
        <v>6</v>
      </c>
      <c r="E635" s="28">
        <v>3.5947440640000002E-2</v>
      </c>
    </row>
    <row r="636" spans="3:5">
      <c r="C636" s="80">
        <v>45476</v>
      </c>
      <c r="D636" s="28">
        <v>1</v>
      </c>
      <c r="E636" s="28">
        <v>0.1216474697</v>
      </c>
    </row>
    <row r="637" spans="3:5">
      <c r="C637" s="80">
        <v>45476</v>
      </c>
      <c r="D637" s="28">
        <v>3</v>
      </c>
      <c r="E637" s="28">
        <v>5.2268285579999997E-2</v>
      </c>
    </row>
    <row r="638" spans="3:5">
      <c r="C638" s="80">
        <v>45476</v>
      </c>
      <c r="D638" s="28">
        <v>60</v>
      </c>
      <c r="E638" s="28">
        <v>1.162210487E-2</v>
      </c>
    </row>
    <row r="639" spans="3:5">
      <c r="C639" s="80">
        <v>45476</v>
      </c>
      <c r="D639" s="28">
        <v>14</v>
      </c>
      <c r="E639" s="28">
        <v>2.2495737870000001E-2</v>
      </c>
    </row>
    <row r="640" spans="3:5">
      <c r="C640" s="80">
        <v>45476</v>
      </c>
      <c r="D640" s="28">
        <v>5</v>
      </c>
      <c r="E640" s="28">
        <v>4.047985363E-2</v>
      </c>
    </row>
    <row r="641" spans="3:5">
      <c r="C641" s="80">
        <v>45476</v>
      </c>
      <c r="D641" s="28">
        <v>30</v>
      </c>
      <c r="E641" s="28">
        <v>1.488627386E-2</v>
      </c>
    </row>
    <row r="642" spans="3:5">
      <c r="C642" s="80">
        <v>45477</v>
      </c>
      <c r="D642" s="28">
        <v>2</v>
      </c>
      <c r="E642" s="28">
        <v>6.9284064670000006E-2</v>
      </c>
    </row>
    <row r="643" spans="3:5">
      <c r="C643" s="80">
        <v>45477</v>
      </c>
      <c r="D643" s="28">
        <v>7</v>
      </c>
      <c r="E643" s="28">
        <v>3.3029761650000003E-2</v>
      </c>
    </row>
    <row r="644" spans="3:5">
      <c r="C644" s="80">
        <v>45477</v>
      </c>
      <c r="D644" s="28">
        <v>3</v>
      </c>
      <c r="E644" s="28">
        <v>5.3727831279999999E-2</v>
      </c>
    </row>
    <row r="645" spans="3:5">
      <c r="C645" s="80">
        <v>45477</v>
      </c>
      <c r="D645" s="28">
        <v>6</v>
      </c>
      <c r="E645" s="28">
        <v>3.7060438360000003E-2</v>
      </c>
    </row>
    <row r="646" spans="3:5">
      <c r="C646" s="80">
        <v>45477</v>
      </c>
      <c r="D646" s="28">
        <v>5</v>
      </c>
      <c r="E646" s="28">
        <v>4.128720206E-2</v>
      </c>
    </row>
    <row r="647" spans="3:5">
      <c r="C647" s="80">
        <v>45477</v>
      </c>
      <c r="D647" s="28">
        <v>4</v>
      </c>
      <c r="E647" s="28">
        <v>4.7888796900000002E-2</v>
      </c>
    </row>
    <row r="648" spans="3:5">
      <c r="C648" s="80">
        <v>45477</v>
      </c>
      <c r="D648" s="28">
        <v>60</v>
      </c>
      <c r="E648" s="28">
        <v>1.209203015E-2</v>
      </c>
    </row>
    <row r="649" spans="3:5">
      <c r="C649" s="80">
        <v>45477</v>
      </c>
      <c r="D649" s="28">
        <v>14</v>
      </c>
      <c r="E649" s="28">
        <v>2.379188636E-2</v>
      </c>
    </row>
    <row r="650" spans="3:5">
      <c r="C650" s="80">
        <v>45477</v>
      </c>
      <c r="D650" s="28">
        <v>1</v>
      </c>
      <c r="E650" s="28">
        <v>0.1240576931</v>
      </c>
    </row>
    <row r="651" spans="3:5">
      <c r="C651" s="80">
        <v>45477</v>
      </c>
      <c r="D651" s="28">
        <v>30</v>
      </c>
      <c r="E651" s="28">
        <v>1.7538890580000001E-2</v>
      </c>
    </row>
    <row r="652" spans="3:5">
      <c r="C652" s="80">
        <v>45478</v>
      </c>
      <c r="D652" s="28">
        <v>14</v>
      </c>
      <c r="E652" s="28">
        <v>2.2469089309999999E-2</v>
      </c>
    </row>
    <row r="653" spans="3:5">
      <c r="C653" s="80">
        <v>45478</v>
      </c>
      <c r="D653" s="28">
        <v>3</v>
      </c>
      <c r="E653" s="28">
        <v>5.495930877E-2</v>
      </c>
    </row>
    <row r="654" spans="3:5">
      <c r="C654" s="80">
        <v>45478</v>
      </c>
      <c r="D654" s="28">
        <v>4</v>
      </c>
      <c r="E654" s="28">
        <v>4.5126467080000003E-2</v>
      </c>
    </row>
    <row r="655" spans="3:5">
      <c r="C655" s="80">
        <v>45478</v>
      </c>
      <c r="D655" s="28">
        <v>6</v>
      </c>
      <c r="E655" s="28">
        <v>3.7699533459999997E-2</v>
      </c>
    </row>
    <row r="656" spans="3:5">
      <c r="C656" s="80">
        <v>45478</v>
      </c>
      <c r="D656" s="28">
        <v>1</v>
      </c>
      <c r="E656" s="28">
        <v>0.12498169419999999</v>
      </c>
    </row>
    <row r="657" spans="3:5">
      <c r="C657" s="80">
        <v>45478</v>
      </c>
      <c r="D657" s="28">
        <v>7</v>
      </c>
      <c r="E657" s="28">
        <v>3.529362539E-2</v>
      </c>
    </row>
    <row r="658" spans="3:5">
      <c r="C658" s="80">
        <v>45478</v>
      </c>
      <c r="D658" s="28">
        <v>60</v>
      </c>
      <c r="E658" s="28">
        <v>1.123454466E-2</v>
      </c>
    </row>
    <row r="659" spans="3:5">
      <c r="C659" s="80">
        <v>45478</v>
      </c>
      <c r="D659" s="28">
        <v>5</v>
      </c>
      <c r="E659" s="28">
        <v>3.9896232140000001E-2</v>
      </c>
    </row>
    <row r="660" spans="3:5">
      <c r="C660" s="80">
        <v>45478</v>
      </c>
      <c r="D660" s="28">
        <v>2</v>
      </c>
      <c r="E660" s="28">
        <v>7.226092596E-2</v>
      </c>
    </row>
    <row r="661" spans="3:5">
      <c r="C661" s="80">
        <v>45478</v>
      </c>
      <c r="D661" s="28">
        <v>30</v>
      </c>
      <c r="E661" s="28">
        <v>1.8410427E-2</v>
      </c>
    </row>
    <row r="662" spans="3:5">
      <c r="C662" s="80">
        <v>45479</v>
      </c>
      <c r="D662" s="28">
        <v>1</v>
      </c>
      <c r="E662" s="28">
        <v>0.12993646710000001</v>
      </c>
    </row>
    <row r="663" spans="3:5">
      <c r="C663" s="80">
        <v>45479</v>
      </c>
      <c r="D663" s="28">
        <v>7</v>
      </c>
      <c r="E663" s="28">
        <v>3.6916647320000003E-2</v>
      </c>
    </row>
    <row r="664" spans="3:5">
      <c r="C664" s="80">
        <v>45479</v>
      </c>
      <c r="D664" s="28">
        <v>14</v>
      </c>
      <c r="E664" s="28">
        <v>2.2120438190000001E-2</v>
      </c>
    </row>
    <row r="665" spans="3:5">
      <c r="C665" s="80">
        <v>45479</v>
      </c>
      <c r="D665" s="28">
        <v>30</v>
      </c>
      <c r="E665" s="28">
        <v>1.7455727460000001E-2</v>
      </c>
    </row>
    <row r="666" spans="3:5">
      <c r="C666" s="80">
        <v>45479</v>
      </c>
      <c r="D666" s="28">
        <v>6</v>
      </c>
      <c r="E666" s="28">
        <v>3.9132912589999999E-2</v>
      </c>
    </row>
    <row r="667" spans="3:5">
      <c r="C667" s="80">
        <v>45479</v>
      </c>
      <c r="D667" s="28">
        <v>5</v>
      </c>
      <c r="E667" s="28">
        <v>4.0336028029999998E-2</v>
      </c>
    </row>
    <row r="668" spans="3:5">
      <c r="C668" s="80">
        <v>45479</v>
      </c>
      <c r="D668" s="28">
        <v>60</v>
      </c>
      <c r="E668" s="28">
        <v>1.0975789939999999E-2</v>
      </c>
    </row>
    <row r="669" spans="3:5">
      <c r="C669" s="80">
        <v>45479</v>
      </c>
      <c r="D669" s="28">
        <v>4</v>
      </c>
      <c r="E669" s="28">
        <v>4.761804251E-2</v>
      </c>
    </row>
    <row r="670" spans="3:5">
      <c r="C670" s="80">
        <v>45479</v>
      </c>
      <c r="D670" s="28">
        <v>3</v>
      </c>
      <c r="E670" s="28">
        <v>5.4414589360000001E-2</v>
      </c>
    </row>
    <row r="671" spans="3:5">
      <c r="C671" s="80">
        <v>45479</v>
      </c>
      <c r="D671" s="28">
        <v>2</v>
      </c>
      <c r="E671" s="28">
        <v>7.3748865479999995E-2</v>
      </c>
    </row>
    <row r="672" spans="3:5">
      <c r="C672" s="80">
        <v>45480</v>
      </c>
      <c r="D672" s="28">
        <v>1</v>
      </c>
      <c r="E672" s="28">
        <v>0.12964683099999999</v>
      </c>
    </row>
    <row r="673" spans="3:5">
      <c r="C673" s="80">
        <v>45480</v>
      </c>
      <c r="D673" s="28">
        <v>3</v>
      </c>
      <c r="E673" s="28">
        <v>5.2273760349999997E-2</v>
      </c>
    </row>
    <row r="674" spans="3:5">
      <c r="C674" s="80">
        <v>45480</v>
      </c>
      <c r="D674" s="28">
        <v>30</v>
      </c>
      <c r="E674" s="28">
        <v>1.640348623E-2</v>
      </c>
    </row>
    <row r="675" spans="3:5">
      <c r="C675" s="80">
        <v>45480</v>
      </c>
      <c r="D675" s="28">
        <v>14</v>
      </c>
      <c r="E675" s="28">
        <v>2.72337398E-2</v>
      </c>
    </row>
    <row r="676" spans="3:5">
      <c r="C676" s="80">
        <v>45480</v>
      </c>
      <c r="D676" s="28">
        <v>5</v>
      </c>
      <c r="E676" s="28">
        <v>4.1977114170000003E-2</v>
      </c>
    </row>
    <row r="677" spans="3:5">
      <c r="C677" s="80">
        <v>45480</v>
      </c>
      <c r="D677" s="28">
        <v>4</v>
      </c>
      <c r="E677" s="28">
        <v>4.5178758469999997E-2</v>
      </c>
    </row>
    <row r="678" spans="3:5">
      <c r="C678" s="80">
        <v>45480</v>
      </c>
      <c r="D678" s="28">
        <v>6</v>
      </c>
      <c r="E678" s="28">
        <v>3.867665369E-2</v>
      </c>
    </row>
    <row r="679" spans="3:5">
      <c r="C679" s="80">
        <v>45480</v>
      </c>
      <c r="D679" s="28">
        <v>7</v>
      </c>
      <c r="E679" s="28">
        <v>3.8933575759999998E-2</v>
      </c>
    </row>
    <row r="680" spans="3:5">
      <c r="C680" s="80">
        <v>45480</v>
      </c>
      <c r="D680" s="28">
        <v>2</v>
      </c>
      <c r="E680" s="28">
        <v>7.0258305500000007E-2</v>
      </c>
    </row>
    <row r="681" spans="3:5">
      <c r="C681" s="80">
        <v>45480</v>
      </c>
      <c r="D681" s="28">
        <v>60</v>
      </c>
      <c r="E681" s="28">
        <v>1.2193916880000001E-2</v>
      </c>
    </row>
    <row r="682" spans="3:5">
      <c r="C682" s="80">
        <v>45481</v>
      </c>
      <c r="D682" s="28">
        <v>4</v>
      </c>
      <c r="E682" s="28">
        <v>4.654603391E-2</v>
      </c>
    </row>
    <row r="683" spans="3:5">
      <c r="C683" s="80">
        <v>45481</v>
      </c>
      <c r="D683" s="28">
        <v>14</v>
      </c>
      <c r="E683" s="28">
        <v>2.7332043550000001E-2</v>
      </c>
    </row>
    <row r="684" spans="3:5">
      <c r="C684" s="80">
        <v>45481</v>
      </c>
      <c r="D684" s="28">
        <v>3</v>
      </c>
      <c r="E684" s="28">
        <v>5.4512347789999999E-2</v>
      </c>
    </row>
    <row r="685" spans="3:5">
      <c r="C685" s="80">
        <v>45481</v>
      </c>
      <c r="D685" s="28">
        <v>1</v>
      </c>
      <c r="E685" s="28">
        <v>0.12755585899999999</v>
      </c>
    </row>
    <row r="686" spans="3:5">
      <c r="C686" s="80">
        <v>45481</v>
      </c>
      <c r="D686" s="28">
        <v>60</v>
      </c>
      <c r="E686" s="28">
        <v>1.111490459E-2</v>
      </c>
    </row>
    <row r="687" spans="3:5">
      <c r="C687" s="80">
        <v>45481</v>
      </c>
      <c r="D687" s="28">
        <v>6</v>
      </c>
      <c r="E687" s="28">
        <v>4.0343689539999998E-2</v>
      </c>
    </row>
    <row r="688" spans="3:5">
      <c r="C688" s="80">
        <v>45481</v>
      </c>
      <c r="D688" s="28">
        <v>7</v>
      </c>
      <c r="E688" s="28">
        <v>3.727096848E-2</v>
      </c>
    </row>
    <row r="689" spans="3:5">
      <c r="C689" s="80">
        <v>45481</v>
      </c>
      <c r="D689" s="28">
        <v>2</v>
      </c>
      <c r="E689" s="28">
        <v>6.9894920530000001E-2</v>
      </c>
    </row>
    <row r="690" spans="3:5">
      <c r="C690" s="80">
        <v>45481</v>
      </c>
      <c r="D690" s="28">
        <v>5</v>
      </c>
      <c r="E690" s="28">
        <v>4.21835287E-2</v>
      </c>
    </row>
    <row r="691" spans="3:5">
      <c r="C691" s="80">
        <v>45481</v>
      </c>
      <c r="D691" s="28">
        <v>30</v>
      </c>
      <c r="E691" s="28">
        <v>1.523083343E-2</v>
      </c>
    </row>
    <row r="692" spans="3:5">
      <c r="C692" s="80">
        <v>45482</v>
      </c>
      <c r="D692" s="28">
        <v>30</v>
      </c>
      <c r="E692" s="28">
        <v>1.6012184879999999E-2</v>
      </c>
    </row>
    <row r="693" spans="3:5">
      <c r="C693" s="80">
        <v>45482</v>
      </c>
      <c r="D693" s="28">
        <v>3</v>
      </c>
      <c r="E693" s="28">
        <v>5.4168049830000002E-2</v>
      </c>
    </row>
    <row r="694" spans="3:5">
      <c r="C694" s="80">
        <v>45482</v>
      </c>
      <c r="D694" s="28">
        <v>6</v>
      </c>
      <c r="E694" s="28">
        <v>3.872214954E-2</v>
      </c>
    </row>
    <row r="695" spans="3:5">
      <c r="C695" s="80">
        <v>45482</v>
      </c>
      <c r="D695" s="28">
        <v>4</v>
      </c>
      <c r="E695" s="28">
        <v>4.6493917320000001E-2</v>
      </c>
    </row>
    <row r="696" spans="3:5">
      <c r="C696" s="80">
        <v>45482</v>
      </c>
      <c r="D696" s="28">
        <v>14</v>
      </c>
      <c r="E696" s="28">
        <v>2.505321122E-2</v>
      </c>
    </row>
    <row r="697" spans="3:5">
      <c r="C697" s="80">
        <v>45482</v>
      </c>
      <c r="D697" s="28">
        <v>2</v>
      </c>
      <c r="E697" s="28">
        <v>6.7407392940000005E-2</v>
      </c>
    </row>
    <row r="698" spans="3:5">
      <c r="C698" s="80">
        <v>45482</v>
      </c>
      <c r="D698" s="28">
        <v>1</v>
      </c>
      <c r="E698" s="28">
        <v>0.1228447013</v>
      </c>
    </row>
    <row r="699" spans="3:5">
      <c r="C699" s="80">
        <v>45482</v>
      </c>
      <c r="D699" s="28">
        <v>60</v>
      </c>
      <c r="E699" s="28">
        <v>1.023217668E-2</v>
      </c>
    </row>
    <row r="700" spans="3:5">
      <c r="C700" s="80">
        <v>45482</v>
      </c>
      <c r="D700" s="28">
        <v>5</v>
      </c>
      <c r="E700" s="28">
        <v>4.0284313920000002E-2</v>
      </c>
    </row>
    <row r="701" spans="3:5">
      <c r="C701" s="80">
        <v>45482</v>
      </c>
      <c r="D701" s="28">
        <v>7</v>
      </c>
      <c r="E701" s="28">
        <v>3.3645115310000001E-2</v>
      </c>
    </row>
    <row r="702" spans="3:5">
      <c r="C702" s="80">
        <v>45483</v>
      </c>
      <c r="D702" s="28">
        <v>1</v>
      </c>
      <c r="E702" s="28">
        <v>0.1242283631</v>
      </c>
    </row>
    <row r="703" spans="3:5">
      <c r="C703" s="80">
        <v>45483</v>
      </c>
      <c r="D703" s="28">
        <v>4</v>
      </c>
      <c r="E703" s="28">
        <v>4.5490326060000003E-2</v>
      </c>
    </row>
    <row r="704" spans="3:5">
      <c r="C704" s="80">
        <v>45483</v>
      </c>
      <c r="D704" s="28">
        <v>30</v>
      </c>
      <c r="E704" s="28">
        <v>1.5722749309999999E-2</v>
      </c>
    </row>
    <row r="705" spans="3:5">
      <c r="C705" s="80">
        <v>45483</v>
      </c>
      <c r="D705" s="28">
        <v>5</v>
      </c>
      <c r="E705" s="28">
        <v>4.153374487E-2</v>
      </c>
    </row>
    <row r="706" spans="3:5">
      <c r="C706" s="80">
        <v>45483</v>
      </c>
      <c r="D706" s="28">
        <v>60</v>
      </c>
      <c r="E706" s="28">
        <v>1.1206860839999999E-2</v>
      </c>
    </row>
    <row r="707" spans="3:5">
      <c r="C707" s="80">
        <v>45483</v>
      </c>
      <c r="D707" s="28">
        <v>6</v>
      </c>
      <c r="E707" s="28">
        <v>3.6251398269999999E-2</v>
      </c>
    </row>
    <row r="708" spans="3:5">
      <c r="C708" s="80">
        <v>45483</v>
      </c>
      <c r="D708" s="28">
        <v>14</v>
      </c>
      <c r="E708" s="28">
        <v>2.5458839130000001E-2</v>
      </c>
    </row>
    <row r="709" spans="3:5">
      <c r="C709" s="80">
        <v>45483</v>
      </c>
      <c r="D709" s="28">
        <v>3</v>
      </c>
      <c r="E709" s="28">
        <v>5.3237767739999997E-2</v>
      </c>
    </row>
    <row r="710" spans="3:5">
      <c r="C710" s="80">
        <v>45483</v>
      </c>
      <c r="D710" s="28">
        <v>2</v>
      </c>
      <c r="E710" s="28">
        <v>7.0576293659999997E-2</v>
      </c>
    </row>
    <row r="711" spans="3:5">
      <c r="C711" s="80">
        <v>45483</v>
      </c>
      <c r="D711" s="28">
        <v>7</v>
      </c>
      <c r="E711" s="28">
        <v>3.3869163520000002E-2</v>
      </c>
    </row>
    <row r="712" spans="3:5">
      <c r="C712" s="80">
        <v>45484</v>
      </c>
      <c r="D712" s="28">
        <v>5</v>
      </c>
      <c r="E712" s="28">
        <v>4.6297749460000003E-2</v>
      </c>
    </row>
    <row r="713" spans="3:5">
      <c r="C713" s="80">
        <v>45484</v>
      </c>
      <c r="D713" s="28">
        <v>2</v>
      </c>
      <c r="E713" s="28">
        <v>7.6650240120000004E-2</v>
      </c>
    </row>
    <row r="714" spans="3:5">
      <c r="C714" s="80">
        <v>45484</v>
      </c>
      <c r="D714" s="28">
        <v>7</v>
      </c>
      <c r="E714" s="28">
        <v>3.8827332940000001E-2</v>
      </c>
    </row>
    <row r="715" spans="3:5">
      <c r="C715" s="80">
        <v>45484</v>
      </c>
      <c r="D715" s="28">
        <v>1</v>
      </c>
      <c r="E715" s="28">
        <v>0.12712263409999999</v>
      </c>
    </row>
    <row r="716" spans="3:5">
      <c r="C716" s="80">
        <v>45484</v>
      </c>
      <c r="D716" s="28">
        <v>60</v>
      </c>
      <c r="E716" s="28">
        <v>1.6510248280000001E-2</v>
      </c>
    </row>
    <row r="717" spans="3:5">
      <c r="C717" s="80">
        <v>45484</v>
      </c>
      <c r="D717" s="28">
        <v>4</v>
      </c>
      <c r="E717" s="28">
        <v>5.3517059540000002E-2</v>
      </c>
    </row>
    <row r="718" spans="3:5">
      <c r="C718" s="80">
        <v>45484</v>
      </c>
      <c r="D718" s="28">
        <v>14</v>
      </c>
      <c r="E718" s="28">
        <v>2.900279356E-2</v>
      </c>
    </row>
    <row r="719" spans="3:5">
      <c r="C719" s="80">
        <v>45484</v>
      </c>
      <c r="D719" s="28">
        <v>30</v>
      </c>
      <c r="E719" s="28">
        <v>2.0779057720000001E-2</v>
      </c>
    </row>
    <row r="720" spans="3:5">
      <c r="C720" s="80">
        <v>45484</v>
      </c>
      <c r="D720" s="28">
        <v>6</v>
      </c>
      <c r="E720" s="28">
        <v>4.3692520169999999E-2</v>
      </c>
    </row>
    <row r="721" spans="3:5">
      <c r="C721" s="80">
        <v>45484</v>
      </c>
      <c r="D721" s="28">
        <v>3</v>
      </c>
      <c r="E721" s="28">
        <v>6.3121880790000001E-2</v>
      </c>
    </row>
    <row r="722" spans="3:5">
      <c r="C722" s="80">
        <v>45485</v>
      </c>
      <c r="D722" s="28">
        <v>4</v>
      </c>
      <c r="E722" s="28">
        <v>7.4714245890000003E-2</v>
      </c>
    </row>
    <row r="723" spans="3:5">
      <c r="C723" s="80">
        <v>45485</v>
      </c>
      <c r="D723" s="28">
        <v>60</v>
      </c>
      <c r="E723" s="28">
        <v>2.3027599669999999E-2</v>
      </c>
    </row>
    <row r="724" spans="3:5">
      <c r="C724" s="80">
        <v>45485</v>
      </c>
      <c r="D724" s="28">
        <v>14</v>
      </c>
      <c r="E724" s="28">
        <v>4.3992194030000001E-2</v>
      </c>
    </row>
    <row r="725" spans="3:5">
      <c r="C725" s="80">
        <v>45485</v>
      </c>
      <c r="D725" s="28">
        <v>5</v>
      </c>
      <c r="E725" s="28">
        <v>6.72985782E-2</v>
      </c>
    </row>
    <row r="726" spans="3:5">
      <c r="C726" s="80">
        <v>45485</v>
      </c>
      <c r="D726" s="28">
        <v>30</v>
      </c>
      <c r="E726" s="28">
        <v>3.6632283250000001E-2</v>
      </c>
    </row>
    <row r="727" spans="3:5">
      <c r="C727" s="80">
        <v>45485</v>
      </c>
      <c r="D727" s="28">
        <v>1</v>
      </c>
      <c r="E727" s="28">
        <v>0.1571787009</v>
      </c>
    </row>
    <row r="728" spans="3:5">
      <c r="C728" s="80">
        <v>45485</v>
      </c>
      <c r="D728" s="28">
        <v>6</v>
      </c>
      <c r="E728" s="28">
        <v>5.8712015610000001E-2</v>
      </c>
    </row>
    <row r="729" spans="3:5">
      <c r="C729" s="80">
        <v>45485</v>
      </c>
      <c r="D729" s="28">
        <v>7</v>
      </c>
      <c r="E729" s="28">
        <v>5.4753275720000001E-2</v>
      </c>
    </row>
    <row r="730" spans="3:5">
      <c r="C730" s="80">
        <v>45485</v>
      </c>
      <c r="D730" s="28">
        <v>2</v>
      </c>
      <c r="E730" s="28">
        <v>0.10359632000000001</v>
      </c>
    </row>
    <row r="731" spans="3:5">
      <c r="C731" s="80">
        <v>45485</v>
      </c>
      <c r="D731" s="28">
        <v>3</v>
      </c>
      <c r="E731" s="28">
        <v>8.720379147E-2</v>
      </c>
    </row>
    <row r="732" spans="3:5">
      <c r="C732" s="80">
        <v>45486</v>
      </c>
      <c r="D732" s="28">
        <v>3</v>
      </c>
      <c r="E732" s="28">
        <v>8.1931193989999998E-2</v>
      </c>
    </row>
    <row r="733" spans="3:5">
      <c r="C733" s="80">
        <v>45486</v>
      </c>
      <c r="D733" s="28">
        <v>2</v>
      </c>
      <c r="E733" s="28">
        <v>0.1111882047</v>
      </c>
    </row>
    <row r="734" spans="3:5">
      <c r="C734" s="80">
        <v>45486</v>
      </c>
      <c r="D734" s="28">
        <v>4</v>
      </c>
      <c r="E734" s="28">
        <v>7.0367158139999997E-2</v>
      </c>
    </row>
    <row r="735" spans="3:5">
      <c r="C735" s="80">
        <v>45486</v>
      </c>
      <c r="D735" s="28">
        <v>1</v>
      </c>
      <c r="E735" s="28">
        <v>0.16970222609999999</v>
      </c>
    </row>
    <row r="736" spans="3:5">
      <c r="C736" s="80">
        <v>45486</v>
      </c>
      <c r="D736" s="28">
        <v>7</v>
      </c>
      <c r="E736" s="28">
        <v>5.7704538880000003E-2</v>
      </c>
    </row>
    <row r="737" spans="3:5">
      <c r="C737" s="80">
        <v>45486</v>
      </c>
      <c r="D737" s="28">
        <v>5</v>
      </c>
      <c r="E737" s="28">
        <v>6.5625903439999994E-2</v>
      </c>
    </row>
    <row r="738" spans="3:5">
      <c r="C738" s="80">
        <v>45486</v>
      </c>
      <c r="D738" s="28">
        <v>60</v>
      </c>
      <c r="E738" s="28">
        <v>2.5267418329999999E-2</v>
      </c>
    </row>
    <row r="739" spans="3:5">
      <c r="C739" s="80">
        <v>45486</v>
      </c>
      <c r="D739" s="28">
        <v>14</v>
      </c>
      <c r="E739" s="28">
        <v>5.0072275219999997E-2</v>
      </c>
    </row>
    <row r="740" spans="3:5">
      <c r="C740" s="80">
        <v>45486</v>
      </c>
      <c r="D740" s="28">
        <v>30</v>
      </c>
      <c r="E740" s="28">
        <v>3.7814397219999997E-2</v>
      </c>
    </row>
    <row r="741" spans="3:5">
      <c r="C741" s="80">
        <v>45486</v>
      </c>
      <c r="D741" s="28">
        <v>6</v>
      </c>
      <c r="E741" s="28">
        <v>5.6895056370000002E-2</v>
      </c>
    </row>
    <row r="742" spans="3:5">
      <c r="C742" s="80">
        <v>45487</v>
      </c>
      <c r="D742" s="28">
        <v>2</v>
      </c>
      <c r="E742" s="28">
        <v>0.1019781719</v>
      </c>
    </row>
    <row r="743" spans="3:5">
      <c r="C743" s="80">
        <v>45487</v>
      </c>
      <c r="D743" s="28">
        <v>4</v>
      </c>
      <c r="E743" s="28">
        <v>7.2874033650000003E-2</v>
      </c>
    </row>
    <row r="744" spans="3:5">
      <c r="C744" s="80">
        <v>45487</v>
      </c>
      <c r="D744" s="28">
        <v>3</v>
      </c>
      <c r="E744" s="28">
        <v>8.4697589810000001E-2</v>
      </c>
    </row>
    <row r="745" spans="3:5">
      <c r="C745" s="80">
        <v>45487</v>
      </c>
      <c r="D745" s="28">
        <v>30</v>
      </c>
      <c r="E745" s="28">
        <v>3.6095952709999997E-2</v>
      </c>
    </row>
    <row r="746" spans="3:5">
      <c r="C746" s="80">
        <v>45487</v>
      </c>
      <c r="D746" s="28">
        <v>7</v>
      </c>
      <c r="E746" s="28">
        <v>6.7473851749999994E-2</v>
      </c>
    </row>
    <row r="747" spans="3:5">
      <c r="C747" s="80">
        <v>45487</v>
      </c>
      <c r="D747" s="28">
        <v>14</v>
      </c>
      <c r="E747" s="28">
        <v>5.4456571170000002E-2</v>
      </c>
    </row>
    <row r="748" spans="3:5">
      <c r="C748" s="80">
        <v>45487</v>
      </c>
      <c r="D748" s="28">
        <v>6</v>
      </c>
      <c r="E748" s="28">
        <v>5.9060936789999997E-2</v>
      </c>
    </row>
    <row r="749" spans="3:5">
      <c r="C749" s="80">
        <v>45487</v>
      </c>
      <c r="D749" s="28">
        <v>60</v>
      </c>
      <c r="E749" s="28">
        <v>2.4215552519999999E-2</v>
      </c>
    </row>
    <row r="750" spans="3:5">
      <c r="C750" s="80">
        <v>45487</v>
      </c>
      <c r="D750" s="28">
        <v>5</v>
      </c>
      <c r="E750" s="28">
        <v>6.4120054570000001E-2</v>
      </c>
    </row>
    <row r="751" spans="3:5">
      <c r="C751" s="80">
        <v>45487</v>
      </c>
      <c r="D751" s="28">
        <v>1</v>
      </c>
      <c r="E751" s="28">
        <v>0.1708162801</v>
      </c>
    </row>
    <row r="752" spans="3:5">
      <c r="C752" s="80">
        <v>45488</v>
      </c>
      <c r="D752" s="28">
        <v>6</v>
      </c>
      <c r="E752" s="28">
        <v>4.0933711630000001E-2</v>
      </c>
    </row>
    <row r="753" spans="3:5">
      <c r="C753" s="80">
        <v>45488</v>
      </c>
      <c r="D753" s="28">
        <v>14</v>
      </c>
      <c r="E753" s="28">
        <v>2.9172040239999999E-2</v>
      </c>
    </row>
    <row r="754" spans="3:5">
      <c r="C754" s="80">
        <v>45488</v>
      </c>
      <c r="D754" s="28">
        <v>30</v>
      </c>
      <c r="E754" s="28">
        <v>1.7977817900000002E-2</v>
      </c>
    </row>
    <row r="755" spans="3:5">
      <c r="C755" s="80">
        <v>45488</v>
      </c>
      <c r="D755" s="28">
        <v>3</v>
      </c>
      <c r="E755" s="28">
        <v>5.4810420429999999E-2</v>
      </c>
    </row>
    <row r="756" spans="3:5">
      <c r="C756" s="80">
        <v>45488</v>
      </c>
      <c r="D756" s="28">
        <v>60</v>
      </c>
      <c r="E756" s="28">
        <v>1.32834666E-2</v>
      </c>
    </row>
    <row r="757" spans="3:5">
      <c r="C757" s="80">
        <v>45488</v>
      </c>
      <c r="D757" s="28">
        <v>5</v>
      </c>
      <c r="E757" s="28">
        <v>3.9953572350000001E-2</v>
      </c>
    </row>
    <row r="758" spans="3:5">
      <c r="C758" s="80">
        <v>45488</v>
      </c>
      <c r="D758" s="28">
        <v>1</v>
      </c>
      <c r="E758" s="28">
        <v>0.1453701315</v>
      </c>
    </row>
    <row r="759" spans="3:5">
      <c r="C759" s="80">
        <v>45488</v>
      </c>
      <c r="D759" s="28">
        <v>4</v>
      </c>
      <c r="E759" s="28">
        <v>4.5370131549999998E-2</v>
      </c>
    </row>
    <row r="760" spans="3:5">
      <c r="C760" s="80">
        <v>45488</v>
      </c>
      <c r="D760" s="28">
        <v>2</v>
      </c>
      <c r="E760" s="28">
        <v>7.5857621870000003E-2</v>
      </c>
    </row>
    <row r="761" spans="3:5">
      <c r="C761" s="80">
        <v>45488</v>
      </c>
      <c r="D761" s="28">
        <v>7</v>
      </c>
      <c r="E761" s="28">
        <v>4.088212535E-2</v>
      </c>
    </row>
    <row r="762" spans="3:5">
      <c r="C762" s="80">
        <v>45489</v>
      </c>
      <c r="D762" s="28">
        <v>2</v>
      </c>
      <c r="E762" s="28">
        <v>6.5929589760000004E-2</v>
      </c>
    </row>
    <row r="763" spans="3:5">
      <c r="C763" s="80">
        <v>45489</v>
      </c>
      <c r="D763" s="28">
        <v>6</v>
      </c>
      <c r="E763" s="28">
        <v>3.5263311030000001E-2</v>
      </c>
    </row>
    <row r="764" spans="3:5">
      <c r="C764" s="80">
        <v>45489</v>
      </c>
      <c r="D764" s="28">
        <v>60</v>
      </c>
      <c r="E764" s="28">
        <v>1.028028319E-2</v>
      </c>
    </row>
    <row r="765" spans="3:5">
      <c r="C765" s="80">
        <v>45489</v>
      </c>
      <c r="D765" s="28">
        <v>7</v>
      </c>
      <c r="E765" s="28">
        <v>3.2392590440000001E-2</v>
      </c>
    </row>
    <row r="766" spans="3:5">
      <c r="C766" s="80">
        <v>45489</v>
      </c>
      <c r="D766" s="28">
        <v>14</v>
      </c>
      <c r="E766" s="28">
        <v>2.3198525849999999E-2</v>
      </c>
    </row>
    <row r="767" spans="3:5">
      <c r="C767" s="80">
        <v>45489</v>
      </c>
      <c r="D767" s="28">
        <v>4</v>
      </c>
      <c r="E767" s="28">
        <v>3.8677140919999999E-2</v>
      </c>
    </row>
    <row r="768" spans="3:5">
      <c r="C768" s="80">
        <v>45489</v>
      </c>
      <c r="D768" s="28">
        <v>3</v>
      </c>
      <c r="E768" s="28">
        <v>4.3080205609999998E-2</v>
      </c>
    </row>
    <row r="769" spans="3:5">
      <c r="C769" s="80">
        <v>45489</v>
      </c>
      <c r="D769" s="28">
        <v>1</v>
      </c>
      <c r="E769" s="28">
        <v>0.1208806129</v>
      </c>
    </row>
    <row r="770" spans="3:5">
      <c r="C770" s="80">
        <v>45489</v>
      </c>
      <c r="D770" s="28">
        <v>30</v>
      </c>
      <c r="E770" s="28">
        <v>1.5362234509999999E-2</v>
      </c>
    </row>
    <row r="771" spans="3:5">
      <c r="C771" s="80">
        <v>45489</v>
      </c>
      <c r="D771" s="28">
        <v>5</v>
      </c>
      <c r="E771" s="28">
        <v>3.6136165259999999E-2</v>
      </c>
    </row>
    <row r="772" spans="3:5">
      <c r="C772" s="80">
        <v>45490</v>
      </c>
      <c r="D772" s="28">
        <v>7</v>
      </c>
      <c r="E772" s="28">
        <v>3.5666716000000001E-2</v>
      </c>
    </row>
    <row r="773" spans="3:5">
      <c r="C773" s="80">
        <v>45490</v>
      </c>
      <c r="D773" s="28">
        <v>60</v>
      </c>
      <c r="E773" s="28">
        <v>1.2050994739999999E-2</v>
      </c>
    </row>
    <row r="774" spans="3:5">
      <c r="C774" s="80">
        <v>45490</v>
      </c>
      <c r="D774" s="28">
        <v>4</v>
      </c>
      <c r="E774" s="28">
        <v>4.2728176069999999E-2</v>
      </c>
    </row>
    <row r="775" spans="3:5">
      <c r="C775" s="80">
        <v>45490</v>
      </c>
      <c r="D775" s="28">
        <v>3</v>
      </c>
      <c r="E775" s="28">
        <v>4.6364616589999998E-2</v>
      </c>
    </row>
    <row r="776" spans="3:5">
      <c r="C776" s="80">
        <v>45490</v>
      </c>
      <c r="D776" s="28">
        <v>30</v>
      </c>
      <c r="E776" s="28">
        <v>1.6998245209999999E-2</v>
      </c>
    </row>
    <row r="777" spans="3:5">
      <c r="C777" s="80">
        <v>45490</v>
      </c>
      <c r="D777" s="28">
        <v>6</v>
      </c>
      <c r="E777" s="28">
        <v>3.7210089010000003E-2</v>
      </c>
    </row>
    <row r="778" spans="3:5">
      <c r="C778" s="80">
        <v>45490</v>
      </c>
      <c r="D778" s="28">
        <v>1</v>
      </c>
      <c r="E778" s="28">
        <v>0.1205945157</v>
      </c>
    </row>
    <row r="779" spans="3:5">
      <c r="C779" s="80">
        <v>45490</v>
      </c>
      <c r="D779" s="28">
        <v>5</v>
      </c>
      <c r="E779" s="28">
        <v>4.04659718E-2</v>
      </c>
    </row>
    <row r="780" spans="3:5">
      <c r="C780" s="80">
        <v>45490</v>
      </c>
      <c r="D780" s="28">
        <v>14</v>
      </c>
      <c r="E780" s="28">
        <v>2.3277447730000001E-2</v>
      </c>
    </row>
    <row r="781" spans="3:5">
      <c r="C781" s="80">
        <v>45490</v>
      </c>
      <c r="D781" s="28">
        <v>2</v>
      </c>
      <c r="E781" s="28">
        <v>6.0783526079999997E-2</v>
      </c>
    </row>
    <row r="782" spans="3:5">
      <c r="C782" s="80">
        <v>45491</v>
      </c>
      <c r="D782" s="28">
        <v>30</v>
      </c>
      <c r="E782" s="28">
        <v>1.7671449969999999E-2</v>
      </c>
    </row>
    <row r="783" spans="3:5">
      <c r="C783" s="80">
        <v>45491</v>
      </c>
      <c r="D783" s="28">
        <v>60</v>
      </c>
      <c r="E783" s="28">
        <v>1.1375724550000001E-2</v>
      </c>
    </row>
    <row r="784" spans="3:5">
      <c r="C784" s="80">
        <v>45491</v>
      </c>
      <c r="D784" s="28">
        <v>5</v>
      </c>
      <c r="E784" s="28">
        <v>4.2507001279999998E-2</v>
      </c>
    </row>
    <row r="785" spans="3:5">
      <c r="C785" s="80">
        <v>45491</v>
      </c>
      <c r="D785" s="28">
        <v>4</v>
      </c>
      <c r="E785" s="28">
        <v>4.88461455E-2</v>
      </c>
    </row>
    <row r="786" spans="3:5">
      <c r="C786" s="80">
        <v>45491</v>
      </c>
      <c r="D786" s="28">
        <v>1</v>
      </c>
      <c r="E786" s="28">
        <v>0.114603912</v>
      </c>
    </row>
    <row r="787" spans="3:5">
      <c r="C787" s="80">
        <v>45491</v>
      </c>
      <c r="D787" s="28">
        <v>14</v>
      </c>
      <c r="E787" s="28">
        <v>2.3381021639999999E-2</v>
      </c>
    </row>
    <row r="788" spans="3:5">
      <c r="C788" s="80">
        <v>45491</v>
      </c>
      <c r="D788" s="28">
        <v>2</v>
      </c>
      <c r="E788" s="28">
        <v>6.2718450819999993E-2</v>
      </c>
    </row>
    <row r="789" spans="3:5">
      <c r="C789" s="80">
        <v>45491</v>
      </c>
      <c r="D789" s="28">
        <v>7</v>
      </c>
      <c r="E789" s="28">
        <v>3.6037600679999997E-2</v>
      </c>
    </row>
    <row r="790" spans="3:5">
      <c r="C790" s="80">
        <v>45491</v>
      </c>
      <c r="D790" s="28">
        <v>3</v>
      </c>
      <c r="E790" s="28">
        <v>5.2970931120000002E-2</v>
      </c>
    </row>
    <row r="791" spans="3:5">
      <c r="C791" s="80">
        <v>45491</v>
      </c>
      <c r="D791" s="28">
        <v>6</v>
      </c>
      <c r="E791" s="28">
        <v>3.8447343859999997E-2</v>
      </c>
    </row>
    <row r="792" spans="3:5">
      <c r="C792" s="80">
        <v>45492</v>
      </c>
      <c r="D792" s="28">
        <v>30</v>
      </c>
      <c r="E792" s="28">
        <v>1.875057166E-2</v>
      </c>
    </row>
    <row r="793" spans="3:5">
      <c r="C793" s="80">
        <v>45492</v>
      </c>
      <c r="D793" s="28">
        <v>1</v>
      </c>
      <c r="E793" s="28">
        <v>0.12894448</v>
      </c>
    </row>
    <row r="794" spans="3:5">
      <c r="C794" s="80">
        <v>45492</v>
      </c>
      <c r="D794" s="28">
        <v>7</v>
      </c>
      <c r="E794" s="28">
        <v>3.5900484769999998E-2</v>
      </c>
    </row>
    <row r="795" spans="3:5">
      <c r="C795" s="80">
        <v>45492</v>
      </c>
      <c r="D795" s="28">
        <v>6</v>
      </c>
      <c r="E795" s="28">
        <v>3.8347205709999999E-2</v>
      </c>
    </row>
    <row r="796" spans="3:5">
      <c r="C796" s="80">
        <v>45492</v>
      </c>
      <c r="D796" s="28">
        <v>60</v>
      </c>
      <c r="E796" s="28">
        <v>1.141040885E-2</v>
      </c>
    </row>
    <row r="797" spans="3:5">
      <c r="C797" s="80">
        <v>45492</v>
      </c>
      <c r="D797" s="28">
        <v>3</v>
      </c>
      <c r="E797" s="28">
        <v>5.4879721940000001E-2</v>
      </c>
    </row>
    <row r="798" spans="3:5">
      <c r="C798" s="80">
        <v>45492</v>
      </c>
      <c r="D798" s="28">
        <v>2</v>
      </c>
      <c r="E798" s="28">
        <v>7.0474709590000004E-2</v>
      </c>
    </row>
    <row r="799" spans="3:5">
      <c r="C799" s="80">
        <v>45492</v>
      </c>
      <c r="D799" s="28">
        <v>14</v>
      </c>
      <c r="E799" s="28">
        <v>2.405561145E-2</v>
      </c>
    </row>
    <row r="800" spans="3:5">
      <c r="C800" s="80">
        <v>45492</v>
      </c>
      <c r="D800" s="28">
        <v>4</v>
      </c>
      <c r="E800" s="28">
        <v>4.854568737E-2</v>
      </c>
    </row>
    <row r="801" spans="3:5">
      <c r="C801" s="80">
        <v>45492</v>
      </c>
      <c r="D801" s="28">
        <v>5</v>
      </c>
      <c r="E801" s="28">
        <v>4.0976859050000002E-2</v>
      </c>
    </row>
    <row r="802" spans="3:5">
      <c r="C802" s="80">
        <v>45493</v>
      </c>
      <c r="D802" s="28">
        <v>2</v>
      </c>
      <c r="E802" s="28">
        <v>7.3295953519999998E-2</v>
      </c>
    </row>
    <row r="803" spans="3:5">
      <c r="C803" s="80">
        <v>45493</v>
      </c>
      <c r="D803" s="28">
        <v>60</v>
      </c>
      <c r="E803" s="28">
        <v>1.092120966E-2</v>
      </c>
    </row>
    <row r="804" spans="3:5">
      <c r="C804" s="80">
        <v>45493</v>
      </c>
      <c r="D804" s="28">
        <v>30</v>
      </c>
      <c r="E804" s="28">
        <v>1.7766668919999999E-2</v>
      </c>
    </row>
    <row r="805" spans="3:5">
      <c r="C805" s="80">
        <v>45493</v>
      </c>
      <c r="D805" s="28">
        <v>5</v>
      </c>
      <c r="E805" s="28">
        <v>4.008196537E-2</v>
      </c>
    </row>
    <row r="806" spans="3:5">
      <c r="C806" s="80">
        <v>45493</v>
      </c>
      <c r="D806" s="28">
        <v>3</v>
      </c>
      <c r="E806" s="28">
        <v>5.5619356440000003E-2</v>
      </c>
    </row>
    <row r="807" spans="3:5">
      <c r="C807" s="80">
        <v>45493</v>
      </c>
      <c r="D807" s="28">
        <v>6</v>
      </c>
      <c r="E807" s="28">
        <v>3.8258010760000002E-2</v>
      </c>
    </row>
    <row r="808" spans="3:5">
      <c r="C808" s="80">
        <v>45493</v>
      </c>
      <c r="D808" s="28">
        <v>4</v>
      </c>
      <c r="E808" s="28">
        <v>4.6612173210000003E-2</v>
      </c>
    </row>
    <row r="809" spans="3:5">
      <c r="C809" s="80">
        <v>45493</v>
      </c>
      <c r="D809" s="28">
        <v>7</v>
      </c>
      <c r="E809" s="28">
        <v>3.548830192E-2</v>
      </c>
    </row>
    <row r="810" spans="3:5">
      <c r="C810" s="80">
        <v>45493</v>
      </c>
      <c r="D810" s="28">
        <v>14</v>
      </c>
      <c r="E810" s="28">
        <v>2.645860073E-2</v>
      </c>
    </row>
    <row r="811" spans="3:5">
      <c r="C811" s="80">
        <v>45493</v>
      </c>
      <c r="D811" s="28">
        <v>1</v>
      </c>
      <c r="E811" s="28">
        <v>0.12925307929999999</v>
      </c>
    </row>
    <row r="812" spans="3:5">
      <c r="C812" s="80">
        <v>45494</v>
      </c>
      <c r="D812" s="28">
        <v>5</v>
      </c>
      <c r="E812" s="28">
        <v>3.997648442E-2</v>
      </c>
    </row>
    <row r="813" spans="3:5">
      <c r="C813" s="80">
        <v>45494</v>
      </c>
      <c r="D813" s="28">
        <v>2</v>
      </c>
      <c r="E813" s="28">
        <v>7.1890484589999998E-2</v>
      </c>
    </row>
    <row r="814" spans="3:5">
      <c r="C814" s="80">
        <v>45494</v>
      </c>
      <c r="D814" s="28">
        <v>3</v>
      </c>
      <c r="E814" s="28">
        <v>5.2658100280000002E-2</v>
      </c>
    </row>
    <row r="815" spans="3:5">
      <c r="C815" s="80">
        <v>45494</v>
      </c>
      <c r="D815" s="28">
        <v>6</v>
      </c>
      <c r="E815" s="28">
        <v>3.9115646259999998E-2</v>
      </c>
    </row>
    <row r="816" spans="3:5">
      <c r="C816" s="80">
        <v>45494</v>
      </c>
      <c r="D816" s="28">
        <v>7</v>
      </c>
      <c r="E816" s="28">
        <v>4.0018476529999999E-2</v>
      </c>
    </row>
    <row r="817" spans="3:5">
      <c r="C817" s="80">
        <v>45494</v>
      </c>
      <c r="D817" s="28">
        <v>1</v>
      </c>
      <c r="E817" s="28">
        <v>0.13214915599999999</v>
      </c>
    </row>
    <row r="818" spans="3:5">
      <c r="C818" s="80">
        <v>45494</v>
      </c>
      <c r="D818" s="28">
        <v>14</v>
      </c>
      <c r="E818" s="28">
        <v>2.9268497519999999E-2</v>
      </c>
    </row>
    <row r="819" spans="3:5">
      <c r="C819" s="80">
        <v>45494</v>
      </c>
      <c r="D819" s="28">
        <v>60</v>
      </c>
      <c r="E819" s="28">
        <v>1.1967750060000001E-2</v>
      </c>
    </row>
    <row r="820" spans="3:5">
      <c r="C820" s="80">
        <v>45494</v>
      </c>
      <c r="D820" s="28">
        <v>4</v>
      </c>
      <c r="E820" s="28">
        <v>4.5015537080000001E-2</v>
      </c>
    </row>
    <row r="821" spans="3:5">
      <c r="C821" s="80">
        <v>45494</v>
      </c>
      <c r="D821" s="28">
        <v>30</v>
      </c>
      <c r="E821" s="28">
        <v>1.6712857979999999E-2</v>
      </c>
    </row>
    <row r="822" spans="3:5">
      <c r="C822" s="80">
        <v>45495</v>
      </c>
      <c r="D822" s="28">
        <v>30</v>
      </c>
      <c r="E822" s="28">
        <v>1.579673035E-2</v>
      </c>
    </row>
    <row r="823" spans="3:5">
      <c r="C823" s="80">
        <v>45495</v>
      </c>
      <c r="D823" s="28">
        <v>14</v>
      </c>
      <c r="E823" s="28">
        <v>2.617687611E-2</v>
      </c>
    </row>
    <row r="824" spans="3:5">
      <c r="C824" s="80">
        <v>45495</v>
      </c>
      <c r="D824" s="28">
        <v>4</v>
      </c>
      <c r="E824" s="28">
        <v>4.4278116999999999E-2</v>
      </c>
    </row>
    <row r="825" spans="3:5">
      <c r="C825" s="80">
        <v>45495</v>
      </c>
      <c r="D825" s="28">
        <v>1</v>
      </c>
      <c r="E825" s="28">
        <v>0.12657080949999999</v>
      </c>
    </row>
    <row r="826" spans="3:5">
      <c r="C826" s="80">
        <v>45495</v>
      </c>
      <c r="D826" s="28">
        <v>7</v>
      </c>
      <c r="E826" s="28">
        <v>3.5257041560000001E-2</v>
      </c>
    </row>
    <row r="827" spans="3:5">
      <c r="C827" s="80">
        <v>45495</v>
      </c>
      <c r="D827" s="28">
        <v>60</v>
      </c>
      <c r="E827" s="28">
        <v>1.1483159349999999E-2</v>
      </c>
    </row>
    <row r="828" spans="3:5">
      <c r="C828" s="80">
        <v>45495</v>
      </c>
      <c r="D828" s="28">
        <v>5</v>
      </c>
      <c r="E828" s="28">
        <v>4.049635612E-2</v>
      </c>
    </row>
    <row r="829" spans="3:5">
      <c r="C829" s="80">
        <v>45495</v>
      </c>
      <c r="D829" s="28">
        <v>6</v>
      </c>
      <c r="E829" s="28">
        <v>3.9728185940000001E-2</v>
      </c>
    </row>
    <row r="830" spans="3:5">
      <c r="C830" s="80">
        <v>45495</v>
      </c>
      <c r="D830" s="28">
        <v>2</v>
      </c>
      <c r="E830" s="28">
        <v>6.9785306280000001E-2</v>
      </c>
    </row>
    <row r="831" spans="3:5">
      <c r="C831" s="80">
        <v>45495</v>
      </c>
      <c r="D831" s="28">
        <v>3</v>
      </c>
      <c r="E831" s="28">
        <v>5.1408311999999998E-2</v>
      </c>
    </row>
    <row r="832" spans="3:5">
      <c r="C832" s="80">
        <v>45496</v>
      </c>
      <c r="D832" s="28">
        <v>4</v>
      </c>
      <c r="E832" s="28">
        <v>4.5503621840000001E-2</v>
      </c>
    </row>
    <row r="833" spans="3:5">
      <c r="C833" s="80">
        <v>45496</v>
      </c>
      <c r="D833" s="28">
        <v>14</v>
      </c>
      <c r="E833" s="28">
        <v>2.2889224789999999E-2</v>
      </c>
    </row>
    <row r="834" spans="3:5">
      <c r="C834" s="80">
        <v>45496</v>
      </c>
      <c r="D834" s="28">
        <v>3</v>
      </c>
      <c r="E834" s="28">
        <v>5.3826976310000003E-2</v>
      </c>
    </row>
    <row r="835" spans="3:5">
      <c r="C835" s="80">
        <v>45496</v>
      </c>
      <c r="D835" s="28">
        <v>30</v>
      </c>
      <c r="E835" s="28">
        <v>1.6175575670000001E-2</v>
      </c>
    </row>
    <row r="836" spans="3:5">
      <c r="C836" s="80">
        <v>45496</v>
      </c>
      <c r="D836" s="28">
        <v>2</v>
      </c>
      <c r="E836" s="28">
        <v>7.0159596399999996E-2</v>
      </c>
    </row>
    <row r="837" spans="3:5">
      <c r="C837" s="80">
        <v>45496</v>
      </c>
      <c r="D837" s="28">
        <v>7</v>
      </c>
      <c r="E837" s="28">
        <v>3.41179011E-2</v>
      </c>
    </row>
    <row r="838" spans="3:5">
      <c r="C838" s="80">
        <v>45496</v>
      </c>
      <c r="D838" s="28">
        <v>60</v>
      </c>
      <c r="E838" s="28">
        <v>1.087532636E-2</v>
      </c>
    </row>
    <row r="839" spans="3:5">
      <c r="C839" s="80">
        <v>45496</v>
      </c>
      <c r="D839" s="28">
        <v>5</v>
      </c>
      <c r="E839" s="28">
        <v>4.2401994460000002E-2</v>
      </c>
    </row>
    <row r="840" spans="3:5">
      <c r="C840" s="80">
        <v>45496</v>
      </c>
      <c r="D840" s="28">
        <v>1</v>
      </c>
      <c r="E840" s="28">
        <v>0.1233780256</v>
      </c>
    </row>
    <row r="841" spans="3:5">
      <c r="C841" s="80">
        <v>45496</v>
      </c>
      <c r="D841" s="28">
        <v>6</v>
      </c>
      <c r="E841" s="28">
        <v>3.6807286860000003E-2</v>
      </c>
    </row>
    <row r="842" spans="3:5">
      <c r="C842" s="80">
        <v>45497</v>
      </c>
      <c r="D842" s="28">
        <v>30</v>
      </c>
      <c r="E842" s="28">
        <v>1.6021255920000001E-2</v>
      </c>
    </row>
    <row r="843" spans="3:5">
      <c r="C843" s="80">
        <v>45497</v>
      </c>
      <c r="D843" s="28">
        <v>14</v>
      </c>
      <c r="E843" s="28">
        <v>2.2346479490000001E-2</v>
      </c>
    </row>
    <row r="844" spans="3:5">
      <c r="C844" s="80">
        <v>45497</v>
      </c>
      <c r="D844" s="28">
        <v>1</v>
      </c>
      <c r="E844" s="28">
        <v>0.1233914302</v>
      </c>
    </row>
    <row r="845" spans="3:5">
      <c r="C845" s="80">
        <v>45497</v>
      </c>
      <c r="D845" s="28">
        <v>60</v>
      </c>
      <c r="E845" s="28">
        <v>1.179783079E-2</v>
      </c>
    </row>
    <row r="846" spans="3:5">
      <c r="C846" s="80">
        <v>45497</v>
      </c>
      <c r="D846" s="28">
        <v>2</v>
      </c>
      <c r="E846" s="28">
        <v>6.8903297439999997E-2</v>
      </c>
    </row>
    <row r="847" spans="3:5">
      <c r="C847" s="80">
        <v>45497</v>
      </c>
      <c r="D847" s="28">
        <v>3</v>
      </c>
      <c r="E847" s="28">
        <v>5.3179465830000001E-2</v>
      </c>
    </row>
    <row r="848" spans="3:5">
      <c r="C848" s="80">
        <v>45497</v>
      </c>
      <c r="D848" s="28">
        <v>6</v>
      </c>
      <c r="E848" s="28">
        <v>3.5413320640000003E-2</v>
      </c>
    </row>
    <row r="849" spans="3:5">
      <c r="C849" s="80">
        <v>45497</v>
      </c>
      <c r="D849" s="28">
        <v>5</v>
      </c>
      <c r="E849" s="28">
        <v>4.023159439E-2</v>
      </c>
    </row>
    <row r="850" spans="3:5">
      <c r="C850" s="80">
        <v>45497</v>
      </c>
      <c r="D850" s="28">
        <v>7</v>
      </c>
      <c r="E850" s="28">
        <v>3.1804572400000002E-2</v>
      </c>
    </row>
    <row r="851" spans="3:5">
      <c r="C851" s="80">
        <v>45497</v>
      </c>
      <c r="D851" s="28">
        <v>4</v>
      </c>
      <c r="E851" s="28">
        <v>4.4871413559999997E-2</v>
      </c>
    </row>
    <row r="852" spans="3:5">
      <c r="C852" s="80">
        <v>45498</v>
      </c>
      <c r="D852" s="28">
        <v>60</v>
      </c>
      <c r="E852" s="28">
        <v>9.1241456049999999E-3</v>
      </c>
    </row>
    <row r="853" spans="3:5">
      <c r="C853" s="80">
        <v>45498</v>
      </c>
      <c r="D853" s="28">
        <v>4</v>
      </c>
      <c r="E853" s="28">
        <v>4.0947385150000001E-2</v>
      </c>
    </row>
    <row r="854" spans="3:5">
      <c r="C854" s="80">
        <v>45498</v>
      </c>
      <c r="D854" s="28">
        <v>14</v>
      </c>
      <c r="E854" s="28">
        <v>2.0521379749999999E-2</v>
      </c>
    </row>
    <row r="855" spans="3:5">
      <c r="C855" s="80">
        <v>45498</v>
      </c>
      <c r="D855" s="28">
        <v>1</v>
      </c>
      <c r="E855" s="28">
        <v>0.12942298520000001</v>
      </c>
    </row>
    <row r="856" spans="3:5">
      <c r="C856" s="80">
        <v>45498</v>
      </c>
      <c r="D856" s="28">
        <v>7</v>
      </c>
      <c r="E856" s="28">
        <v>2.956604673E-2</v>
      </c>
    </row>
    <row r="857" spans="3:5">
      <c r="C857" s="80">
        <v>45498</v>
      </c>
      <c r="D857" s="28">
        <v>2</v>
      </c>
      <c r="E857" s="28">
        <v>6.6491813699999999E-2</v>
      </c>
    </row>
    <row r="858" spans="3:5">
      <c r="C858" s="80">
        <v>45498</v>
      </c>
      <c r="D858" s="28">
        <v>5</v>
      </c>
      <c r="E858" s="28">
        <v>3.4604991260000002E-2</v>
      </c>
    </row>
    <row r="859" spans="3:5">
      <c r="C859" s="80">
        <v>45498</v>
      </c>
      <c r="D859" s="28">
        <v>30</v>
      </c>
      <c r="E859" s="28">
        <v>1.2716579239999999E-2</v>
      </c>
    </row>
    <row r="860" spans="3:5">
      <c r="C860" s="80">
        <v>45498</v>
      </c>
      <c r="D860" s="28">
        <v>6</v>
      </c>
      <c r="E860" s="28">
        <v>3.2220632649999997E-2</v>
      </c>
    </row>
    <row r="861" spans="3:5">
      <c r="C861" s="80">
        <v>45498</v>
      </c>
      <c r="D861" s="28">
        <v>3</v>
      </c>
      <c r="E861" s="28">
        <v>5.1963121920000001E-2</v>
      </c>
    </row>
    <row r="862" spans="3:5">
      <c r="C862" s="80">
        <v>45499</v>
      </c>
      <c r="D862" s="28">
        <v>1</v>
      </c>
      <c r="E862" s="28">
        <v>0.1226258813</v>
      </c>
    </row>
    <row r="863" spans="3:5">
      <c r="C863" s="80">
        <v>45499</v>
      </c>
      <c r="D863" s="28">
        <v>4</v>
      </c>
      <c r="E863" s="28">
        <v>3.9257233119999999E-2</v>
      </c>
    </row>
    <row r="864" spans="3:5">
      <c r="C864" s="80">
        <v>45499</v>
      </c>
      <c r="D864" s="28">
        <v>3</v>
      </c>
      <c r="E864" s="28">
        <v>4.7989623869999998E-2</v>
      </c>
    </row>
    <row r="865" spans="3:5">
      <c r="C865" s="80">
        <v>45499</v>
      </c>
      <c r="D865" s="28">
        <v>2</v>
      </c>
      <c r="E865" s="28">
        <v>6.6533112460000002E-2</v>
      </c>
    </row>
    <row r="866" spans="3:5">
      <c r="C866" s="80">
        <v>45499</v>
      </c>
      <c r="D866" s="28">
        <v>5</v>
      </c>
      <c r="E866" s="28">
        <v>3.4659886219999998E-2</v>
      </c>
    </row>
    <row r="867" spans="3:5">
      <c r="C867" s="80">
        <v>45499</v>
      </c>
      <c r="D867" s="28">
        <v>14</v>
      </c>
      <c r="E867" s="28">
        <v>1.9121367390000001E-2</v>
      </c>
    </row>
    <row r="868" spans="3:5">
      <c r="C868" s="80">
        <v>45499</v>
      </c>
      <c r="D868" s="28">
        <v>60</v>
      </c>
      <c r="E868" s="28">
        <v>7.8206264209999994E-3</v>
      </c>
    </row>
    <row r="869" spans="3:5">
      <c r="C869" s="80">
        <v>45499</v>
      </c>
      <c r="D869" s="28">
        <v>7</v>
      </c>
      <c r="E869" s="28">
        <v>2.926635076E-2</v>
      </c>
    </row>
    <row r="870" spans="3:5">
      <c r="C870" s="80">
        <v>45499</v>
      </c>
      <c r="D870" s="28">
        <v>6</v>
      </c>
      <c r="E870" s="28">
        <v>3.1295347430000002E-2</v>
      </c>
    </row>
    <row r="871" spans="3:5">
      <c r="C871" s="80">
        <v>45499</v>
      </c>
      <c r="D871" s="28">
        <v>30</v>
      </c>
      <c r="E871" s="28">
        <v>1.263628308E-2</v>
      </c>
    </row>
    <row r="872" spans="3:5">
      <c r="C872" s="80">
        <v>45500</v>
      </c>
      <c r="D872" s="28">
        <v>60</v>
      </c>
      <c r="E872" s="28">
        <v>8.1838253760000007E-3</v>
      </c>
    </row>
    <row r="873" spans="3:5">
      <c r="C873" s="80">
        <v>45500</v>
      </c>
      <c r="D873" s="28">
        <v>30</v>
      </c>
      <c r="E873" s="28">
        <v>1.478112564E-2</v>
      </c>
    </row>
    <row r="874" spans="3:5">
      <c r="C874" s="80">
        <v>45500</v>
      </c>
      <c r="D874" s="28">
        <v>1</v>
      </c>
      <c r="E874" s="28">
        <v>0.12380184299999999</v>
      </c>
    </row>
    <row r="875" spans="3:5">
      <c r="C875" s="80">
        <v>45500</v>
      </c>
      <c r="D875" s="28">
        <v>2</v>
      </c>
      <c r="E875" s="28">
        <v>6.3884077900000003E-2</v>
      </c>
    </row>
    <row r="876" spans="3:5">
      <c r="C876" s="80">
        <v>45500</v>
      </c>
      <c r="D876" s="28">
        <v>4</v>
      </c>
      <c r="E876" s="28">
        <v>4.0945568969999999E-2</v>
      </c>
    </row>
    <row r="877" spans="3:5">
      <c r="C877" s="80">
        <v>45500</v>
      </c>
      <c r="D877" s="28">
        <v>6</v>
      </c>
      <c r="E877" s="28">
        <v>3.1320649950000001E-2</v>
      </c>
    </row>
    <row r="878" spans="3:5">
      <c r="C878" s="80">
        <v>45500</v>
      </c>
      <c r="D878" s="28">
        <v>5</v>
      </c>
      <c r="E878" s="28">
        <v>3.5273741689999999E-2</v>
      </c>
    </row>
    <row r="879" spans="3:5">
      <c r="C879" s="80">
        <v>45500</v>
      </c>
      <c r="D879" s="28">
        <v>14</v>
      </c>
      <c r="E879" s="28">
        <v>2.029430041E-2</v>
      </c>
    </row>
    <row r="880" spans="3:5">
      <c r="C880" s="80">
        <v>45500</v>
      </c>
      <c r="D880" s="28">
        <v>3</v>
      </c>
      <c r="E880" s="28">
        <v>4.8428679090000003E-2</v>
      </c>
    </row>
    <row r="881" spans="3:5">
      <c r="C881" s="80">
        <v>45500</v>
      </c>
      <c r="D881" s="28">
        <v>7</v>
      </c>
      <c r="E881" s="28">
        <v>3.0408398010000001E-2</v>
      </c>
    </row>
    <row r="882" spans="3:5">
      <c r="C882" s="80">
        <v>45501</v>
      </c>
      <c r="D882" s="28">
        <v>7</v>
      </c>
      <c r="E882" s="28">
        <v>3.2806619609999997E-2</v>
      </c>
    </row>
    <row r="883" spans="3:5">
      <c r="C883" s="80">
        <v>45501</v>
      </c>
      <c r="D883" s="28">
        <v>2</v>
      </c>
      <c r="E883" s="28">
        <v>6.4814932140000003E-2</v>
      </c>
    </row>
    <row r="884" spans="3:5">
      <c r="C884" s="80">
        <v>45501</v>
      </c>
      <c r="D884" s="28">
        <v>14</v>
      </c>
      <c r="E884" s="28">
        <v>2.2821445320000001E-2</v>
      </c>
    </row>
    <row r="885" spans="3:5">
      <c r="C885" s="80">
        <v>45501</v>
      </c>
      <c r="D885" s="28">
        <v>3</v>
      </c>
      <c r="E885" s="28">
        <v>4.7378891749999999E-2</v>
      </c>
    </row>
    <row r="886" spans="3:5">
      <c r="C886" s="80">
        <v>45501</v>
      </c>
      <c r="D886" s="28">
        <v>30</v>
      </c>
      <c r="E886" s="28">
        <v>1.2494139410000001E-2</v>
      </c>
    </row>
    <row r="887" spans="3:5">
      <c r="C887" s="80">
        <v>45501</v>
      </c>
      <c r="D887" s="28">
        <v>6</v>
      </c>
      <c r="E887" s="28">
        <v>3.3161422760000003E-2</v>
      </c>
    </row>
    <row r="888" spans="3:5">
      <c r="C888" s="80">
        <v>45501</v>
      </c>
      <c r="D888" s="28">
        <v>4</v>
      </c>
      <c r="E888" s="28">
        <v>4.0206799549999998E-2</v>
      </c>
    </row>
    <row r="889" spans="3:5">
      <c r="C889" s="80">
        <v>45501</v>
      </c>
      <c r="D889" s="28">
        <v>1</v>
      </c>
      <c r="E889" s="28">
        <v>0.12148206340000001</v>
      </c>
    </row>
    <row r="890" spans="3:5">
      <c r="C890" s="80">
        <v>45501</v>
      </c>
      <c r="D890" s="28">
        <v>60</v>
      </c>
      <c r="E890" s="28">
        <v>8.718020198E-3</v>
      </c>
    </row>
    <row r="891" spans="3:5">
      <c r="C891" s="80">
        <v>45501</v>
      </c>
      <c r="D891" s="28">
        <v>5</v>
      </c>
      <c r="E891" s="28">
        <v>3.6418008789999998E-2</v>
      </c>
    </row>
    <row r="892" spans="3:5">
      <c r="C892" s="80">
        <v>45502</v>
      </c>
      <c r="D892" s="28">
        <v>5</v>
      </c>
      <c r="E892" s="28">
        <v>3.5751344210000001E-2</v>
      </c>
    </row>
    <row r="893" spans="3:5">
      <c r="C893" s="80">
        <v>45502</v>
      </c>
      <c r="D893" s="28">
        <v>2</v>
      </c>
      <c r="E893" s="28">
        <v>6.4451466839999999E-2</v>
      </c>
    </row>
    <row r="894" spans="3:5">
      <c r="C894" s="80">
        <v>45502</v>
      </c>
      <c r="D894" s="28">
        <v>4</v>
      </c>
      <c r="E894" s="28">
        <v>4.0585793789999998E-2</v>
      </c>
    </row>
    <row r="895" spans="3:5">
      <c r="C895" s="80">
        <v>45502</v>
      </c>
      <c r="D895" s="28">
        <v>30</v>
      </c>
      <c r="E895" s="28">
        <v>1.1649844350000001E-2</v>
      </c>
    </row>
    <row r="896" spans="3:5">
      <c r="C896" s="80">
        <v>45502</v>
      </c>
      <c r="D896" s="28">
        <v>3</v>
      </c>
      <c r="E896" s="28">
        <v>4.8261956420000002E-2</v>
      </c>
    </row>
    <row r="897" spans="3:5">
      <c r="C897" s="80">
        <v>45502</v>
      </c>
      <c r="D897" s="28">
        <v>1</v>
      </c>
      <c r="E897" s="28">
        <v>0.12292472409999999</v>
      </c>
    </row>
    <row r="898" spans="3:5">
      <c r="C898" s="80">
        <v>45502</v>
      </c>
      <c r="D898" s="28">
        <v>60</v>
      </c>
      <c r="E898" s="28">
        <v>8.2303556270000005E-3</v>
      </c>
    </row>
    <row r="899" spans="3:5">
      <c r="C899" s="80">
        <v>45502</v>
      </c>
      <c r="D899" s="28">
        <v>6</v>
      </c>
      <c r="E899" s="28">
        <v>3.3581737569999999E-2</v>
      </c>
    </row>
    <row r="900" spans="3:5">
      <c r="C900" s="80">
        <v>45502</v>
      </c>
      <c r="D900" s="28">
        <v>14</v>
      </c>
      <c r="E900" s="28">
        <v>2.2721913029999999E-2</v>
      </c>
    </row>
    <row r="901" spans="3:5">
      <c r="C901" s="80">
        <v>45502</v>
      </c>
      <c r="D901" s="28">
        <v>7</v>
      </c>
      <c r="E901" s="28">
        <v>3.2202150739999998E-2</v>
      </c>
    </row>
    <row r="902" spans="3:5">
      <c r="C902" s="80">
        <v>45503</v>
      </c>
      <c r="D902" s="28">
        <v>4</v>
      </c>
      <c r="E902" s="28">
        <v>3.9461840349999999E-2</v>
      </c>
    </row>
    <row r="903" spans="3:5">
      <c r="C903" s="80">
        <v>45503</v>
      </c>
      <c r="D903" s="28">
        <v>6</v>
      </c>
      <c r="E903" s="28">
        <v>3.3941023270000002E-2</v>
      </c>
    </row>
    <row r="904" spans="3:5">
      <c r="C904" s="80">
        <v>45503</v>
      </c>
      <c r="D904" s="28">
        <v>3</v>
      </c>
      <c r="E904" s="28">
        <v>4.8943243599999998E-2</v>
      </c>
    </row>
    <row r="905" spans="3:5">
      <c r="C905" s="80">
        <v>45503</v>
      </c>
      <c r="D905" s="28">
        <v>14</v>
      </c>
      <c r="E905" s="28">
        <v>1.959890064E-2</v>
      </c>
    </row>
    <row r="906" spans="3:5">
      <c r="C906" s="80">
        <v>45503</v>
      </c>
      <c r="D906" s="28">
        <v>30</v>
      </c>
      <c r="E906" s="28">
        <v>1.1677728300000001E-2</v>
      </c>
    </row>
    <row r="907" spans="3:5">
      <c r="C907" s="80">
        <v>45503</v>
      </c>
      <c r="D907" s="28">
        <v>5</v>
      </c>
      <c r="E907" s="28">
        <v>3.7097490429999998E-2</v>
      </c>
    </row>
    <row r="908" spans="3:5">
      <c r="C908" s="80">
        <v>45503</v>
      </c>
      <c r="D908" s="28">
        <v>2</v>
      </c>
      <c r="E908" s="28">
        <v>6.5325668200000006E-2</v>
      </c>
    </row>
    <row r="909" spans="3:5">
      <c r="C909" s="80">
        <v>45503</v>
      </c>
      <c r="D909" s="28">
        <v>60</v>
      </c>
      <c r="E909" s="28">
        <v>7.8491616759999994E-3</v>
      </c>
    </row>
    <row r="910" spans="3:5">
      <c r="C910" s="80">
        <v>45503</v>
      </c>
      <c r="D910" s="28">
        <v>1</v>
      </c>
      <c r="E910" s="28">
        <v>0.1184455299</v>
      </c>
    </row>
    <row r="911" spans="3:5">
      <c r="C911" s="80">
        <v>45503</v>
      </c>
      <c r="D911" s="28">
        <v>7</v>
      </c>
      <c r="E911" s="28">
        <v>2.8900277240000001E-2</v>
      </c>
    </row>
    <row r="912" spans="3:5">
      <c r="C912" s="80">
        <v>45504</v>
      </c>
      <c r="D912" s="28">
        <v>14</v>
      </c>
      <c r="E912" s="28">
        <v>2.1232744689999999E-2</v>
      </c>
    </row>
    <row r="913" spans="3:5">
      <c r="C913" s="80">
        <v>45504</v>
      </c>
      <c r="D913" s="28">
        <v>7</v>
      </c>
      <c r="E913" s="28">
        <v>2.9699153360000001E-2</v>
      </c>
    </row>
    <row r="914" spans="3:5">
      <c r="C914" s="80">
        <v>45504</v>
      </c>
      <c r="D914" s="28">
        <v>3</v>
      </c>
      <c r="E914" s="28">
        <v>4.9790193199999999E-2</v>
      </c>
    </row>
    <row r="915" spans="3:5">
      <c r="C915" s="80">
        <v>45504</v>
      </c>
      <c r="D915" s="28">
        <v>1</v>
      </c>
      <c r="E915" s="28">
        <v>0.1092922913</v>
      </c>
    </row>
    <row r="916" spans="3:5">
      <c r="C916" s="80">
        <v>45504</v>
      </c>
      <c r="D916" s="28">
        <v>5</v>
      </c>
      <c r="E916" s="28">
        <v>3.871417345E-2</v>
      </c>
    </row>
    <row r="917" spans="3:5">
      <c r="C917" s="80">
        <v>45504</v>
      </c>
      <c r="D917" s="28">
        <v>2</v>
      </c>
      <c r="E917" s="28">
        <v>6.5892679740000001E-2</v>
      </c>
    </row>
    <row r="918" spans="3:5">
      <c r="C918" s="80">
        <v>45504</v>
      </c>
      <c r="D918" s="28">
        <v>30</v>
      </c>
      <c r="E918" s="28">
        <v>1.3833904189999999E-2</v>
      </c>
    </row>
    <row r="919" spans="3:5">
      <c r="C919" s="80">
        <v>45504</v>
      </c>
      <c r="D919" s="28">
        <v>6</v>
      </c>
      <c r="E919" s="28">
        <v>3.113740492E-2</v>
      </c>
    </row>
    <row r="920" spans="3:5">
      <c r="C920" s="80">
        <v>45504</v>
      </c>
      <c r="D920" s="28">
        <v>4</v>
      </c>
      <c r="E920" s="28">
        <v>4.293996412E-2</v>
      </c>
    </row>
    <row r="921" spans="3:5">
      <c r="C921" s="80">
        <v>45504</v>
      </c>
      <c r="D921" s="28">
        <v>60</v>
      </c>
      <c r="E921" s="28">
        <v>8.9853654200000004E-3</v>
      </c>
    </row>
    <row r="922" spans="3:5">
      <c r="C922" s="80">
        <v>45505</v>
      </c>
      <c r="D922" s="28">
        <v>60</v>
      </c>
      <c r="E922" s="28">
        <v>1.1759100850000001E-2</v>
      </c>
    </row>
    <row r="923" spans="3:5">
      <c r="C923" s="80">
        <v>45505</v>
      </c>
      <c r="D923" s="28">
        <v>7</v>
      </c>
      <c r="E923" s="28">
        <v>3.3609805749999999E-2</v>
      </c>
    </row>
    <row r="924" spans="3:5">
      <c r="C924" s="80">
        <v>45505</v>
      </c>
      <c r="D924" s="28">
        <v>2</v>
      </c>
      <c r="E924" s="28">
        <v>6.8194122620000006E-2</v>
      </c>
    </row>
    <row r="925" spans="3:5">
      <c r="C925" s="80">
        <v>45505</v>
      </c>
      <c r="D925" s="28">
        <v>3</v>
      </c>
      <c r="E925" s="28">
        <v>5.7366221279999997E-2</v>
      </c>
    </row>
    <row r="926" spans="3:5">
      <c r="C926" s="80">
        <v>45505</v>
      </c>
      <c r="D926" s="28">
        <v>5</v>
      </c>
      <c r="E926" s="28">
        <v>4.1297615699999998E-2</v>
      </c>
    </row>
    <row r="927" spans="3:5">
      <c r="C927" s="80">
        <v>45505</v>
      </c>
      <c r="D927" s="28">
        <v>4</v>
      </c>
      <c r="E927" s="28">
        <v>4.7296273040000003E-2</v>
      </c>
    </row>
    <row r="928" spans="3:5">
      <c r="C928" s="80">
        <v>45505</v>
      </c>
      <c r="D928" s="28">
        <v>30</v>
      </c>
      <c r="E928" s="28">
        <v>1.6718279660000002E-2</v>
      </c>
    </row>
    <row r="929" spans="3:5">
      <c r="C929" s="80">
        <v>45505</v>
      </c>
      <c r="D929" s="28">
        <v>14</v>
      </c>
      <c r="E929" s="28">
        <v>2.529397752E-2</v>
      </c>
    </row>
    <row r="930" spans="3:5">
      <c r="C930" s="80">
        <v>45505</v>
      </c>
      <c r="D930" s="28">
        <v>1</v>
      </c>
      <c r="E930" s="28">
        <v>0.11544708400000001</v>
      </c>
    </row>
    <row r="931" spans="3:5">
      <c r="C931" s="80">
        <v>45505</v>
      </c>
      <c r="D931" s="28">
        <v>6</v>
      </c>
      <c r="E931" s="28">
        <v>3.7659440850000003E-2</v>
      </c>
    </row>
    <row r="932" spans="3:5">
      <c r="C932" s="80">
        <v>45506</v>
      </c>
      <c r="D932" s="28">
        <v>60</v>
      </c>
      <c r="E932" s="28">
        <v>1.1922221699999999E-2</v>
      </c>
    </row>
    <row r="933" spans="3:5">
      <c r="C933" s="80">
        <v>45506</v>
      </c>
      <c r="D933" s="28">
        <v>2</v>
      </c>
      <c r="E933" s="28">
        <v>7.3378435919999999E-2</v>
      </c>
    </row>
    <row r="934" spans="3:5">
      <c r="C934" s="80">
        <v>45506</v>
      </c>
      <c r="D934" s="28">
        <v>5</v>
      </c>
      <c r="E934" s="28">
        <v>4.347826087E-2</v>
      </c>
    </row>
    <row r="935" spans="3:5">
      <c r="C935" s="80">
        <v>45506</v>
      </c>
      <c r="D935" s="28">
        <v>14</v>
      </c>
      <c r="E935" s="28">
        <v>2.6966930029999999E-2</v>
      </c>
    </row>
    <row r="936" spans="3:5">
      <c r="C936" s="80">
        <v>45506</v>
      </c>
      <c r="D936" s="28">
        <v>1</v>
      </c>
      <c r="E936" s="28">
        <v>0.1217060132</v>
      </c>
    </row>
    <row r="937" spans="3:5">
      <c r="C937" s="80">
        <v>45506</v>
      </c>
      <c r="D937" s="28">
        <v>6</v>
      </c>
      <c r="E937" s="28">
        <v>3.8841841320000001E-2</v>
      </c>
    </row>
    <row r="938" spans="3:5">
      <c r="C938" s="80">
        <v>45506</v>
      </c>
      <c r="D938" s="28">
        <v>30</v>
      </c>
      <c r="E938" s="28">
        <v>1.9302644649999999E-2</v>
      </c>
    </row>
    <row r="939" spans="3:5">
      <c r="C939" s="80">
        <v>45506</v>
      </c>
      <c r="D939" s="28">
        <v>3</v>
      </c>
      <c r="E939" s="28">
        <v>5.9421866869999999E-2</v>
      </c>
    </row>
    <row r="940" spans="3:5">
      <c r="C940" s="80">
        <v>45506</v>
      </c>
      <c r="D940" s="28">
        <v>4</v>
      </c>
      <c r="E940" s="28">
        <v>4.6340540280000002E-2</v>
      </c>
    </row>
    <row r="941" spans="3:5">
      <c r="C941" s="80">
        <v>45506</v>
      </c>
      <c r="D941" s="28">
        <v>7</v>
      </c>
      <c r="E941" s="28">
        <v>3.6499976339999997E-2</v>
      </c>
    </row>
    <row r="942" spans="3:5">
      <c r="C942" s="80">
        <v>45507</v>
      </c>
      <c r="D942" s="28">
        <v>6</v>
      </c>
      <c r="E942" s="28">
        <v>3.8167414599999998E-2</v>
      </c>
    </row>
    <row r="943" spans="3:5">
      <c r="C943" s="80">
        <v>45507</v>
      </c>
      <c r="D943" s="28">
        <v>14</v>
      </c>
      <c r="E943" s="28">
        <v>2.7887169149999998E-2</v>
      </c>
    </row>
    <row r="944" spans="3:5">
      <c r="C944" s="80">
        <v>45507</v>
      </c>
      <c r="D944" s="28">
        <v>3</v>
      </c>
      <c r="E944" s="28">
        <v>5.5659858960000003E-2</v>
      </c>
    </row>
    <row r="945" spans="3:5">
      <c r="C945" s="80">
        <v>45507</v>
      </c>
      <c r="D945" s="28">
        <v>4</v>
      </c>
      <c r="E945" s="28">
        <v>4.6135177210000003E-2</v>
      </c>
    </row>
    <row r="946" spans="3:5">
      <c r="C946" s="80">
        <v>45507</v>
      </c>
      <c r="D946" s="28">
        <v>7</v>
      </c>
      <c r="E946" s="28">
        <v>3.8030039379999998E-2</v>
      </c>
    </row>
    <row r="947" spans="3:5">
      <c r="C947" s="80">
        <v>45507</v>
      </c>
      <c r="D947" s="28">
        <v>5</v>
      </c>
      <c r="E947" s="28">
        <v>4.283817199E-2</v>
      </c>
    </row>
    <row r="948" spans="3:5">
      <c r="C948" s="80">
        <v>45507</v>
      </c>
      <c r="D948" s="28">
        <v>60</v>
      </c>
      <c r="E948" s="28">
        <v>1.2203498490000001E-2</v>
      </c>
    </row>
    <row r="949" spans="3:5">
      <c r="C949" s="80">
        <v>45507</v>
      </c>
      <c r="D949" s="28">
        <v>1</v>
      </c>
      <c r="E949" s="28">
        <v>0.12917849619999999</v>
      </c>
    </row>
    <row r="950" spans="3:5">
      <c r="C950" s="80">
        <v>45507</v>
      </c>
      <c r="D950" s="28">
        <v>2</v>
      </c>
      <c r="E950" s="28">
        <v>7.4548951370000005E-2</v>
      </c>
    </row>
    <row r="951" spans="3:5">
      <c r="C951" s="80">
        <v>45507</v>
      </c>
      <c r="D951" s="28">
        <v>30</v>
      </c>
      <c r="E951" s="28">
        <v>1.9782031320000001E-2</v>
      </c>
    </row>
    <row r="952" spans="3:5">
      <c r="C952" s="80">
        <v>45508</v>
      </c>
      <c r="D952" s="28">
        <v>6</v>
      </c>
      <c r="E952" s="28">
        <v>4.0522415950000001E-2</v>
      </c>
    </row>
    <row r="953" spans="3:5">
      <c r="C953" s="80">
        <v>45508</v>
      </c>
      <c r="D953" s="28">
        <v>4</v>
      </c>
      <c r="E953" s="28">
        <v>4.7096589780000003E-2</v>
      </c>
    </row>
    <row r="954" spans="3:5">
      <c r="C954" s="80">
        <v>45508</v>
      </c>
      <c r="D954" s="28">
        <v>1</v>
      </c>
      <c r="E954" s="28">
        <v>0.1316153998</v>
      </c>
    </row>
    <row r="955" spans="3:5">
      <c r="C955" s="80">
        <v>45508</v>
      </c>
      <c r="D955" s="28">
        <v>30</v>
      </c>
      <c r="E955" s="28">
        <v>1.7501813939999999E-2</v>
      </c>
    </row>
    <row r="956" spans="3:5">
      <c r="C956" s="80">
        <v>45508</v>
      </c>
      <c r="D956" s="28">
        <v>60</v>
      </c>
      <c r="E956" s="28">
        <v>1.180712825E-2</v>
      </c>
    </row>
    <row r="957" spans="3:5">
      <c r="C957" s="80">
        <v>45508</v>
      </c>
      <c r="D957" s="28">
        <v>14</v>
      </c>
      <c r="E957" s="28">
        <v>3.2167278639999998E-2</v>
      </c>
    </row>
    <row r="958" spans="3:5">
      <c r="C958" s="80">
        <v>45508</v>
      </c>
      <c r="D958" s="28">
        <v>7</v>
      </c>
      <c r="E958" s="28">
        <v>4.0786262400000002E-2</v>
      </c>
    </row>
    <row r="959" spans="3:5">
      <c r="C959" s="80">
        <v>45508</v>
      </c>
      <c r="D959" s="28">
        <v>3</v>
      </c>
      <c r="E959" s="28">
        <v>5.3890635649999998E-2</v>
      </c>
    </row>
    <row r="960" spans="3:5">
      <c r="C960" s="80">
        <v>45508</v>
      </c>
      <c r="D960" s="28">
        <v>5</v>
      </c>
      <c r="E960" s="28">
        <v>4.2809085109999999E-2</v>
      </c>
    </row>
    <row r="961" spans="3:5">
      <c r="C961" s="80">
        <v>45508</v>
      </c>
      <c r="D961" s="28">
        <v>2</v>
      </c>
      <c r="E961" s="28">
        <v>6.9677447729999994E-2</v>
      </c>
    </row>
    <row r="962" spans="3:5">
      <c r="C962" s="80">
        <v>45509</v>
      </c>
      <c r="D962" s="28">
        <v>1</v>
      </c>
      <c r="E962" s="28">
        <v>0.12308089279999999</v>
      </c>
    </row>
    <row r="963" spans="3:5">
      <c r="C963" s="80">
        <v>45509</v>
      </c>
      <c r="D963" s="28">
        <v>60</v>
      </c>
      <c r="E963" s="28">
        <v>1.156839978E-2</v>
      </c>
    </row>
    <row r="964" spans="3:5">
      <c r="C964" s="80">
        <v>45509</v>
      </c>
      <c r="D964" s="28">
        <v>30</v>
      </c>
      <c r="E964" s="28">
        <v>1.595493055E-2</v>
      </c>
    </row>
    <row r="965" spans="3:5">
      <c r="C965" s="80">
        <v>45509</v>
      </c>
      <c r="D965" s="28">
        <v>4</v>
      </c>
      <c r="E965" s="28">
        <v>4.4639401369999998E-2</v>
      </c>
    </row>
    <row r="966" spans="3:5">
      <c r="C966" s="80">
        <v>45509</v>
      </c>
      <c r="D966" s="28">
        <v>14</v>
      </c>
      <c r="E966" s="28">
        <v>2.662022105E-2</v>
      </c>
    </row>
    <row r="967" spans="3:5">
      <c r="C967" s="80">
        <v>45509</v>
      </c>
      <c r="D967" s="28">
        <v>6</v>
      </c>
      <c r="E967" s="28">
        <v>4.225261257E-2</v>
      </c>
    </row>
    <row r="968" spans="3:5">
      <c r="C968" s="80">
        <v>45509</v>
      </c>
      <c r="D968" s="28">
        <v>7</v>
      </c>
      <c r="E968" s="28">
        <v>3.9693802950000003E-2</v>
      </c>
    </row>
    <row r="969" spans="3:5">
      <c r="C969" s="80">
        <v>45509</v>
      </c>
      <c r="D969" s="28">
        <v>5</v>
      </c>
      <c r="E969" s="28">
        <v>4.1435513700000003E-2</v>
      </c>
    </row>
    <row r="970" spans="3:5">
      <c r="C970" s="80">
        <v>45509</v>
      </c>
      <c r="D970" s="28">
        <v>3</v>
      </c>
      <c r="E970" s="28">
        <v>5.3670494130000003E-2</v>
      </c>
    </row>
    <row r="971" spans="3:5">
      <c r="C971" s="80">
        <v>45509</v>
      </c>
      <c r="D971" s="28">
        <v>2</v>
      </c>
      <c r="E971" s="28">
        <v>6.8722315399999997E-2</v>
      </c>
    </row>
    <row r="972" spans="3:5">
      <c r="C972" s="80">
        <v>45510</v>
      </c>
      <c r="D972" s="28">
        <v>6</v>
      </c>
      <c r="E972" s="28">
        <v>4.04841217E-2</v>
      </c>
    </row>
    <row r="973" spans="3:5">
      <c r="C973" s="80">
        <v>45510</v>
      </c>
      <c r="D973" s="28">
        <v>4</v>
      </c>
      <c r="E973" s="28">
        <v>4.8389962250000002E-2</v>
      </c>
    </row>
    <row r="974" spans="3:5">
      <c r="C974" s="80">
        <v>45510</v>
      </c>
      <c r="D974" s="28">
        <v>5</v>
      </c>
      <c r="E974" s="28">
        <v>4.5858316679999997E-2</v>
      </c>
    </row>
    <row r="975" spans="3:5">
      <c r="C975" s="80">
        <v>45510</v>
      </c>
      <c r="D975" s="28">
        <v>60</v>
      </c>
      <c r="E975" s="28">
        <v>1.1792138569999999E-2</v>
      </c>
    </row>
    <row r="976" spans="3:5">
      <c r="C976" s="80">
        <v>45510</v>
      </c>
      <c r="D976" s="28">
        <v>30</v>
      </c>
      <c r="E976" s="28">
        <v>1.6855429710000001E-2</v>
      </c>
    </row>
    <row r="977" spans="3:5">
      <c r="C977" s="80">
        <v>45510</v>
      </c>
      <c r="D977" s="28">
        <v>14</v>
      </c>
      <c r="E977" s="28">
        <v>2.5471907620000001E-2</v>
      </c>
    </row>
    <row r="978" spans="3:5">
      <c r="C978" s="80">
        <v>45510</v>
      </c>
      <c r="D978" s="28">
        <v>3</v>
      </c>
      <c r="E978" s="28">
        <v>5.5407506109999997E-2</v>
      </c>
    </row>
    <row r="979" spans="3:5">
      <c r="C979" s="80">
        <v>45510</v>
      </c>
      <c r="D979" s="28">
        <v>2</v>
      </c>
      <c r="E979" s="28">
        <v>7.1530091049999994E-2</v>
      </c>
    </row>
    <row r="980" spans="3:5">
      <c r="C980" s="80">
        <v>45510</v>
      </c>
      <c r="D980" s="28">
        <v>7</v>
      </c>
      <c r="E980" s="28">
        <v>3.3755274260000002E-2</v>
      </c>
    </row>
    <row r="981" spans="3:5">
      <c r="C981" s="80">
        <v>45510</v>
      </c>
      <c r="D981" s="28">
        <v>1</v>
      </c>
      <c r="E981" s="28">
        <v>0.12647124139999999</v>
      </c>
    </row>
    <row r="982" spans="3:5">
      <c r="C982" s="80">
        <v>45511</v>
      </c>
      <c r="D982" s="28">
        <v>14</v>
      </c>
      <c r="E982" s="28">
        <v>2.4126924519999999E-2</v>
      </c>
    </row>
    <row r="983" spans="3:5">
      <c r="C983" s="80">
        <v>45511</v>
      </c>
      <c r="D983" s="28">
        <v>4</v>
      </c>
      <c r="E983" s="28">
        <v>5.0788584300000002E-2</v>
      </c>
    </row>
    <row r="984" spans="3:5">
      <c r="C984" s="80">
        <v>45511</v>
      </c>
      <c r="D984" s="28">
        <v>3</v>
      </c>
      <c r="E984" s="28">
        <v>5.77356365E-2</v>
      </c>
    </row>
    <row r="985" spans="3:5">
      <c r="C985" s="80">
        <v>45511</v>
      </c>
      <c r="D985" s="28">
        <v>6</v>
      </c>
      <c r="E985" s="28">
        <v>3.860777319E-2</v>
      </c>
    </row>
    <row r="986" spans="3:5">
      <c r="C986" s="80">
        <v>45511</v>
      </c>
      <c r="D986" s="28">
        <v>7</v>
      </c>
      <c r="E986" s="28">
        <v>3.5110777320000001E-2</v>
      </c>
    </row>
    <row r="987" spans="3:5">
      <c r="C987" s="80">
        <v>45511</v>
      </c>
      <c r="D987" s="28">
        <v>60</v>
      </c>
      <c r="E987" s="28">
        <v>1.279102516E-2</v>
      </c>
    </row>
    <row r="988" spans="3:5">
      <c r="C988" s="80">
        <v>45511</v>
      </c>
      <c r="D988" s="28">
        <v>5</v>
      </c>
      <c r="E988" s="28">
        <v>4.4850732259999998E-2</v>
      </c>
    </row>
    <row r="989" spans="3:5">
      <c r="C989" s="80">
        <v>45511</v>
      </c>
      <c r="D989" s="28">
        <v>1</v>
      </c>
      <c r="E989" s="28">
        <v>0.1251877582</v>
      </c>
    </row>
    <row r="990" spans="3:5">
      <c r="C990" s="80">
        <v>45511</v>
      </c>
      <c r="D990" s="28">
        <v>30</v>
      </c>
      <c r="E990" s="28">
        <v>1.586556515E-2</v>
      </c>
    </row>
    <row r="991" spans="3:5">
      <c r="C991" s="80">
        <v>45511</v>
      </c>
      <c r="D991" s="28">
        <v>2</v>
      </c>
      <c r="E991" s="28">
        <v>7.3178745779999999E-2</v>
      </c>
    </row>
    <row r="992" spans="3:5">
      <c r="C992" s="80">
        <v>45512</v>
      </c>
      <c r="D992" s="28">
        <v>30</v>
      </c>
      <c r="E992" s="28">
        <v>1.7355332599999999E-2</v>
      </c>
    </row>
    <row r="993" spans="3:5">
      <c r="C993" s="80">
        <v>45512</v>
      </c>
      <c r="D993" s="28">
        <v>6</v>
      </c>
      <c r="E993" s="28">
        <v>3.9370453139999997E-2</v>
      </c>
    </row>
    <row r="994" spans="3:5">
      <c r="C994" s="80">
        <v>45512</v>
      </c>
      <c r="D994" s="28">
        <v>14</v>
      </c>
      <c r="E994" s="28">
        <v>2.61994199E-2</v>
      </c>
    </row>
    <row r="995" spans="3:5">
      <c r="C995" s="80">
        <v>45512</v>
      </c>
      <c r="D995" s="28">
        <v>3</v>
      </c>
      <c r="E995" s="28">
        <v>5.9721363700000002E-2</v>
      </c>
    </row>
    <row r="996" spans="3:5">
      <c r="C996" s="80">
        <v>45512</v>
      </c>
      <c r="D996" s="28">
        <v>5</v>
      </c>
      <c r="E996" s="28">
        <v>4.2865294089999999E-2</v>
      </c>
    </row>
    <row r="997" spans="3:5">
      <c r="C997" s="80">
        <v>45512</v>
      </c>
      <c r="D997" s="28">
        <v>2</v>
      </c>
      <c r="E997" s="28">
        <v>7.2321810659999999E-2</v>
      </c>
    </row>
    <row r="998" spans="3:5">
      <c r="C998" s="80">
        <v>45512</v>
      </c>
      <c r="D998" s="28">
        <v>4</v>
      </c>
      <c r="E998" s="28">
        <v>5.1352764969999999E-2</v>
      </c>
    </row>
    <row r="999" spans="3:5">
      <c r="C999" s="80">
        <v>45512</v>
      </c>
      <c r="D999" s="28">
        <v>60</v>
      </c>
      <c r="E999" s="28">
        <v>1.176834197E-2</v>
      </c>
    </row>
    <row r="1000" spans="3:5">
      <c r="C1000" s="80">
        <v>45512</v>
      </c>
      <c r="D1000" s="28">
        <v>1</v>
      </c>
      <c r="E1000" s="28">
        <v>0.12785887500000001</v>
      </c>
    </row>
    <row r="1001" spans="3:5">
      <c r="C1001" s="80">
        <v>45512</v>
      </c>
      <c r="D1001" s="28">
        <v>7</v>
      </c>
      <c r="E1001" s="28">
        <v>3.6921687029999997E-2</v>
      </c>
    </row>
    <row r="1002" spans="3:5">
      <c r="C1002" s="80">
        <v>45513</v>
      </c>
      <c r="D1002" s="28">
        <v>6</v>
      </c>
      <c r="E1002" s="28">
        <v>4.2537906969999997E-2</v>
      </c>
    </row>
    <row r="1003" spans="3:5">
      <c r="C1003" s="80">
        <v>45513</v>
      </c>
      <c r="D1003" s="28">
        <v>7</v>
      </c>
      <c r="E1003" s="28">
        <v>4.025450907E-2</v>
      </c>
    </row>
    <row r="1004" spans="3:5">
      <c r="C1004" s="80">
        <v>45513</v>
      </c>
      <c r="D1004" s="28">
        <v>2</v>
      </c>
      <c r="E1004" s="28">
        <v>7.6301408520000003E-2</v>
      </c>
    </row>
    <row r="1005" spans="3:5">
      <c r="C1005" s="80">
        <v>45513</v>
      </c>
      <c r="D1005" s="28">
        <v>5</v>
      </c>
      <c r="E1005" s="28">
        <v>4.5616645710000001E-2</v>
      </c>
    </row>
    <row r="1006" spans="3:5">
      <c r="C1006" s="80">
        <v>45513</v>
      </c>
      <c r="D1006" s="28">
        <v>1</v>
      </c>
      <c r="E1006" s="28">
        <v>0.12548425990000001</v>
      </c>
    </row>
    <row r="1007" spans="3:5">
      <c r="C1007" s="80">
        <v>45513</v>
      </c>
      <c r="D1007" s="28">
        <v>14</v>
      </c>
      <c r="E1007" s="28">
        <v>2.79395541E-2</v>
      </c>
    </row>
    <row r="1008" spans="3:5">
      <c r="C1008" s="80">
        <v>45513</v>
      </c>
      <c r="D1008" s="28">
        <v>4</v>
      </c>
      <c r="E1008" s="28">
        <v>4.9926879950000003E-2</v>
      </c>
    </row>
    <row r="1009" spans="3:5">
      <c r="C1009" s="80">
        <v>45513</v>
      </c>
      <c r="D1009" s="28">
        <v>3</v>
      </c>
      <c r="E1009" s="28">
        <v>6.1318213310000001E-2</v>
      </c>
    </row>
    <row r="1010" spans="3:5">
      <c r="C1010" s="80">
        <v>45513</v>
      </c>
      <c r="D1010" s="28">
        <v>30</v>
      </c>
      <c r="E1010" s="28">
        <v>2.0191394929999999E-2</v>
      </c>
    </row>
    <row r="1011" spans="3:5">
      <c r="C1011" s="80">
        <v>45513</v>
      </c>
      <c r="D1011" s="28">
        <v>60</v>
      </c>
      <c r="E1011" s="28">
        <v>1.157092644E-2</v>
      </c>
    </row>
    <row r="1012" spans="3:5">
      <c r="C1012" s="80">
        <v>45514</v>
      </c>
      <c r="D1012" s="28">
        <v>5</v>
      </c>
      <c r="E1012" s="28">
        <v>4.421674976E-2</v>
      </c>
    </row>
    <row r="1013" spans="3:5">
      <c r="C1013" s="80">
        <v>45514</v>
      </c>
      <c r="D1013" s="28">
        <v>2</v>
      </c>
      <c r="E1013" s="28">
        <v>7.7435679029999996E-2</v>
      </c>
    </row>
    <row r="1014" spans="3:5">
      <c r="C1014" s="80">
        <v>45514</v>
      </c>
      <c r="D1014" s="28">
        <v>7</v>
      </c>
      <c r="E1014" s="28">
        <v>4.0208432500000002E-2</v>
      </c>
    </row>
    <row r="1015" spans="3:5">
      <c r="C1015" s="80">
        <v>45514</v>
      </c>
      <c r="D1015" s="28">
        <v>30</v>
      </c>
      <c r="E1015" s="28">
        <v>1.9264974819999999E-2</v>
      </c>
    </row>
    <row r="1016" spans="3:5">
      <c r="C1016" s="80">
        <v>45514</v>
      </c>
      <c r="D1016" s="28">
        <v>6</v>
      </c>
      <c r="E1016" s="28">
        <v>4.113535586E-2</v>
      </c>
    </row>
    <row r="1017" spans="3:5">
      <c r="C1017" s="80">
        <v>45514</v>
      </c>
      <c r="D1017" s="28">
        <v>60</v>
      </c>
      <c r="E1017" s="28">
        <v>1.237567954E-2</v>
      </c>
    </row>
    <row r="1018" spans="3:5">
      <c r="C1018" s="80">
        <v>45514</v>
      </c>
      <c r="D1018" s="28">
        <v>3</v>
      </c>
      <c r="E1018" s="28">
        <v>5.6016233679999999E-2</v>
      </c>
    </row>
    <row r="1019" spans="3:5">
      <c r="C1019" s="80">
        <v>45514</v>
      </c>
      <c r="D1019" s="28">
        <v>1</v>
      </c>
      <c r="E1019" s="28">
        <v>0.13006989499999999</v>
      </c>
    </row>
    <row r="1020" spans="3:5">
      <c r="C1020" s="80">
        <v>45514</v>
      </c>
      <c r="D1020" s="28">
        <v>4</v>
      </c>
      <c r="E1020" s="28">
        <v>4.7999599169999997E-2</v>
      </c>
    </row>
    <row r="1021" spans="3:5">
      <c r="C1021" s="80">
        <v>45514</v>
      </c>
      <c r="D1021" s="28">
        <v>14</v>
      </c>
      <c r="E1021" s="28">
        <v>2.718140141E-2</v>
      </c>
    </row>
    <row r="1022" spans="3:5">
      <c r="C1022" s="80">
        <v>45515</v>
      </c>
      <c r="D1022" s="28">
        <v>14</v>
      </c>
      <c r="E1022" s="28">
        <v>3.1300953040000003E-2</v>
      </c>
    </row>
    <row r="1023" spans="3:5">
      <c r="C1023" s="80">
        <v>45515</v>
      </c>
      <c r="D1023" s="28">
        <v>1</v>
      </c>
      <c r="E1023" s="28">
        <v>0.1290159605</v>
      </c>
    </row>
    <row r="1024" spans="3:5">
      <c r="C1024" s="80">
        <v>45515</v>
      </c>
      <c r="D1024" s="28">
        <v>3</v>
      </c>
      <c r="E1024" s="28">
        <v>5.607991733E-2</v>
      </c>
    </row>
    <row r="1025" spans="3:5">
      <c r="C1025" s="80">
        <v>45515</v>
      </c>
      <c r="D1025" s="28">
        <v>30</v>
      </c>
      <c r="E1025" s="28">
        <v>1.7338385580000001E-2</v>
      </c>
    </row>
    <row r="1026" spans="3:5">
      <c r="C1026" s="80">
        <v>45515</v>
      </c>
      <c r="D1026" s="28">
        <v>60</v>
      </c>
      <c r="E1026" s="28">
        <v>1.244689402E-2</v>
      </c>
    </row>
    <row r="1027" spans="3:5">
      <c r="C1027" s="80">
        <v>45515</v>
      </c>
      <c r="D1027" s="28">
        <v>6</v>
      </c>
      <c r="E1027" s="28">
        <v>4.4253071540000001E-2</v>
      </c>
    </row>
    <row r="1028" spans="3:5">
      <c r="C1028" s="80">
        <v>45515</v>
      </c>
      <c r="D1028" s="28">
        <v>5</v>
      </c>
      <c r="E1028" s="28">
        <v>4.533241474E-2</v>
      </c>
    </row>
    <row r="1029" spans="3:5">
      <c r="C1029" s="80">
        <v>45515</v>
      </c>
      <c r="D1029" s="28">
        <v>7</v>
      </c>
      <c r="E1029" s="28">
        <v>4.429900103E-2</v>
      </c>
    </row>
    <row r="1030" spans="3:5">
      <c r="C1030" s="80">
        <v>45515</v>
      </c>
      <c r="D1030" s="28">
        <v>4</v>
      </c>
      <c r="E1030" s="28">
        <v>4.8960845099999997E-2</v>
      </c>
    </row>
    <row r="1031" spans="3:5">
      <c r="C1031" s="80">
        <v>45515</v>
      </c>
      <c r="D1031" s="28">
        <v>2</v>
      </c>
      <c r="E1031" s="28">
        <v>7.2476748189999995E-2</v>
      </c>
    </row>
    <row r="1032" spans="3:5">
      <c r="C1032" s="80">
        <v>45516</v>
      </c>
      <c r="D1032" s="28">
        <v>60</v>
      </c>
      <c r="E1032" s="28">
        <v>1.2064189729999999E-2</v>
      </c>
    </row>
    <row r="1033" spans="3:5">
      <c r="C1033" s="80">
        <v>45516</v>
      </c>
      <c r="D1033" s="28">
        <v>3</v>
      </c>
      <c r="E1033" s="28">
        <v>5.6887118559999998E-2</v>
      </c>
    </row>
    <row r="1034" spans="3:5">
      <c r="C1034" s="80">
        <v>45516</v>
      </c>
      <c r="D1034" s="28">
        <v>6</v>
      </c>
      <c r="E1034" s="28">
        <v>4.4387977019999997E-2</v>
      </c>
    </row>
    <row r="1035" spans="3:5">
      <c r="C1035" s="80">
        <v>45516</v>
      </c>
      <c r="D1035" s="28">
        <v>4</v>
      </c>
      <c r="E1035" s="28">
        <v>4.953872216E-2</v>
      </c>
    </row>
    <row r="1036" spans="3:5">
      <c r="C1036" s="80">
        <v>45516</v>
      </c>
      <c r="D1036" s="28">
        <v>2</v>
      </c>
      <c r="E1036" s="28">
        <v>7.0851360939999997E-2</v>
      </c>
    </row>
    <row r="1037" spans="3:5">
      <c r="C1037" s="80">
        <v>45516</v>
      </c>
      <c r="D1037" s="28">
        <v>14</v>
      </c>
      <c r="E1037" s="28">
        <v>3.0400842430000002E-2</v>
      </c>
    </row>
    <row r="1038" spans="3:5">
      <c r="C1038" s="80">
        <v>45516</v>
      </c>
      <c r="D1038" s="28">
        <v>7</v>
      </c>
      <c r="E1038" s="28">
        <v>4.1366206529999998E-2</v>
      </c>
    </row>
    <row r="1039" spans="3:5">
      <c r="C1039" s="80">
        <v>45516</v>
      </c>
      <c r="D1039" s="28">
        <v>30</v>
      </c>
      <c r="E1039" s="28">
        <v>1.7077581670000001E-2</v>
      </c>
    </row>
    <row r="1040" spans="3:5">
      <c r="C1040" s="80">
        <v>45516</v>
      </c>
      <c r="D1040" s="28">
        <v>1</v>
      </c>
      <c r="E1040" s="28">
        <v>0.1227250876</v>
      </c>
    </row>
    <row r="1041" spans="3:5">
      <c r="C1041" s="80">
        <v>45516</v>
      </c>
      <c r="D1041" s="28">
        <v>5</v>
      </c>
      <c r="E1041" s="28">
        <v>4.5418126039999999E-2</v>
      </c>
    </row>
    <row r="1042" spans="3:5">
      <c r="C1042" s="80">
        <v>45517</v>
      </c>
      <c r="D1042" s="28">
        <v>60</v>
      </c>
      <c r="E1042" s="28">
        <v>1.226435962E-2</v>
      </c>
    </row>
    <row r="1043" spans="3:5">
      <c r="C1043" s="80">
        <v>45517</v>
      </c>
      <c r="D1043" s="28">
        <v>2</v>
      </c>
      <c r="E1043" s="28">
        <v>7.2676776370000001E-2</v>
      </c>
    </row>
    <row r="1044" spans="3:5">
      <c r="C1044" s="80">
        <v>45517</v>
      </c>
      <c r="D1044" s="28">
        <v>14</v>
      </c>
      <c r="E1044" s="28">
        <v>2.4454985620000001E-2</v>
      </c>
    </row>
    <row r="1045" spans="3:5">
      <c r="C1045" s="80">
        <v>45517</v>
      </c>
      <c r="D1045" s="28">
        <v>7</v>
      </c>
      <c r="E1045" s="28">
        <v>3.7825349619999997E-2</v>
      </c>
    </row>
    <row r="1046" spans="3:5">
      <c r="C1046" s="80">
        <v>45517</v>
      </c>
      <c r="D1046" s="28">
        <v>4</v>
      </c>
      <c r="E1046" s="28">
        <v>5.2105094990000003E-2</v>
      </c>
    </row>
    <row r="1047" spans="3:5">
      <c r="C1047" s="80">
        <v>45517</v>
      </c>
      <c r="D1047" s="28">
        <v>6</v>
      </c>
      <c r="E1047" s="28">
        <v>4.2101899870000001E-2</v>
      </c>
    </row>
    <row r="1048" spans="3:5">
      <c r="C1048" s="80">
        <v>45517</v>
      </c>
      <c r="D1048" s="28">
        <v>1</v>
      </c>
      <c r="E1048" s="28">
        <v>0.1227664856</v>
      </c>
    </row>
    <row r="1049" spans="3:5">
      <c r="C1049" s="80">
        <v>45517</v>
      </c>
      <c r="D1049" s="28">
        <v>3</v>
      </c>
      <c r="E1049" s="28">
        <v>5.5718042619999998E-2</v>
      </c>
    </row>
    <row r="1050" spans="3:5">
      <c r="C1050" s="80">
        <v>45517</v>
      </c>
      <c r="D1050" s="28">
        <v>30</v>
      </c>
      <c r="E1050" s="28">
        <v>1.7327401869999998E-2</v>
      </c>
    </row>
    <row r="1051" spans="3:5">
      <c r="C1051" s="80">
        <v>45517</v>
      </c>
      <c r="D1051" s="28">
        <v>5</v>
      </c>
      <c r="E1051" s="28">
        <v>4.6108093490000002E-2</v>
      </c>
    </row>
    <row r="1052" spans="3:5">
      <c r="C1052" s="80">
        <v>45518</v>
      </c>
      <c r="D1052" s="28">
        <v>60</v>
      </c>
      <c r="E1052" s="28">
        <v>1.2858480780000001E-2</v>
      </c>
    </row>
    <row r="1053" spans="3:5">
      <c r="C1053" s="80">
        <v>45518</v>
      </c>
      <c r="D1053" s="28">
        <v>4</v>
      </c>
      <c r="E1053" s="28">
        <v>5.2016098410000003E-2</v>
      </c>
    </row>
    <row r="1054" spans="3:5">
      <c r="C1054" s="80">
        <v>45518</v>
      </c>
      <c r="D1054" s="28">
        <v>30</v>
      </c>
      <c r="E1054" s="28">
        <v>1.7566507200000001E-2</v>
      </c>
    </row>
    <row r="1055" spans="3:5">
      <c r="C1055" s="80">
        <v>45518</v>
      </c>
      <c r="D1055" s="28">
        <v>1</v>
      </c>
      <c r="E1055" s="28">
        <v>0.1227124307</v>
      </c>
    </row>
    <row r="1056" spans="3:5">
      <c r="C1056" s="80">
        <v>45518</v>
      </c>
      <c r="D1056" s="28">
        <v>6</v>
      </c>
      <c r="E1056" s="28">
        <v>3.984104083E-2</v>
      </c>
    </row>
    <row r="1057" spans="3:5">
      <c r="C1057" s="80">
        <v>45518</v>
      </c>
      <c r="D1057" s="28">
        <v>14</v>
      </c>
      <c r="E1057" s="28">
        <v>2.2983268790000001E-2</v>
      </c>
    </row>
    <row r="1058" spans="3:5">
      <c r="C1058" s="80">
        <v>45518</v>
      </c>
      <c r="D1058" s="28">
        <v>5</v>
      </c>
      <c r="E1058" s="28">
        <v>4.5333738319999997E-2</v>
      </c>
    </row>
    <row r="1059" spans="3:5">
      <c r="C1059" s="80">
        <v>45518</v>
      </c>
      <c r="D1059" s="28">
        <v>2</v>
      </c>
      <c r="E1059" s="28">
        <v>7.3354089149999996E-2</v>
      </c>
    </row>
    <row r="1060" spans="3:5">
      <c r="C1060" s="80">
        <v>45518</v>
      </c>
      <c r="D1060" s="28">
        <v>3</v>
      </c>
      <c r="E1060" s="28">
        <v>5.943250563E-2</v>
      </c>
    </row>
    <row r="1061" spans="3:5">
      <c r="C1061" s="80">
        <v>45518</v>
      </c>
      <c r="D1061" s="28">
        <v>7</v>
      </c>
      <c r="E1061" s="28">
        <v>3.6854228359999998E-2</v>
      </c>
    </row>
    <row r="1062" spans="3:5">
      <c r="C1062" s="80">
        <v>45519</v>
      </c>
      <c r="D1062" s="28">
        <v>60</v>
      </c>
      <c r="E1062" s="28">
        <v>1.278674271E-2</v>
      </c>
    </row>
    <row r="1063" spans="3:5">
      <c r="C1063" s="80">
        <v>45519</v>
      </c>
      <c r="D1063" s="28">
        <v>7</v>
      </c>
      <c r="E1063" s="28">
        <v>3.8232360690000002E-2</v>
      </c>
    </row>
    <row r="1064" spans="3:5">
      <c r="C1064" s="80">
        <v>45519</v>
      </c>
      <c r="D1064" s="28">
        <v>14</v>
      </c>
      <c r="E1064" s="28">
        <v>2.5138736160000001E-2</v>
      </c>
    </row>
    <row r="1065" spans="3:5">
      <c r="C1065" s="80">
        <v>45519</v>
      </c>
      <c r="D1065" s="28">
        <v>1</v>
      </c>
      <c r="E1065" s="28">
        <v>0.12178093750000001</v>
      </c>
    </row>
    <row r="1066" spans="3:5">
      <c r="C1066" s="80">
        <v>45519</v>
      </c>
      <c r="D1066" s="28">
        <v>3</v>
      </c>
      <c r="E1066" s="28">
        <v>6.140193847E-2</v>
      </c>
    </row>
    <row r="1067" spans="3:5">
      <c r="C1067" s="80">
        <v>45519</v>
      </c>
      <c r="D1067" s="28">
        <v>5</v>
      </c>
      <c r="E1067" s="28">
        <v>4.2324118350000002E-2</v>
      </c>
    </row>
    <row r="1068" spans="3:5">
      <c r="C1068" s="80">
        <v>45519</v>
      </c>
      <c r="D1068" s="28">
        <v>30</v>
      </c>
      <c r="E1068" s="28">
        <v>1.8873232229999998E-2</v>
      </c>
    </row>
    <row r="1069" spans="3:5">
      <c r="C1069" s="80">
        <v>45519</v>
      </c>
      <c r="D1069" s="28">
        <v>2</v>
      </c>
      <c r="E1069" s="28">
        <v>7.5978825149999998E-2</v>
      </c>
    </row>
    <row r="1070" spans="3:5">
      <c r="C1070" s="80">
        <v>45519</v>
      </c>
      <c r="D1070" s="28">
        <v>6</v>
      </c>
      <c r="E1070" s="28">
        <v>3.9843490269999997E-2</v>
      </c>
    </row>
    <row r="1071" spans="3:5">
      <c r="C1071" s="80">
        <v>45519</v>
      </c>
      <c r="D1071" s="28">
        <v>4</v>
      </c>
      <c r="E1071" s="28">
        <v>5.1121397339999999E-2</v>
      </c>
    </row>
    <row r="1072" spans="3:5">
      <c r="C1072" s="80">
        <v>45520</v>
      </c>
      <c r="D1072" s="28">
        <v>14</v>
      </c>
      <c r="E1072" s="28">
        <v>2.525808848E-2</v>
      </c>
    </row>
    <row r="1073" spans="3:5">
      <c r="C1073" s="80">
        <v>45520</v>
      </c>
      <c r="D1073" s="28">
        <v>7</v>
      </c>
      <c r="E1073" s="28">
        <v>4.0500038430000003E-2</v>
      </c>
    </row>
    <row r="1074" spans="3:5">
      <c r="C1074" s="80">
        <v>45520</v>
      </c>
      <c r="D1074" s="28">
        <v>2</v>
      </c>
      <c r="E1074" s="28">
        <v>7.8284704250000003E-2</v>
      </c>
    </row>
    <row r="1075" spans="3:5">
      <c r="C1075" s="80">
        <v>45520</v>
      </c>
      <c r="D1075" s="28">
        <v>30</v>
      </c>
      <c r="E1075" s="28">
        <v>1.8802674389999999E-2</v>
      </c>
    </row>
    <row r="1076" spans="3:5">
      <c r="C1076" s="80">
        <v>45520</v>
      </c>
      <c r="D1076" s="28">
        <v>6</v>
      </c>
      <c r="E1076" s="28">
        <v>4.2703076569999998E-2</v>
      </c>
    </row>
    <row r="1077" spans="3:5">
      <c r="C1077" s="80">
        <v>45520</v>
      </c>
      <c r="D1077" s="28">
        <v>1</v>
      </c>
      <c r="E1077" s="28">
        <v>0.12844224709999999</v>
      </c>
    </row>
    <row r="1078" spans="3:5">
      <c r="C1078" s="80">
        <v>45520</v>
      </c>
      <c r="D1078" s="28">
        <v>60</v>
      </c>
      <c r="E1078" s="28">
        <v>1.170684223E-2</v>
      </c>
    </row>
    <row r="1079" spans="3:5">
      <c r="C1079" s="80">
        <v>45520</v>
      </c>
      <c r="D1079" s="28">
        <v>3</v>
      </c>
      <c r="E1079" s="28">
        <v>6.1249583730000001E-2</v>
      </c>
    </row>
    <row r="1080" spans="3:5">
      <c r="C1080" s="80">
        <v>45520</v>
      </c>
      <c r="D1080" s="28">
        <v>5</v>
      </c>
      <c r="E1080" s="28">
        <v>4.3778978920000003E-2</v>
      </c>
    </row>
    <row r="1081" spans="3:5">
      <c r="C1081" s="80">
        <v>45520</v>
      </c>
      <c r="D1081" s="28">
        <v>4</v>
      </c>
      <c r="E1081" s="28">
        <v>5.015754284E-2</v>
      </c>
    </row>
    <row r="1082" spans="3:5">
      <c r="C1082" s="80">
        <v>45521</v>
      </c>
      <c r="D1082" s="28">
        <v>1</v>
      </c>
      <c r="E1082" s="28">
        <v>0.12878995830000001</v>
      </c>
    </row>
    <row r="1083" spans="3:5">
      <c r="C1083" s="80">
        <v>45521</v>
      </c>
      <c r="D1083" s="28">
        <v>5</v>
      </c>
      <c r="E1083" s="28">
        <v>4.4393980979999997E-2</v>
      </c>
    </row>
    <row r="1084" spans="3:5">
      <c r="C1084" s="80">
        <v>45521</v>
      </c>
      <c r="D1084" s="28">
        <v>30</v>
      </c>
      <c r="E1084" s="28">
        <v>1.8865570330000001E-2</v>
      </c>
    </row>
    <row r="1085" spans="3:5">
      <c r="C1085" s="80">
        <v>45521</v>
      </c>
      <c r="D1085" s="28">
        <v>2</v>
      </c>
      <c r="E1085" s="28">
        <v>7.8581588600000002E-2</v>
      </c>
    </row>
    <row r="1086" spans="3:5">
      <c r="C1086" s="80">
        <v>45521</v>
      </c>
      <c r="D1086" s="28">
        <v>4</v>
      </c>
      <c r="E1086" s="28">
        <v>4.7613106080000002E-2</v>
      </c>
    </row>
    <row r="1087" spans="3:5">
      <c r="C1087" s="80">
        <v>45521</v>
      </c>
      <c r="D1087" s="28">
        <v>60</v>
      </c>
      <c r="E1087" s="28">
        <v>1.2701819180000001E-2</v>
      </c>
    </row>
    <row r="1088" spans="3:5">
      <c r="C1088" s="80">
        <v>45521</v>
      </c>
      <c r="D1088" s="28">
        <v>6</v>
      </c>
      <c r="E1088" s="28">
        <v>4.139944601E-2</v>
      </c>
    </row>
    <row r="1089" spans="3:5">
      <c r="C1089" s="80">
        <v>45521</v>
      </c>
      <c r="D1089" s="28">
        <v>7</v>
      </c>
      <c r="E1089" s="28">
        <v>3.887904574E-2</v>
      </c>
    </row>
    <row r="1090" spans="3:5">
      <c r="C1090" s="80">
        <v>45521</v>
      </c>
      <c r="D1090" s="28">
        <v>3</v>
      </c>
      <c r="E1090" s="28">
        <v>5.8767748860000003E-2</v>
      </c>
    </row>
    <row r="1091" spans="3:5">
      <c r="C1091" s="80">
        <v>45521</v>
      </c>
      <c r="D1091" s="28">
        <v>14</v>
      </c>
      <c r="E1091" s="28">
        <v>2.670127018E-2</v>
      </c>
    </row>
    <row r="1092" spans="3:5">
      <c r="C1092" s="80">
        <v>45522</v>
      </c>
      <c r="D1092" s="28">
        <v>6</v>
      </c>
      <c r="E1092" s="28">
        <v>4.273734798E-2</v>
      </c>
    </row>
    <row r="1093" spans="3:5">
      <c r="C1093" s="80">
        <v>45522</v>
      </c>
      <c r="D1093" s="28">
        <v>30</v>
      </c>
      <c r="E1093" s="28">
        <v>1.8095331499999999E-2</v>
      </c>
    </row>
    <row r="1094" spans="3:5">
      <c r="C1094" s="80">
        <v>45522</v>
      </c>
      <c r="D1094" s="28">
        <v>3</v>
      </c>
      <c r="E1094" s="28">
        <v>5.6909572380000002E-2</v>
      </c>
    </row>
    <row r="1095" spans="3:5">
      <c r="C1095" s="80">
        <v>45522</v>
      </c>
      <c r="D1095" s="28">
        <v>1</v>
      </c>
      <c r="E1095" s="28">
        <v>0.1290457042</v>
      </c>
    </row>
    <row r="1096" spans="3:5">
      <c r="C1096" s="80">
        <v>45522</v>
      </c>
      <c r="D1096" s="28">
        <v>5</v>
      </c>
      <c r="E1096" s="28">
        <v>4.575323656E-2</v>
      </c>
    </row>
    <row r="1097" spans="3:5">
      <c r="C1097" s="80">
        <v>45522</v>
      </c>
      <c r="D1097" s="28">
        <v>2</v>
      </c>
      <c r="E1097" s="28">
        <v>7.4637112589999999E-2</v>
      </c>
    </row>
    <row r="1098" spans="3:5">
      <c r="C1098" s="80">
        <v>45522</v>
      </c>
      <c r="D1098" s="28">
        <v>14</v>
      </c>
      <c r="E1098" s="28">
        <v>3.194880345E-2</v>
      </c>
    </row>
    <row r="1099" spans="3:5">
      <c r="C1099" s="80">
        <v>45522</v>
      </c>
      <c r="D1099" s="28">
        <v>60</v>
      </c>
      <c r="E1099" s="28">
        <v>1.3019811690000001E-2</v>
      </c>
    </row>
    <row r="1100" spans="3:5">
      <c r="C1100" s="80">
        <v>45522</v>
      </c>
      <c r="D1100" s="28">
        <v>4</v>
      </c>
      <c r="E1100" s="28">
        <v>4.9161435859999998E-2</v>
      </c>
    </row>
    <row r="1101" spans="3:5">
      <c r="C1101" s="80">
        <v>45522</v>
      </c>
      <c r="D1101" s="28">
        <v>7</v>
      </c>
      <c r="E1101" s="28">
        <v>4.1830129459999997E-2</v>
      </c>
    </row>
    <row r="1102" spans="3:5">
      <c r="C1102" s="80">
        <v>45523</v>
      </c>
      <c r="D1102" s="28">
        <v>1</v>
      </c>
      <c r="E1102" s="28">
        <v>0.1216492836</v>
      </c>
    </row>
    <row r="1103" spans="3:5">
      <c r="C1103" s="80">
        <v>45523</v>
      </c>
      <c r="D1103" s="28">
        <v>14</v>
      </c>
      <c r="E1103" s="28">
        <v>3.1728238620000002E-2</v>
      </c>
    </row>
    <row r="1104" spans="3:5">
      <c r="C1104" s="80">
        <v>45523</v>
      </c>
      <c r="D1104" s="28">
        <v>5</v>
      </c>
      <c r="E1104" s="28">
        <v>4.2621113170000002E-2</v>
      </c>
    </row>
    <row r="1105" spans="3:5">
      <c r="C1105" s="80">
        <v>45523</v>
      </c>
      <c r="D1105" s="28">
        <v>4</v>
      </c>
      <c r="E1105" s="28">
        <v>4.768983332E-2</v>
      </c>
    </row>
    <row r="1106" spans="3:5">
      <c r="C1106" s="80">
        <v>45523</v>
      </c>
      <c r="D1106" s="28">
        <v>60</v>
      </c>
      <c r="E1106" s="28">
        <v>1.301296423E-2</v>
      </c>
    </row>
    <row r="1107" spans="3:5">
      <c r="C1107" s="80">
        <v>45523</v>
      </c>
      <c r="D1107" s="28">
        <v>7</v>
      </c>
      <c r="E1107" s="28">
        <v>4.4131981670000001E-2</v>
      </c>
    </row>
    <row r="1108" spans="3:5">
      <c r="C1108" s="80">
        <v>45523</v>
      </c>
      <c r="D1108" s="28">
        <v>2</v>
      </c>
      <c r="E1108" s="28">
        <v>6.9183156250000002E-2</v>
      </c>
    </row>
    <row r="1109" spans="3:5">
      <c r="C1109" s="80">
        <v>45523</v>
      </c>
      <c r="D1109" s="28">
        <v>6</v>
      </c>
      <c r="E1109" s="28">
        <v>4.3717711280000002E-2</v>
      </c>
    </row>
    <row r="1110" spans="3:5">
      <c r="C1110" s="80">
        <v>45523</v>
      </c>
      <c r="D1110" s="28">
        <v>3</v>
      </c>
      <c r="E1110" s="28">
        <v>5.7705429379999999E-2</v>
      </c>
    </row>
    <row r="1111" spans="3:5">
      <c r="C1111" s="80">
        <v>45523</v>
      </c>
      <c r="D1111" s="28">
        <v>30</v>
      </c>
      <c r="E1111" s="28">
        <v>1.659518472E-2</v>
      </c>
    </row>
    <row r="1112" spans="3:5">
      <c r="C1112" s="80">
        <v>45524</v>
      </c>
      <c r="D1112" s="28">
        <v>4</v>
      </c>
      <c r="E1112" s="28">
        <v>4.7758941329999999E-2</v>
      </c>
    </row>
    <row r="1113" spans="3:5">
      <c r="C1113" s="80">
        <v>45524</v>
      </c>
      <c r="D1113" s="28">
        <v>6</v>
      </c>
      <c r="E1113" s="28">
        <v>4.3311861569999999E-2</v>
      </c>
    </row>
    <row r="1114" spans="3:5">
      <c r="C1114" s="80">
        <v>45524</v>
      </c>
      <c r="D1114" s="28">
        <v>3</v>
      </c>
      <c r="E1114" s="28">
        <v>5.7299948789999999E-2</v>
      </c>
    </row>
    <row r="1115" spans="3:5">
      <c r="C1115" s="80">
        <v>45524</v>
      </c>
      <c r="D1115" s="28">
        <v>5</v>
      </c>
      <c r="E1115" s="28">
        <v>4.3743093550000001E-2</v>
      </c>
    </row>
    <row r="1116" spans="3:5">
      <c r="C1116" s="80">
        <v>45524</v>
      </c>
      <c r="D1116" s="28">
        <v>7</v>
      </c>
      <c r="E1116" s="28">
        <v>3.5765301999999999E-2</v>
      </c>
    </row>
    <row r="1117" spans="3:5">
      <c r="C1117" s="80">
        <v>45524</v>
      </c>
      <c r="D1117" s="28">
        <v>2</v>
      </c>
      <c r="E1117" s="28">
        <v>7.0991564019999995E-2</v>
      </c>
    </row>
    <row r="1118" spans="3:5">
      <c r="C1118" s="80">
        <v>45524</v>
      </c>
      <c r="D1118" s="28">
        <v>14</v>
      </c>
      <c r="E1118" s="28">
        <v>2.5685254559999999E-2</v>
      </c>
    </row>
    <row r="1119" spans="3:5">
      <c r="C1119" s="80">
        <v>45524</v>
      </c>
      <c r="D1119" s="28">
        <v>60</v>
      </c>
      <c r="E1119" s="28">
        <v>1.25326793E-2</v>
      </c>
    </row>
    <row r="1120" spans="3:5">
      <c r="C1120" s="80">
        <v>45524</v>
      </c>
      <c r="D1120" s="28">
        <v>1</v>
      </c>
      <c r="E1120" s="28">
        <v>0.1228741611</v>
      </c>
    </row>
    <row r="1121" spans="3:5">
      <c r="C1121" s="80">
        <v>45524</v>
      </c>
      <c r="D1121" s="28">
        <v>30</v>
      </c>
      <c r="E1121" s="28">
        <v>1.8192598979999999E-2</v>
      </c>
    </row>
  </sheetData>
  <phoneticPr fontId="11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558E-358F-CA40-B274-5A9BE64D5C9D}">
  <dimension ref="B2:R48"/>
  <sheetViews>
    <sheetView topLeftCell="G1" workbookViewId="0">
      <selection activeCell="N34" sqref="N34"/>
    </sheetView>
  </sheetViews>
  <sheetFormatPr baseColWidth="10" defaultRowHeight="16"/>
  <cols>
    <col min="9" max="9" width="25.5" customWidth="1"/>
    <col min="10" max="10" width="20.83203125" customWidth="1"/>
  </cols>
  <sheetData>
    <row r="2" spans="2:18">
      <c r="B2" s="2" t="s">
        <v>2</v>
      </c>
    </row>
    <row r="3" spans="2:18">
      <c r="B3" s="2" t="s">
        <v>178</v>
      </c>
      <c r="I3" s="22" t="s">
        <v>172</v>
      </c>
      <c r="J3" s="66">
        <v>54982275.869999997</v>
      </c>
      <c r="M3" t="s">
        <v>193</v>
      </c>
      <c r="N3" t="s">
        <v>194</v>
      </c>
      <c r="R3" s="2" t="s">
        <v>2</v>
      </c>
    </row>
    <row r="4" spans="2:18">
      <c r="B4" s="2" t="s">
        <v>74</v>
      </c>
      <c r="I4" s="22" t="s">
        <v>173</v>
      </c>
      <c r="J4">
        <f>1686765</f>
        <v>1686765</v>
      </c>
      <c r="M4">
        <v>310402265</v>
      </c>
      <c r="N4">
        <v>36157746</v>
      </c>
      <c r="R4" s="4" t="s">
        <v>186</v>
      </c>
    </row>
    <row r="5" spans="2:18">
      <c r="B5" s="5" t="s">
        <v>163</v>
      </c>
      <c r="I5" s="22" t="s">
        <v>170</v>
      </c>
      <c r="J5" s="65">
        <v>310402265</v>
      </c>
      <c r="K5" s="65"/>
      <c r="N5">
        <f>M4/N4</f>
        <v>8.5846685520718022</v>
      </c>
      <c r="R5" s="2" t="s">
        <v>74</v>
      </c>
    </row>
    <row r="6" spans="2:18">
      <c r="B6" s="4" t="s">
        <v>164</v>
      </c>
      <c r="I6" s="22" t="s">
        <v>171</v>
      </c>
      <c r="J6" s="67">
        <f>(J4+J3)/J5</f>
        <v>0.18256645411398656</v>
      </c>
      <c r="R6" s="5" t="s">
        <v>163</v>
      </c>
    </row>
    <row r="7" spans="2:18">
      <c r="B7" s="3" t="s">
        <v>165</v>
      </c>
      <c r="R7" s="4" t="s">
        <v>187</v>
      </c>
    </row>
    <row r="8" spans="2:18">
      <c r="B8" s="2" t="s">
        <v>44</v>
      </c>
      <c r="R8" s="3" t="s">
        <v>188</v>
      </c>
    </row>
    <row r="9" spans="2:18">
      <c r="B9" s="64" t="s">
        <v>166</v>
      </c>
      <c r="R9" s="3" t="s">
        <v>165</v>
      </c>
    </row>
    <row r="10" spans="2:18">
      <c r="B10" s="2" t="s">
        <v>167</v>
      </c>
      <c r="R10" s="2" t="s">
        <v>44</v>
      </c>
    </row>
    <row r="11" spans="2:18">
      <c r="B11" s="2" t="s">
        <v>168</v>
      </c>
      <c r="R11" s="64" t="s">
        <v>166</v>
      </c>
    </row>
    <row r="12" spans="2:18">
      <c r="B12" s="2" t="s">
        <v>169</v>
      </c>
      <c r="R12" s="2" t="s">
        <v>167</v>
      </c>
    </row>
    <row r="13" spans="2:18">
      <c r="B13" s="5" t="s">
        <v>28</v>
      </c>
      <c r="R13" s="2" t="s">
        <v>189</v>
      </c>
    </row>
    <row r="14" spans="2:18">
      <c r="I14" s="22" t="s">
        <v>172</v>
      </c>
      <c r="J14" s="66">
        <v>54982275.869999997</v>
      </c>
      <c r="R14" s="2" t="s">
        <v>190</v>
      </c>
    </row>
    <row r="15" spans="2:18">
      <c r="I15" s="22" t="s">
        <v>173</v>
      </c>
      <c r="J15">
        <f>1686765</f>
        <v>1686765</v>
      </c>
      <c r="R15" s="5" t="s">
        <v>28</v>
      </c>
    </row>
    <row r="16" spans="2:18">
      <c r="I16" s="22" t="s">
        <v>170</v>
      </c>
      <c r="J16" s="65">
        <v>310402265</v>
      </c>
      <c r="R16" s="2" t="s">
        <v>191</v>
      </c>
    </row>
    <row r="17" spans="8:18">
      <c r="R17" s="2" t="s">
        <v>192</v>
      </c>
    </row>
    <row r="18" spans="8:18">
      <c r="I18" s="68" t="s">
        <v>174</v>
      </c>
      <c r="J18" s="71" t="s">
        <v>175</v>
      </c>
    </row>
    <row r="19" spans="8:18">
      <c r="H19" s="49" t="s">
        <v>106</v>
      </c>
      <c r="I19" s="69">
        <v>90</v>
      </c>
      <c r="J19" s="72">
        <v>114</v>
      </c>
      <c r="K19">
        <f>J19+I19</f>
        <v>204</v>
      </c>
    </row>
    <row r="20" spans="8:18">
      <c r="H20" s="74" t="s">
        <v>107</v>
      </c>
      <c r="I20" s="70">
        <v>49</v>
      </c>
      <c r="J20" s="73">
        <v>59</v>
      </c>
      <c r="K20">
        <f>J20+I20</f>
        <v>108</v>
      </c>
    </row>
    <row r="23" spans="8:18">
      <c r="H23" t="s">
        <v>179</v>
      </c>
      <c r="I23" s="77" t="s">
        <v>176</v>
      </c>
      <c r="J23" s="71" t="s">
        <v>177</v>
      </c>
    </row>
    <row r="24" spans="8:18">
      <c r="I24" s="75">
        <v>27</v>
      </c>
      <c r="J24" s="78">
        <v>135</v>
      </c>
      <c r="K24">
        <f>J24+I24</f>
        <v>162</v>
      </c>
    </row>
    <row r="25" spans="8:18">
      <c r="I25" s="76">
        <v>15</v>
      </c>
      <c r="J25" s="79">
        <v>70</v>
      </c>
      <c r="K25">
        <f>J25+I25</f>
        <v>85</v>
      </c>
    </row>
    <row r="34" spans="8:13">
      <c r="H34" t="s">
        <v>85</v>
      </c>
      <c r="I34" t="s">
        <v>184</v>
      </c>
      <c r="J34" t="s">
        <v>185</v>
      </c>
    </row>
    <row r="35" spans="8:13">
      <c r="H35" t="s">
        <v>95</v>
      </c>
      <c r="I35">
        <v>196087286</v>
      </c>
      <c r="J35">
        <v>17176170</v>
      </c>
      <c r="L35" s="44">
        <f>I35/J35</f>
        <v>11.416240407494803</v>
      </c>
    </row>
    <row r="36" spans="8:13">
      <c r="H36" t="s">
        <v>91</v>
      </c>
      <c r="I36">
        <v>114314979</v>
      </c>
      <c r="J36">
        <v>18981576</v>
      </c>
      <c r="L36" s="44">
        <f>I36/J36</f>
        <v>6.022417685444033</v>
      </c>
    </row>
    <row r="41" spans="8:13">
      <c r="H41" s="81">
        <v>-2146965</v>
      </c>
      <c r="I41" s="81">
        <v>-1660376</v>
      </c>
    </row>
    <row r="43" spans="8:13">
      <c r="H43" t="s">
        <v>209</v>
      </c>
      <c r="I43" t="s">
        <v>85</v>
      </c>
      <c r="J43" t="s">
        <v>184</v>
      </c>
      <c r="K43" t="s">
        <v>185</v>
      </c>
    </row>
    <row r="44" spans="8:13">
      <c r="H44" s="7">
        <v>44927</v>
      </c>
      <c r="I44" t="s">
        <v>91</v>
      </c>
      <c r="J44">
        <v>157050407</v>
      </c>
      <c r="K44">
        <v>16982371</v>
      </c>
      <c r="M44">
        <f>J44/K44</f>
        <v>9.2478492549715234</v>
      </c>
    </row>
    <row r="45" spans="8:13">
      <c r="H45" s="7">
        <v>44927</v>
      </c>
      <c r="I45" t="s">
        <v>95</v>
      </c>
      <c r="J45">
        <v>240084311</v>
      </c>
      <c r="K45">
        <v>18453665</v>
      </c>
      <c r="M45">
        <f t="shared" ref="M45:M48" si="0">J45/K45</f>
        <v>13.010115389002673</v>
      </c>
    </row>
    <row r="46" spans="8:13">
      <c r="H46" s="7">
        <v>44927</v>
      </c>
      <c r="I46" t="s">
        <v>210</v>
      </c>
      <c r="J46">
        <v>126</v>
      </c>
      <c r="K46">
        <v>71</v>
      </c>
      <c r="M46">
        <f t="shared" si="0"/>
        <v>1.7746478873239437</v>
      </c>
    </row>
    <row r="47" spans="8:13">
      <c r="H47" s="7">
        <v>45292</v>
      </c>
      <c r="I47" t="s">
        <v>91</v>
      </c>
      <c r="J47">
        <v>114314979</v>
      </c>
      <c r="K47">
        <v>18981576</v>
      </c>
      <c r="M47">
        <f t="shared" si="0"/>
        <v>6.022417685444033</v>
      </c>
    </row>
    <row r="48" spans="8:13">
      <c r="H48" s="7">
        <v>45292</v>
      </c>
      <c r="I48" t="s">
        <v>95</v>
      </c>
      <c r="J48">
        <v>196087286</v>
      </c>
      <c r="K48">
        <v>17176170</v>
      </c>
      <c r="M48">
        <f t="shared" si="0"/>
        <v>11.416240407494803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7968-B860-FF45-93CD-3A7B06B45E67}">
  <dimension ref="A1:AJ57"/>
  <sheetViews>
    <sheetView tabSelected="1" topLeftCell="M1" zoomScale="120" zoomScaleNormal="120" workbookViewId="0">
      <selection activeCell="N1" sqref="N1:N1048576"/>
    </sheetView>
  </sheetViews>
  <sheetFormatPr baseColWidth="10" defaultRowHeight="16"/>
  <cols>
    <col min="4" max="4" width="20.5" customWidth="1"/>
    <col min="9" max="9" width="12.33203125" bestFit="1" customWidth="1"/>
    <col min="10" max="10" width="14" bestFit="1" customWidth="1"/>
    <col min="11" max="11" width="41" customWidth="1"/>
    <col min="12" max="12" width="13.6640625" customWidth="1"/>
    <col min="13" max="13" width="17.33203125" customWidth="1"/>
    <col min="14" max="14" width="14.83203125" customWidth="1"/>
    <col min="15" max="15" width="17.1640625" customWidth="1"/>
    <col min="16" max="16" width="12.1640625" customWidth="1"/>
    <col min="17" max="36" width="12.33203125" bestFit="1" customWidth="1"/>
  </cols>
  <sheetData>
    <row r="1" spans="1:36">
      <c r="A1" s="48" t="s">
        <v>218</v>
      </c>
      <c r="B1" s="48"/>
      <c r="C1" s="48"/>
      <c r="D1" s="48"/>
      <c r="E1" s="48"/>
      <c r="F1" s="48"/>
    </row>
    <row r="2" spans="1:36" ht="17">
      <c r="J2" s="6"/>
      <c r="K2" s="6" t="s">
        <v>479</v>
      </c>
      <c r="L2" s="6">
        <v>12</v>
      </c>
      <c r="M2">
        <v>11</v>
      </c>
      <c r="N2">
        <v>10</v>
      </c>
      <c r="O2" s="6">
        <v>9</v>
      </c>
      <c r="P2">
        <v>8</v>
      </c>
      <c r="Q2">
        <v>7</v>
      </c>
      <c r="R2" s="6">
        <v>6</v>
      </c>
      <c r="S2">
        <v>5</v>
      </c>
      <c r="T2">
        <v>4</v>
      </c>
      <c r="U2" s="6">
        <v>3</v>
      </c>
      <c r="V2">
        <v>2</v>
      </c>
      <c r="W2">
        <v>1</v>
      </c>
    </row>
    <row r="3" spans="1:36" ht="17">
      <c r="K3" s="6" t="s">
        <v>480</v>
      </c>
      <c r="L3">
        <v>24</v>
      </c>
      <c r="M3">
        <v>23</v>
      </c>
      <c r="N3">
        <v>22</v>
      </c>
      <c r="O3">
        <v>21</v>
      </c>
      <c r="P3">
        <v>20</v>
      </c>
      <c r="Q3">
        <v>19</v>
      </c>
      <c r="R3">
        <v>18</v>
      </c>
      <c r="S3">
        <v>17</v>
      </c>
      <c r="T3">
        <v>16</v>
      </c>
      <c r="U3">
        <v>15</v>
      </c>
      <c r="V3">
        <v>14</v>
      </c>
      <c r="W3">
        <v>13</v>
      </c>
      <c r="X3">
        <v>12</v>
      </c>
      <c r="Y3">
        <v>11</v>
      </c>
      <c r="Z3">
        <v>10</v>
      </c>
      <c r="AA3">
        <v>9</v>
      </c>
      <c r="AB3">
        <v>8</v>
      </c>
      <c r="AC3">
        <v>7</v>
      </c>
      <c r="AD3">
        <v>6</v>
      </c>
      <c r="AE3">
        <v>5</v>
      </c>
      <c r="AF3">
        <v>4</v>
      </c>
      <c r="AG3">
        <v>3</v>
      </c>
      <c r="AH3">
        <v>2</v>
      </c>
      <c r="AI3">
        <v>1</v>
      </c>
    </row>
    <row r="4" spans="1:36">
      <c r="D4" t="s">
        <v>219</v>
      </c>
    </row>
    <row r="5" spans="1:36">
      <c r="K5" s="201"/>
      <c r="L5" s="202" t="s">
        <v>229</v>
      </c>
      <c r="M5" s="200" t="s">
        <v>230</v>
      </c>
      <c r="N5" s="200" t="s">
        <v>231</v>
      </c>
      <c r="O5" s="200">
        <v>4</v>
      </c>
      <c r="P5" s="200">
        <v>5</v>
      </c>
      <c r="Q5" s="200">
        <v>6</v>
      </c>
      <c r="R5" s="200">
        <v>7</v>
      </c>
      <c r="S5" s="200">
        <v>8</v>
      </c>
      <c r="T5" s="200">
        <v>9</v>
      </c>
      <c r="U5" s="200">
        <v>10</v>
      </c>
      <c r="V5" s="200">
        <v>11</v>
      </c>
      <c r="W5" s="200">
        <v>12</v>
      </c>
      <c r="X5" s="200">
        <v>13</v>
      </c>
      <c r="Y5" s="200">
        <v>14</v>
      </c>
      <c r="Z5" s="200">
        <v>15</v>
      </c>
      <c r="AA5" s="200">
        <v>16</v>
      </c>
      <c r="AB5" s="200">
        <v>17</v>
      </c>
      <c r="AC5" s="200">
        <v>18</v>
      </c>
      <c r="AD5" s="200">
        <v>19</v>
      </c>
      <c r="AE5" s="200">
        <v>20</v>
      </c>
      <c r="AF5" s="200">
        <v>21</v>
      </c>
      <c r="AG5" s="200">
        <v>22</v>
      </c>
      <c r="AH5" s="200">
        <v>23</v>
      </c>
      <c r="AI5" s="200">
        <v>24</v>
      </c>
    </row>
    <row r="6" spans="1:36">
      <c r="K6" s="203" t="s">
        <v>234</v>
      </c>
      <c r="L6" s="204">
        <v>318245.54003001249</v>
      </c>
      <c r="M6" s="47">
        <v>133105.61808599101</v>
      </c>
      <c r="N6" s="47">
        <v>60143.45696579475</v>
      </c>
      <c r="O6" s="47">
        <v>47441.110718014534</v>
      </c>
      <c r="P6" s="47">
        <v>43607.085943974969</v>
      </c>
      <c r="Q6" s="47">
        <v>39839.652600300047</v>
      </c>
      <c r="R6" s="47">
        <v>41637.7286938498</v>
      </c>
      <c r="S6" s="47">
        <v>25816.948666901859</v>
      </c>
      <c r="T6" s="47">
        <v>23779.090605033576</v>
      </c>
      <c r="U6" s="47">
        <v>23264.796084520076</v>
      </c>
      <c r="V6" s="47">
        <v>22543.625536176201</v>
      </c>
      <c r="W6" s="47">
        <v>21412.598026627627</v>
      </c>
      <c r="X6" s="47">
        <v>75337.929178096107</v>
      </c>
      <c r="Y6" s="47">
        <v>49803.202117236062</v>
      </c>
      <c r="Z6" s="47">
        <v>33698.903630861314</v>
      </c>
      <c r="AA6" s="47">
        <v>30617.087342597621</v>
      </c>
      <c r="AB6" s="47">
        <v>27292.831725512973</v>
      </c>
      <c r="AC6" s="47">
        <v>26448.580947712431</v>
      </c>
      <c r="AD6" s="47">
        <v>25103.383203523852</v>
      </c>
      <c r="AE6" s="47">
        <v>24266.870934033501</v>
      </c>
      <c r="AF6" s="47">
        <v>29410.050735712957</v>
      </c>
      <c r="AG6" s="47">
        <v>28670.444887375303</v>
      </c>
      <c r="AH6" s="47">
        <v>27743.712809738099</v>
      </c>
      <c r="AI6" s="47">
        <v>29388.440300266451</v>
      </c>
      <c r="AJ6" s="47"/>
    </row>
    <row r="7" spans="1:36">
      <c r="K7" s="203"/>
      <c r="L7" s="204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</row>
    <row r="8" spans="1:36">
      <c r="K8" s="203" t="s">
        <v>233</v>
      </c>
      <c r="L8" s="205">
        <v>601358</v>
      </c>
      <c r="M8">
        <v>157596.6</v>
      </c>
      <c r="N8">
        <v>111051.5</v>
      </c>
      <c r="O8">
        <v>88819.666666666672</v>
      </c>
      <c r="P8">
        <v>74474.666666666672</v>
      </c>
      <c r="Q8">
        <v>65278</v>
      </c>
      <c r="R8">
        <v>59924</v>
      </c>
      <c r="S8">
        <v>72322.875</v>
      </c>
      <c r="T8">
        <v>65060.75</v>
      </c>
      <c r="U8">
        <v>59491</v>
      </c>
      <c r="V8">
        <v>54304.125</v>
      </c>
      <c r="W8">
        <v>49307.875</v>
      </c>
      <c r="X8">
        <v>45663.5</v>
      </c>
      <c r="Y8">
        <v>41827.857142857145</v>
      </c>
      <c r="Z8">
        <v>39403.166666666664</v>
      </c>
      <c r="AA8">
        <v>36542.400000000001</v>
      </c>
      <c r="AB8">
        <v>33256.5</v>
      </c>
      <c r="AC8">
        <v>31033.333333333332</v>
      </c>
      <c r="AD8">
        <v>28936</v>
      </c>
      <c r="AE8">
        <v>28896</v>
      </c>
      <c r="AF8">
        <v>31968.285714285714</v>
      </c>
      <c r="AG8">
        <v>29694.166666666668</v>
      </c>
      <c r="AH8">
        <v>27968</v>
      </c>
      <c r="AI8">
        <v>26900.5</v>
      </c>
    </row>
    <row r="9" spans="1:36">
      <c r="K9" s="206" t="s">
        <v>414</v>
      </c>
      <c r="L9" s="207">
        <v>1</v>
      </c>
      <c r="M9" s="199">
        <v>0.28043665775747739</v>
      </c>
      <c r="N9" s="199">
        <v>0.19151163269608995</v>
      </c>
      <c r="O9" s="199">
        <v>0.15417433736984548</v>
      </c>
      <c r="P9" s="199">
        <v>0.12977648660844812</v>
      </c>
      <c r="Q9" s="199">
        <v>0.11261991222128744</v>
      </c>
      <c r="R9" s="199">
        <v>9.8918674971255824E-2</v>
      </c>
      <c r="S9" s="199">
        <v>8.7390032839713E-2</v>
      </c>
      <c r="T9" s="199">
        <v>7.8085658831204538E-2</v>
      </c>
      <c r="U9" s="199">
        <v>7.0834715097369785E-2</v>
      </c>
      <c r="V9" s="199">
        <v>6.4350340070649714E-2</v>
      </c>
      <c r="W9" s="199">
        <v>5.8651773065199773E-2</v>
      </c>
      <c r="X9" s="199">
        <v>5.3717455302021204E-2</v>
      </c>
      <c r="Y9" s="199">
        <v>4.8682666348995832E-2</v>
      </c>
      <c r="Z9" s="199">
        <v>4.5105370242035633E-2</v>
      </c>
      <c r="AA9" s="199">
        <v>4.1891114818854762E-2</v>
      </c>
      <c r="AB9" s="199">
        <v>3.8810945294285852E-2</v>
      </c>
      <c r="AC9" s="199">
        <v>3.5988713196119404E-2</v>
      </c>
      <c r="AD9" s="199">
        <v>3.3680370663666852E-2</v>
      </c>
      <c r="AE9" s="199">
        <v>3.1331465944095228E-2</v>
      </c>
      <c r="AF9" s="199">
        <v>2.9133619595326447E-2</v>
      </c>
      <c r="AG9" s="199">
        <v>2.7050577193039872E-2</v>
      </c>
      <c r="AH9" s="199">
        <v>2.5370140324679026E-2</v>
      </c>
      <c r="AI9" s="199">
        <v>2.3925262996138917E-2</v>
      </c>
    </row>
    <row r="10" spans="1:36">
      <c r="K10" s="203" t="s">
        <v>232</v>
      </c>
      <c r="L10" s="204">
        <v>4359.1797276666666</v>
      </c>
      <c r="M10" s="47">
        <v>2216.037832</v>
      </c>
      <c r="N10" s="47">
        <v>1562.8154677500002</v>
      </c>
      <c r="O10" s="47">
        <v>1136.810839</v>
      </c>
      <c r="P10" s="47">
        <v>991.78943766666669</v>
      </c>
      <c r="Q10" s="47">
        <v>895.28001799999993</v>
      </c>
      <c r="R10" s="47">
        <v>1710.7456828333334</v>
      </c>
      <c r="S10" s="47">
        <v>1573.7725874999999</v>
      </c>
      <c r="T10" s="47">
        <v>1313.9963236666667</v>
      </c>
      <c r="U10" s="47">
        <v>1115.334758857143</v>
      </c>
      <c r="V10" s="47">
        <v>986.00004912500015</v>
      </c>
      <c r="W10" s="47">
        <v>803.89080424999997</v>
      </c>
      <c r="X10" s="47">
        <v>692.15545237499987</v>
      </c>
      <c r="Y10" s="47">
        <v>555.73610828571429</v>
      </c>
      <c r="Z10" s="47">
        <v>493.77027916666674</v>
      </c>
      <c r="AA10" s="47">
        <v>449.26128559999995</v>
      </c>
      <c r="AB10" s="47">
        <v>403.26492399999995</v>
      </c>
      <c r="AC10" s="47">
        <v>363.93512900000002</v>
      </c>
      <c r="AD10" s="47">
        <v>341.72032899999999</v>
      </c>
      <c r="AE10" s="47">
        <v>372.74033700000001</v>
      </c>
      <c r="AF10" s="47">
        <v>435.82400814285717</v>
      </c>
      <c r="AG10" s="47">
        <v>374.16126833333328</v>
      </c>
      <c r="AH10" s="47">
        <v>351.82180559999995</v>
      </c>
      <c r="AI10" s="47">
        <v>332.85256100000004</v>
      </c>
      <c r="AJ10" s="47"/>
    </row>
    <row r="11" spans="1:36">
      <c r="K11" s="203" t="s">
        <v>358</v>
      </c>
      <c r="L11" s="205">
        <v>1094323</v>
      </c>
      <c r="M11">
        <v>565391.4</v>
      </c>
      <c r="N11">
        <v>417597</v>
      </c>
      <c r="O11">
        <v>338023.66666666669</v>
      </c>
      <c r="P11">
        <v>286887</v>
      </c>
      <c r="Q11">
        <v>249960</v>
      </c>
      <c r="R11">
        <v>235264</v>
      </c>
      <c r="S11">
        <v>272509.875</v>
      </c>
      <c r="T11">
        <v>243502.5</v>
      </c>
      <c r="U11">
        <v>223106.25</v>
      </c>
      <c r="V11">
        <v>203806.875</v>
      </c>
      <c r="W11">
        <v>184819.75</v>
      </c>
      <c r="X11">
        <v>172435.375</v>
      </c>
      <c r="Y11">
        <v>157133</v>
      </c>
      <c r="Z11">
        <v>148064</v>
      </c>
      <c r="AA11">
        <v>138246.6</v>
      </c>
      <c r="AB11">
        <v>126186.5</v>
      </c>
      <c r="AC11">
        <v>115942.33333333333</v>
      </c>
      <c r="AD11">
        <v>105937.5</v>
      </c>
      <c r="AE11">
        <v>109961</v>
      </c>
      <c r="AF11">
        <v>116166.42857142857</v>
      </c>
      <c r="AG11">
        <v>107647.5</v>
      </c>
      <c r="AH11">
        <v>101512.6</v>
      </c>
      <c r="AI11">
        <v>98384</v>
      </c>
    </row>
    <row r="12" spans="1:36">
      <c r="K12" s="208" t="s">
        <v>467</v>
      </c>
      <c r="L12" s="209">
        <f>L11/L8</f>
        <v>1.8197529591358226</v>
      </c>
      <c r="M12" s="44">
        <f t="shared" ref="M12:AI12" si="0">M11/M8</f>
        <v>3.587586280414679</v>
      </c>
      <c r="N12" s="44">
        <f t="shared" si="0"/>
        <v>3.760390449476144</v>
      </c>
      <c r="O12" s="44">
        <f>O11/O8</f>
        <v>3.8057299622080696</v>
      </c>
      <c r="P12" s="44">
        <f t="shared" si="0"/>
        <v>3.852142115439702</v>
      </c>
      <c r="Q12" s="44">
        <f t="shared" si="0"/>
        <v>3.8291614326419317</v>
      </c>
      <c r="R12" s="44">
        <f t="shared" si="0"/>
        <v>3.9260396502236166</v>
      </c>
      <c r="S12" s="44">
        <f t="shared" si="0"/>
        <v>3.7679624185294074</v>
      </c>
      <c r="T12" s="44">
        <f t="shared" si="0"/>
        <v>3.7426943279934521</v>
      </c>
      <c r="U12" s="44">
        <f t="shared" si="0"/>
        <v>3.7502521389790053</v>
      </c>
      <c r="V12" s="44">
        <f t="shared" si="0"/>
        <v>3.753064339035018</v>
      </c>
      <c r="W12" s="44">
        <f t="shared" si="0"/>
        <v>3.7482805738434277</v>
      </c>
      <c r="X12" s="44">
        <f t="shared" si="0"/>
        <v>3.776218971388527</v>
      </c>
      <c r="Y12" s="44">
        <f t="shared" si="0"/>
        <v>3.7566590959545074</v>
      </c>
      <c r="Z12" s="44">
        <f t="shared" si="0"/>
        <v>3.7576675309514043</v>
      </c>
      <c r="AA12" s="44">
        <f t="shared" si="0"/>
        <v>3.7831833705503746</v>
      </c>
      <c r="AB12" s="44">
        <f t="shared" si="0"/>
        <v>3.7943409559033574</v>
      </c>
      <c r="AC12" s="44">
        <f t="shared" si="0"/>
        <v>3.7360580021482277</v>
      </c>
      <c r="AD12" s="44">
        <f t="shared" si="0"/>
        <v>3.6610969035111971</v>
      </c>
      <c r="AE12" s="44">
        <f t="shared" si="0"/>
        <v>3.8054055924695458</v>
      </c>
      <c r="AF12" s="44">
        <f t="shared" si="0"/>
        <v>3.6338022504446368</v>
      </c>
      <c r="AG12" s="44">
        <f t="shared" si="0"/>
        <v>3.6252069710661465</v>
      </c>
      <c r="AH12" s="44">
        <f t="shared" si="0"/>
        <v>3.6295981121281469</v>
      </c>
      <c r="AI12" s="44">
        <f t="shared" si="0"/>
        <v>3.6573297894091188</v>
      </c>
      <c r="AJ12" s="44"/>
    </row>
    <row r="13" spans="1:36">
      <c r="D13" s="165"/>
      <c r="E13" s="166"/>
      <c r="F13" s="166"/>
      <c r="G13" s="167"/>
      <c r="H13" s="213"/>
      <c r="K13" s="203"/>
      <c r="L13" s="205"/>
    </row>
    <row r="14" spans="1:36" ht="28">
      <c r="D14" s="152" t="s">
        <v>220</v>
      </c>
      <c r="E14" s="153" t="s">
        <v>221</v>
      </c>
      <c r="F14" s="153" t="s">
        <v>222</v>
      </c>
      <c r="G14" s="153" t="s">
        <v>223</v>
      </c>
      <c r="H14" s="172"/>
      <c r="K14" s="210" t="s">
        <v>483</v>
      </c>
      <c r="L14" s="211">
        <f>(L6+L10)/L11</f>
        <v>0.29479844594117016</v>
      </c>
      <c r="M14" s="44">
        <f t="shared" ref="M14:AH14" si="1">(M6+M10)/M11</f>
        <v>0.23934155333454135</v>
      </c>
      <c r="N14" s="44">
        <f t="shared" si="1"/>
        <v>0.14776512387192617</v>
      </c>
      <c r="O14" s="44">
        <f t="shared" si="1"/>
        <v>0.14371159876482376</v>
      </c>
      <c r="P14" s="44">
        <f t="shared" si="1"/>
        <v>0.1554579865300332</v>
      </c>
      <c r="Q14" s="44">
        <f t="shared" si="1"/>
        <v>0.1629658050020005</v>
      </c>
      <c r="R14" s="44">
        <f t="shared" si="1"/>
        <v>0.1842546006897916</v>
      </c>
      <c r="S14" s="44">
        <f t="shared" si="1"/>
        <v>0.10051276583794205</v>
      </c>
      <c r="T14" s="44">
        <f t="shared" si="1"/>
        <v>0.10305063368425475</v>
      </c>
      <c r="U14" s="44">
        <f t="shared" si="1"/>
        <v>0.10927587570216979</v>
      </c>
      <c r="V14" s="44">
        <f t="shared" si="1"/>
        <v>0.11545059795112997</v>
      </c>
      <c r="W14" s="44">
        <f t="shared" si="1"/>
        <v>0.12020624868758684</v>
      </c>
      <c r="X14" s="44">
        <f>(X6+X10)/X11</f>
        <v>0.44091929878350716</v>
      </c>
      <c r="Y14" s="44">
        <f t="shared" si="1"/>
        <v>0.32048607374340066</v>
      </c>
      <c r="Z14" s="44">
        <f t="shared" si="1"/>
        <v>0.23093171810857455</v>
      </c>
      <c r="AA14" s="44">
        <f t="shared" si="1"/>
        <v>0.22471690897423605</v>
      </c>
      <c r="AB14" s="44">
        <f t="shared" si="1"/>
        <v>0.21948541761212945</v>
      </c>
      <c r="AC14" s="44">
        <f t="shared" si="1"/>
        <v>0.23125734411111645</v>
      </c>
      <c r="AD14" s="44">
        <f t="shared" si="1"/>
        <v>0.24018976785863222</v>
      </c>
      <c r="AE14" s="44">
        <f t="shared" si="1"/>
        <v>0.22407591119609224</v>
      </c>
      <c r="AF14" s="44">
        <f t="shared" si="1"/>
        <v>0.25692340817299159</v>
      </c>
      <c r="AG14" s="44">
        <f t="shared" si="1"/>
        <v>0.26981217544029018</v>
      </c>
      <c r="AH14" s="44">
        <f t="shared" si="1"/>
        <v>0.27676893917935408</v>
      </c>
      <c r="AI14" s="44">
        <f>(AI6+AI10)/AI11</f>
        <v>0.30209478026169345</v>
      </c>
      <c r="AJ14" s="44"/>
    </row>
    <row r="15" spans="1:36">
      <c r="D15" s="168" t="s">
        <v>224</v>
      </c>
      <c r="E15" s="27" t="s">
        <v>111</v>
      </c>
      <c r="F15" s="154">
        <v>-4479</v>
      </c>
      <c r="G15" s="154">
        <v>-4282</v>
      </c>
      <c r="H15" s="214"/>
      <c r="K15" s="6"/>
      <c r="X15" t="s">
        <v>500</v>
      </c>
    </row>
    <row r="16" spans="1:36" ht="34">
      <c r="D16" s="169"/>
      <c r="E16" s="27" t="s">
        <v>225</v>
      </c>
      <c r="F16" s="154">
        <v>0</v>
      </c>
      <c r="G16" s="154">
        <v>0</v>
      </c>
      <c r="H16" s="214"/>
      <c r="K16" s="173" t="s">
        <v>235</v>
      </c>
      <c r="L16" s="218" t="s">
        <v>468</v>
      </c>
      <c r="M16" s="219" t="s">
        <v>493</v>
      </c>
      <c r="N16" s="222" t="s">
        <v>499</v>
      </c>
    </row>
    <row r="17" spans="4:35">
      <c r="D17" s="169"/>
      <c r="E17" s="27" t="s">
        <v>102</v>
      </c>
      <c r="F17" s="154">
        <v>-115</v>
      </c>
      <c r="G17" s="154">
        <v>-21</v>
      </c>
      <c r="H17" s="214"/>
      <c r="K17" s="6"/>
      <c r="L17" s="220">
        <v>702</v>
      </c>
      <c r="M17" s="221">
        <f>L17*30</f>
        <v>21060</v>
      </c>
      <c r="N17" s="223">
        <f>L17*H57</f>
        <v>430.87384229396736</v>
      </c>
    </row>
    <row r="18" spans="4:35" ht="69" customHeight="1">
      <c r="D18" s="170"/>
      <c r="E18" s="155" t="s">
        <v>226</v>
      </c>
      <c r="F18" s="81">
        <v>-4594</v>
      </c>
      <c r="G18" s="81">
        <v>-4303</v>
      </c>
      <c r="H18" s="215"/>
      <c r="I18" s="6" t="s">
        <v>491</v>
      </c>
      <c r="J18" s="197" t="s">
        <v>484</v>
      </c>
      <c r="K18" s="173" t="s">
        <v>478</v>
      </c>
      <c r="L18" s="47">
        <f>$M$17*L9*L14*L12</f>
        <v>11297.854852012817</v>
      </c>
      <c r="M18" s="47">
        <f>$M$17*M9*M14*M12</f>
        <v>5071.2335179775118</v>
      </c>
      <c r="N18" s="47">
        <f>$M$17*N9*N14*N12</f>
        <v>2241.085413046882</v>
      </c>
      <c r="O18" s="47">
        <f>$M$17*O9*O14*O12</f>
        <v>1775.8253352599397</v>
      </c>
      <c r="P18" s="47">
        <f>$M$17*P9*P14*P12</f>
        <v>1636.7023983451611</v>
      </c>
      <c r="Q18" s="47">
        <f>$M$17*Q9*Q14*Q12</f>
        <v>1480.0408885722907</v>
      </c>
      <c r="R18" s="47">
        <f>$M$17*R9*R14*R12</f>
        <v>1506.9876011872964</v>
      </c>
      <c r="S18" s="47">
        <f>$M$17*S9*S14*S12</f>
        <v>697.02451942394725</v>
      </c>
      <c r="T18" s="47">
        <f>$M$17*T9*T14*T12</f>
        <v>634.2561273449403</v>
      </c>
      <c r="U18" s="47">
        <f>$M$17*U9*U14*U12</f>
        <v>611.34910568340274</v>
      </c>
      <c r="V18" s="47">
        <f>$M$17*V9*V14*V12</f>
        <v>587.20725056562469</v>
      </c>
      <c r="W18" s="47">
        <f>$M$17*W9*W14*W12</f>
        <v>556.54290259255004</v>
      </c>
      <c r="X18" s="47">
        <f>$M$17*X9*X14*X12</f>
        <v>1883.6060461426609</v>
      </c>
      <c r="Y18" s="47">
        <f>$M$17*Y9*Y14*Y12</f>
        <v>1234.3652078728207</v>
      </c>
      <c r="Z18" s="47">
        <f>$M$17*Z9*Z14*Z12</f>
        <v>824.30618355023194</v>
      </c>
      <c r="AA18" s="47">
        <f>$M$17*AA9*AA14*AA12</f>
        <v>750.02101021710496</v>
      </c>
      <c r="AB18" s="47">
        <f>$M$17*AB9*AB14*AB12</f>
        <v>680.69821634974528</v>
      </c>
      <c r="AC18" s="47">
        <f>$M$17*AC9*AC14*AC12</f>
        <v>654.83793290794097</v>
      </c>
      <c r="AD18" s="47">
        <f>$M$17*AD9*AD14*AD12</f>
        <v>623.73620820705935</v>
      </c>
      <c r="AE18" s="47">
        <f>$M$17*AE9*AE14*AE12</f>
        <v>562.64596062367104</v>
      </c>
      <c r="AF18" s="47">
        <f>$M$17*AF9*AF14*AF12</f>
        <v>572.81947653251495</v>
      </c>
      <c r="AG18" s="47">
        <f>$M$17*AG9*AG14*AG12</f>
        <v>557.22328110358058</v>
      </c>
      <c r="AH18" s="47">
        <f>$M$17*AH9*AH14*AH12</f>
        <v>536.7315513726179</v>
      </c>
      <c r="AI18" s="47">
        <f>$M$17*AI9*AI14*AI12</f>
        <v>556.70155197895394</v>
      </c>
    </row>
    <row r="19" spans="4:35">
      <c r="D19" s="156"/>
      <c r="E19" s="27"/>
      <c r="F19" s="157"/>
      <c r="G19" s="157"/>
      <c r="H19" s="216"/>
      <c r="I19" s="62">
        <f>J19+N17*365</f>
        <v>429103.04434817738</v>
      </c>
      <c r="J19" s="62">
        <f>SUM(L19:W19)</f>
        <v>271834.0919108793</v>
      </c>
      <c r="K19" t="s">
        <v>481</v>
      </c>
      <c r="L19" s="62">
        <f>L2*L18</f>
        <v>135574.2582241538</v>
      </c>
      <c r="M19" s="62">
        <f>M2*M18</f>
        <v>55783.568697752627</v>
      </c>
      <c r="N19" s="62">
        <f>N2*N18</f>
        <v>22410.854130468819</v>
      </c>
      <c r="O19" s="62">
        <f>O2*O18</f>
        <v>15982.428017339458</v>
      </c>
      <c r="P19" s="62">
        <f t="shared" ref="P19:AI19" si="2">P2*P18</f>
        <v>13093.619186761289</v>
      </c>
      <c r="Q19" s="62">
        <f t="shared" si="2"/>
        <v>10360.286220006035</v>
      </c>
      <c r="R19" s="62">
        <f>R2*R18</f>
        <v>9041.9256071237778</v>
      </c>
      <c r="S19" s="62">
        <f t="shared" si="2"/>
        <v>3485.1225971197364</v>
      </c>
      <c r="T19" s="62">
        <f t="shared" si="2"/>
        <v>2537.0245093797612</v>
      </c>
      <c r="U19" s="62">
        <f t="shared" si="2"/>
        <v>1834.0473170502082</v>
      </c>
      <c r="V19" s="62">
        <f t="shared" si="2"/>
        <v>1174.4145011312494</v>
      </c>
      <c r="W19" s="62">
        <f t="shared" si="2"/>
        <v>556.54290259255004</v>
      </c>
      <c r="X19" s="62">
        <f t="shared" si="2"/>
        <v>0</v>
      </c>
      <c r="Y19" s="62">
        <f t="shared" si="2"/>
        <v>0</v>
      </c>
      <c r="Z19" s="62">
        <f t="shared" si="2"/>
        <v>0</v>
      </c>
      <c r="AA19" s="62">
        <f t="shared" si="2"/>
        <v>0</v>
      </c>
      <c r="AB19" s="62">
        <f t="shared" si="2"/>
        <v>0</v>
      </c>
      <c r="AC19" s="62">
        <f t="shared" si="2"/>
        <v>0</v>
      </c>
      <c r="AD19" s="62">
        <f t="shared" si="2"/>
        <v>0</v>
      </c>
      <c r="AE19" s="62">
        <f t="shared" si="2"/>
        <v>0</v>
      </c>
      <c r="AF19" s="62">
        <f t="shared" si="2"/>
        <v>0</v>
      </c>
      <c r="AG19" s="62">
        <f t="shared" si="2"/>
        <v>0</v>
      </c>
      <c r="AH19" s="62">
        <f t="shared" si="2"/>
        <v>0</v>
      </c>
      <c r="AI19" s="62">
        <f t="shared" si="2"/>
        <v>0</v>
      </c>
    </row>
    <row r="20" spans="4:35" ht="17">
      <c r="D20" s="168" t="s">
        <v>227</v>
      </c>
      <c r="E20" s="158" t="s">
        <v>111</v>
      </c>
      <c r="F20" s="159">
        <v>-1634835</v>
      </c>
      <c r="G20" s="159">
        <v>-1562930</v>
      </c>
      <c r="H20" s="214"/>
      <c r="I20" s="62">
        <f>J20+N17*365*2</f>
        <v>996878.06721507211</v>
      </c>
      <c r="J20" s="62">
        <f>SUM(L20:AI20)</f>
        <v>682340.16234047594</v>
      </c>
      <c r="K20" s="6" t="s">
        <v>482</v>
      </c>
      <c r="L20" s="62">
        <f>L18*L3</f>
        <v>271148.51644830761</v>
      </c>
      <c r="M20" s="62">
        <f t="shared" ref="M20:AI20" si="3">M18*M3</f>
        <v>116638.37091348277</v>
      </c>
      <c r="N20" s="62">
        <f t="shared" si="3"/>
        <v>49303.879087031404</v>
      </c>
      <c r="O20" s="62">
        <f t="shared" si="3"/>
        <v>37292.332040458736</v>
      </c>
      <c r="P20" s="62">
        <f t="shared" si="3"/>
        <v>32734.047966903221</v>
      </c>
      <c r="Q20" s="62">
        <f t="shared" si="3"/>
        <v>28120.776882873524</v>
      </c>
      <c r="R20" s="62">
        <f t="shared" si="3"/>
        <v>27125.776821371335</v>
      </c>
      <c r="S20" s="62">
        <f t="shared" si="3"/>
        <v>11849.416830207103</v>
      </c>
      <c r="T20" s="62">
        <f t="shared" si="3"/>
        <v>10148.098037519045</v>
      </c>
      <c r="U20" s="62">
        <f t="shared" si="3"/>
        <v>9170.2365852510411</v>
      </c>
      <c r="V20" s="62">
        <f t="shared" si="3"/>
        <v>8220.9015079187448</v>
      </c>
      <c r="W20" s="62">
        <f t="shared" si="3"/>
        <v>7235.05773370315</v>
      </c>
      <c r="X20" s="62">
        <f t="shared" si="3"/>
        <v>22603.272553711933</v>
      </c>
      <c r="Y20" s="62">
        <f t="shared" si="3"/>
        <v>13578.017286601029</v>
      </c>
      <c r="Z20" s="62">
        <f t="shared" si="3"/>
        <v>8243.0618355023198</v>
      </c>
      <c r="AA20" s="62">
        <f t="shared" si="3"/>
        <v>6750.1890919539446</v>
      </c>
      <c r="AB20" s="62">
        <f t="shared" si="3"/>
        <v>5445.5857307979622</v>
      </c>
      <c r="AC20" s="62">
        <f t="shared" si="3"/>
        <v>4583.865530355587</v>
      </c>
      <c r="AD20" s="62">
        <f t="shared" si="3"/>
        <v>3742.4172492423559</v>
      </c>
      <c r="AE20" s="62">
        <f t="shared" si="3"/>
        <v>2813.2298031183554</v>
      </c>
      <c r="AF20" s="62">
        <f t="shared" si="3"/>
        <v>2291.2779061300598</v>
      </c>
      <c r="AG20" s="62">
        <f t="shared" si="3"/>
        <v>1671.6698433107417</v>
      </c>
      <c r="AH20" s="62">
        <f t="shared" si="3"/>
        <v>1073.4631027452358</v>
      </c>
      <c r="AI20" s="62">
        <f t="shared" si="3"/>
        <v>556.70155197895394</v>
      </c>
    </row>
    <row r="21" spans="4:35">
      <c r="D21" s="169"/>
      <c r="E21" s="27" t="s">
        <v>225</v>
      </c>
      <c r="F21" s="154">
        <v>-286667</v>
      </c>
      <c r="G21" s="154">
        <v>-272063</v>
      </c>
      <c r="H21" s="214"/>
    </row>
    <row r="22" spans="4:35" ht="34">
      <c r="D22" s="169"/>
      <c r="E22" s="27" t="s">
        <v>102</v>
      </c>
      <c r="F22" s="154">
        <v>-41975</v>
      </c>
      <c r="G22" s="154">
        <v>-7665</v>
      </c>
      <c r="H22" s="214"/>
      <c r="K22" s="173" t="s">
        <v>236</v>
      </c>
      <c r="L22" s="218" t="s">
        <v>468</v>
      </c>
      <c r="M22" s="224" t="s">
        <v>493</v>
      </c>
      <c r="N22" s="222" t="s">
        <v>499</v>
      </c>
    </row>
    <row r="23" spans="4:35">
      <c r="D23" s="171"/>
      <c r="E23" s="160" t="s">
        <v>226</v>
      </c>
      <c r="F23" s="161">
        <v>-1963477</v>
      </c>
      <c r="G23" s="161">
        <v>-1842658</v>
      </c>
      <c r="H23" s="215"/>
      <c r="L23" s="220">
        <v>398</v>
      </c>
      <c r="M23" s="225">
        <f>L23*30</f>
        <v>11940</v>
      </c>
      <c r="N23" s="223">
        <f>L23*H57</f>
        <v>244.28460004700713</v>
      </c>
    </row>
    <row r="24" spans="4:35" ht="71" customHeight="1">
      <c r="D24" s="162"/>
      <c r="E24" s="163"/>
      <c r="F24" s="164"/>
      <c r="G24" s="164"/>
      <c r="H24" s="217"/>
      <c r="I24" s="6" t="s">
        <v>491</v>
      </c>
      <c r="K24" s="173" t="s">
        <v>478</v>
      </c>
      <c r="L24" s="47">
        <f>$M$23*L9*L14*L12</f>
        <v>6405.3365115400293</v>
      </c>
      <c r="M24" s="47">
        <f t="shared" ref="M24:W24" si="4">$M$23*M9*M14*M12</f>
        <v>2875.1437893946577</v>
      </c>
      <c r="N24" s="47">
        <f t="shared" si="4"/>
        <v>1270.5868865992295</v>
      </c>
      <c r="O24" s="47">
        <f t="shared" si="4"/>
        <v>1006.8069564579146</v>
      </c>
      <c r="P24" s="47">
        <f t="shared" si="4"/>
        <v>927.93098937517686</v>
      </c>
      <c r="Q24" s="47">
        <f t="shared" si="4"/>
        <v>839.11150092844969</v>
      </c>
      <c r="R24" s="47">
        <f t="shared" si="4"/>
        <v>854.38898186972074</v>
      </c>
      <c r="S24" s="47">
        <f t="shared" si="4"/>
        <v>395.17914349106979</v>
      </c>
      <c r="T24" s="47">
        <f t="shared" si="4"/>
        <v>359.59250524684649</v>
      </c>
      <c r="U24" s="47">
        <f t="shared" si="4"/>
        <v>346.60533342164439</v>
      </c>
      <c r="V24" s="47">
        <f t="shared" si="4"/>
        <v>332.91807083350221</v>
      </c>
      <c r="W24" s="47">
        <f t="shared" si="4"/>
        <v>315.53287070061953</v>
      </c>
      <c r="X24" s="47">
        <f t="shared" ref="X24:AI24" si="5">$M$23*X9*X14*X12</f>
        <v>1067.9133993800272</v>
      </c>
      <c r="Y24" s="47">
        <f t="shared" si="5"/>
        <v>699.8252887939924</v>
      </c>
      <c r="Z24" s="47">
        <f t="shared" si="5"/>
        <v>467.34168241166992</v>
      </c>
      <c r="AA24" s="47">
        <f t="shared" si="5"/>
        <v>425.22558698918488</v>
      </c>
      <c r="AB24" s="47">
        <f t="shared" si="5"/>
        <v>385.92292038062487</v>
      </c>
      <c r="AC24" s="47">
        <f t="shared" si="5"/>
        <v>371.26139216148221</v>
      </c>
      <c r="AD24" s="47">
        <f t="shared" si="5"/>
        <v>353.6282206074211</v>
      </c>
      <c r="AE24" s="47">
        <f t="shared" si="5"/>
        <v>318.99300901455996</v>
      </c>
      <c r="AF24" s="47">
        <f t="shared" si="5"/>
        <v>324.76089980048573</v>
      </c>
      <c r="AG24" s="47">
        <f t="shared" si="5"/>
        <v>315.91861236356851</v>
      </c>
      <c r="AH24" s="47">
        <f t="shared" si="5"/>
        <v>304.30079408305119</v>
      </c>
      <c r="AI24" s="47">
        <f t="shared" si="5"/>
        <v>315.62281721883716</v>
      </c>
    </row>
    <row r="25" spans="4:35">
      <c r="D25" s="168" t="s">
        <v>228</v>
      </c>
      <c r="E25" s="27" t="s">
        <v>111</v>
      </c>
      <c r="F25" s="154">
        <v>-3269670</v>
      </c>
      <c r="G25" s="154">
        <v>-3125860</v>
      </c>
      <c r="H25" s="214"/>
      <c r="I25" s="62">
        <f>J25+N23*365</f>
        <v>243280.64337688684</v>
      </c>
      <c r="J25" s="62">
        <f>SUM(L25:W25)</f>
        <v>154116.76435972925</v>
      </c>
      <c r="K25" t="s">
        <v>481</v>
      </c>
      <c r="L25" s="62">
        <f>L24*L2</f>
        <v>76864.038138480348</v>
      </c>
      <c r="M25" s="62">
        <f t="shared" ref="M25:W25" si="6">M24*M2</f>
        <v>31626.581683341235</v>
      </c>
      <c r="N25" s="62">
        <f t="shared" si="6"/>
        <v>12705.868865992295</v>
      </c>
      <c r="O25" s="62">
        <f t="shared" si="6"/>
        <v>9061.2626081212311</v>
      </c>
      <c r="P25" s="62">
        <f t="shared" si="6"/>
        <v>7423.4479150014149</v>
      </c>
      <c r="Q25" s="62">
        <f t="shared" si="6"/>
        <v>5873.780506499148</v>
      </c>
      <c r="R25" s="62">
        <f t="shared" si="6"/>
        <v>5126.3338912183244</v>
      </c>
      <c r="S25" s="62">
        <f t="shared" si="6"/>
        <v>1975.8957174553489</v>
      </c>
      <c r="T25" s="62">
        <f t="shared" si="6"/>
        <v>1438.3700209873859</v>
      </c>
      <c r="U25" s="62">
        <f t="shared" si="6"/>
        <v>1039.8160002649331</v>
      </c>
      <c r="V25" s="62">
        <f t="shared" si="6"/>
        <v>665.83614166700443</v>
      </c>
      <c r="W25" s="62">
        <f t="shared" si="6"/>
        <v>315.53287070061953</v>
      </c>
      <c r="X25" s="62">
        <f t="shared" ref="X25" si="7">X24*X2</f>
        <v>0</v>
      </c>
      <c r="Y25" s="62">
        <f t="shared" ref="Y25" si="8">Y24*Y2</f>
        <v>0</v>
      </c>
      <c r="Z25" s="62">
        <f t="shared" ref="Z25" si="9">Z24*Z2</f>
        <v>0</v>
      </c>
      <c r="AA25" s="62">
        <f t="shared" ref="AA25" si="10">AA24*AA2</f>
        <v>0</v>
      </c>
      <c r="AB25" s="62">
        <f t="shared" ref="AB25" si="11">AB24*AB2</f>
        <v>0</v>
      </c>
      <c r="AC25" s="62">
        <f t="shared" ref="AC25" si="12">AC24*AC2</f>
        <v>0</v>
      </c>
      <c r="AD25" s="62">
        <f t="shared" ref="AD25" si="13">AD24*AD2</f>
        <v>0</v>
      </c>
      <c r="AE25" s="62">
        <f t="shared" ref="AE25" si="14">AE24*AE2</f>
        <v>0</v>
      </c>
      <c r="AF25" s="62">
        <f t="shared" ref="AF25" si="15">AF24*AF2</f>
        <v>0</v>
      </c>
      <c r="AG25" s="62">
        <f t="shared" ref="AG25:AH25" si="16">AG24*AG2</f>
        <v>0</v>
      </c>
      <c r="AH25" s="62">
        <f t="shared" si="16"/>
        <v>0</v>
      </c>
      <c r="AI25" s="62">
        <f t="shared" ref="AI25" si="17">AI24*AI2</f>
        <v>0</v>
      </c>
    </row>
    <row r="26" spans="4:35" ht="17">
      <c r="D26" s="169"/>
      <c r="E26" s="27" t="s">
        <v>225</v>
      </c>
      <c r="F26" s="154">
        <v>-1303982</v>
      </c>
      <c r="G26" s="154">
        <v>-1241314</v>
      </c>
      <c r="H26" s="214"/>
      <c r="I26" s="62">
        <f>J26+N23*365*2</f>
        <v>565181.58226723457</v>
      </c>
      <c r="J26" s="62">
        <f>SUM(L26:AI26)</f>
        <v>386853.82423291943</v>
      </c>
      <c r="K26" s="6" t="s">
        <v>482</v>
      </c>
      <c r="L26" s="62">
        <f>L24*L3</f>
        <v>153728.0762769607</v>
      </c>
      <c r="M26" s="62">
        <f t="shared" ref="M26:W26" si="18">M24*M3</f>
        <v>66128.30715607712</v>
      </c>
      <c r="N26" s="62">
        <f t="shared" si="18"/>
        <v>27952.911505183049</v>
      </c>
      <c r="O26" s="62">
        <f t="shared" si="18"/>
        <v>21142.946085616204</v>
      </c>
      <c r="P26" s="62">
        <f t="shared" si="18"/>
        <v>18558.619787503536</v>
      </c>
      <c r="Q26" s="62">
        <f t="shared" si="18"/>
        <v>15943.118517640543</v>
      </c>
      <c r="R26" s="62">
        <f t="shared" si="18"/>
        <v>15379.001673654973</v>
      </c>
      <c r="S26" s="62">
        <f t="shared" si="18"/>
        <v>6718.0454393481868</v>
      </c>
      <c r="T26" s="62">
        <f t="shared" si="18"/>
        <v>5753.4800839495438</v>
      </c>
      <c r="U26" s="62">
        <f t="shared" si="18"/>
        <v>5199.0800013246662</v>
      </c>
      <c r="V26" s="62">
        <f t="shared" si="18"/>
        <v>4660.8529916690313</v>
      </c>
      <c r="W26" s="62">
        <f t="shared" si="18"/>
        <v>4101.9273191080538</v>
      </c>
      <c r="X26" s="62">
        <f t="shared" ref="X26:AI26" si="19">X24*X3</f>
        <v>12814.960792560327</v>
      </c>
      <c r="Y26" s="62">
        <f t="shared" si="19"/>
        <v>7698.0781767339167</v>
      </c>
      <c r="Z26" s="62">
        <f t="shared" si="19"/>
        <v>4673.416824116699</v>
      </c>
      <c r="AA26" s="62">
        <f t="shared" si="19"/>
        <v>3827.0302829026641</v>
      </c>
      <c r="AB26" s="62">
        <f t="shared" si="19"/>
        <v>3087.383363044999</v>
      </c>
      <c r="AC26" s="62">
        <f t="shared" si="19"/>
        <v>2598.8297451303756</v>
      </c>
      <c r="AD26" s="62">
        <f t="shared" si="19"/>
        <v>2121.7693236445266</v>
      </c>
      <c r="AE26" s="62">
        <f t="shared" si="19"/>
        <v>1594.9650450727997</v>
      </c>
      <c r="AF26" s="62">
        <f t="shared" si="19"/>
        <v>1299.0435992019429</v>
      </c>
      <c r="AG26" s="62">
        <f t="shared" si="19"/>
        <v>947.75583709070554</v>
      </c>
      <c r="AH26" s="62">
        <f t="shared" si="19"/>
        <v>608.60158816610237</v>
      </c>
      <c r="AI26" s="62">
        <f t="shared" si="19"/>
        <v>315.62281721883716</v>
      </c>
    </row>
    <row r="27" spans="4:35">
      <c r="D27" s="169"/>
      <c r="E27" s="27" t="s">
        <v>102</v>
      </c>
      <c r="F27" s="154">
        <v>-83950</v>
      </c>
      <c r="G27" s="154">
        <v>-15330</v>
      </c>
      <c r="H27" s="214"/>
    </row>
    <row r="28" spans="4:35">
      <c r="D28" s="170"/>
      <c r="E28" s="160" t="s">
        <v>226</v>
      </c>
      <c r="F28" s="161">
        <v>-4657602</v>
      </c>
      <c r="G28" s="161">
        <v>-4382504</v>
      </c>
      <c r="H28" s="215"/>
    </row>
    <row r="29" spans="4:35">
      <c r="K29" t="s">
        <v>492</v>
      </c>
    </row>
    <row r="33" spans="4:19" ht="34">
      <c r="D33" t="s">
        <v>477</v>
      </c>
      <c r="F33" s="6" t="s">
        <v>469</v>
      </c>
      <c r="G33" s="6" t="s">
        <v>470</v>
      </c>
      <c r="H33" s="6"/>
      <c r="K33" s="6" t="s">
        <v>469</v>
      </c>
      <c r="L33" s="6" t="s">
        <v>470</v>
      </c>
    </row>
    <row r="34" spans="4:19">
      <c r="D34" t="s">
        <v>471</v>
      </c>
      <c r="E34" t="s">
        <v>91</v>
      </c>
      <c r="F34">
        <v>3.2530519273563501</v>
      </c>
      <c r="G34">
        <v>1.1846834280499097</v>
      </c>
      <c r="J34" t="s">
        <v>472</v>
      </c>
      <c r="K34">
        <f>SUM(F34:F41)</f>
        <v>231.55388854050688</v>
      </c>
      <c r="L34">
        <f>SUM(G34:G41)</f>
        <v>131.39408627334305</v>
      </c>
    </row>
    <row r="35" spans="4:19">
      <c r="D35" t="s">
        <v>473</v>
      </c>
      <c r="E35" t="s">
        <v>91</v>
      </c>
      <c r="F35">
        <v>8.3563370479386343</v>
      </c>
      <c r="G35">
        <v>9.4589239544044261</v>
      </c>
      <c r="J35" t="s">
        <v>474</v>
      </c>
      <c r="K35" s="47">
        <f>K34/0.33</f>
        <v>701.67845012274802</v>
      </c>
      <c r="L35" s="47">
        <f>L34/0.33</f>
        <v>398.1638977980092</v>
      </c>
    </row>
    <row r="36" spans="4:19">
      <c r="D36" t="s">
        <v>475</v>
      </c>
      <c r="E36" t="s">
        <v>91</v>
      </c>
      <c r="F36">
        <v>102.70753263773727</v>
      </c>
      <c r="G36">
        <v>56.716408932314188</v>
      </c>
    </row>
    <row r="37" spans="4:19">
      <c r="D37" t="s">
        <v>476</v>
      </c>
      <c r="E37" t="s">
        <v>91</v>
      </c>
      <c r="F37">
        <v>-1.6846391481106209E-2</v>
      </c>
      <c r="G37">
        <v>-1.1931046094958302E-2</v>
      </c>
    </row>
    <row r="38" spans="4:19">
      <c r="D38" t="s">
        <v>471</v>
      </c>
      <c r="E38" t="s">
        <v>95</v>
      </c>
      <c r="F38">
        <v>46.892196924362906</v>
      </c>
      <c r="G38">
        <v>22.278294981498135</v>
      </c>
    </row>
    <row r="39" spans="4:19">
      <c r="D39" t="s">
        <v>473</v>
      </c>
      <c r="E39" t="s">
        <v>95</v>
      </c>
      <c r="F39">
        <v>22.57156653378965</v>
      </c>
      <c r="G39">
        <v>21.322462278812164</v>
      </c>
    </row>
    <row r="40" spans="4:19">
      <c r="D40" t="s">
        <v>475</v>
      </c>
      <c r="E40" t="s">
        <v>95</v>
      </c>
      <c r="F40">
        <v>46.035098525834272</v>
      </c>
      <c r="G40">
        <v>20.480924568328387</v>
      </c>
      <c r="L40">
        <v>12</v>
      </c>
      <c r="M40">
        <v>11</v>
      </c>
      <c r="N40">
        <v>10</v>
      </c>
    </row>
    <row r="41" spans="4:19">
      <c r="D41" t="s">
        <v>476</v>
      </c>
      <c r="E41" t="s">
        <v>95</v>
      </c>
      <c r="F41">
        <v>1.7549513349688912</v>
      </c>
      <c r="G41">
        <v>-3.5680823969223979E-2</v>
      </c>
      <c r="K41" t="s">
        <v>490</v>
      </c>
      <c r="L41">
        <v>1</v>
      </c>
      <c r="M41">
        <v>2</v>
      </c>
      <c r="N41">
        <v>3</v>
      </c>
      <c r="S41">
        <v>12</v>
      </c>
    </row>
    <row r="42" spans="4:19">
      <c r="K42" s="212">
        <v>45778</v>
      </c>
      <c r="L42" t="s">
        <v>488</v>
      </c>
      <c r="M42" t="s">
        <v>486</v>
      </c>
      <c r="N42" t="s">
        <v>487</v>
      </c>
    </row>
    <row r="43" spans="4:19">
      <c r="K43" s="212">
        <v>45809</v>
      </c>
      <c r="L43" t="s">
        <v>489</v>
      </c>
    </row>
    <row r="45" spans="4:19">
      <c r="D45" t="s">
        <v>85</v>
      </c>
      <c r="E45" t="s">
        <v>495</v>
      </c>
      <c r="F45" t="s">
        <v>496</v>
      </c>
      <c r="G45" t="s">
        <v>494</v>
      </c>
    </row>
    <row r="46" spans="4:19">
      <c r="D46" t="s">
        <v>91</v>
      </c>
    </row>
    <row r="47" spans="4:19">
      <c r="D47" t="s">
        <v>91</v>
      </c>
      <c r="E47" t="s">
        <v>471</v>
      </c>
      <c r="F47">
        <v>48214</v>
      </c>
      <c r="G47">
        <v>51482.806854999901</v>
      </c>
    </row>
    <row r="48" spans="4:19">
      <c r="D48" t="s">
        <v>91</v>
      </c>
      <c r="E48" t="s">
        <v>473</v>
      </c>
      <c r="F48">
        <v>72916</v>
      </c>
      <c r="G48">
        <v>15886.946952999901</v>
      </c>
    </row>
    <row r="49" spans="4:12">
      <c r="D49" t="s">
        <v>91</v>
      </c>
      <c r="E49" t="s">
        <v>475</v>
      </c>
      <c r="F49">
        <v>399620</v>
      </c>
      <c r="G49">
        <v>92209.155675999995</v>
      </c>
      <c r="K49" s="212">
        <v>46113</v>
      </c>
      <c r="L49" s="212">
        <v>46113</v>
      </c>
    </row>
    <row r="50" spans="4:12">
      <c r="E50" t="s">
        <v>497</v>
      </c>
      <c r="F50">
        <v>10977</v>
      </c>
      <c r="G50">
        <v>9.1641049999999993</v>
      </c>
    </row>
    <row r="51" spans="4:12">
      <c r="D51" t="s">
        <v>95</v>
      </c>
    </row>
    <row r="52" spans="4:12">
      <c r="D52" t="s">
        <v>95</v>
      </c>
      <c r="E52" t="s">
        <v>471</v>
      </c>
      <c r="F52">
        <v>146971</v>
      </c>
      <c r="G52">
        <v>339741.30318899901</v>
      </c>
    </row>
    <row r="53" spans="4:12">
      <c r="D53" t="s">
        <v>95</v>
      </c>
      <c r="E53" t="s">
        <v>473</v>
      </c>
      <c r="F53">
        <v>40495</v>
      </c>
      <c r="G53">
        <v>1014.950061</v>
      </c>
    </row>
    <row r="54" spans="4:12">
      <c r="D54" t="s">
        <v>95</v>
      </c>
      <c r="E54" t="s">
        <v>475</v>
      </c>
      <c r="F54">
        <v>93128</v>
      </c>
      <c r="G54">
        <v>2839.4007390000002</v>
      </c>
    </row>
    <row r="55" spans="4:12">
      <c r="E55" t="s">
        <v>497</v>
      </c>
      <c r="F55">
        <v>8012</v>
      </c>
      <c r="G55">
        <v>320.59104100000002</v>
      </c>
    </row>
    <row r="56" spans="4:12">
      <c r="H56" t="s">
        <v>498</v>
      </c>
    </row>
    <row r="57" spans="4:12">
      <c r="F57">
        <f>SUM(F46:F55)</f>
        <v>820333</v>
      </c>
      <c r="G57">
        <f>SUM(G46:G55)</f>
        <v>503504.3186189988</v>
      </c>
      <c r="H57">
        <f>G57/F57</f>
        <v>0.61378040212815865</v>
      </c>
    </row>
  </sheetData>
  <mergeCells count="4">
    <mergeCell ref="D13:G13"/>
    <mergeCell ref="D15:D18"/>
    <mergeCell ref="D20:D23"/>
    <mergeCell ref="D25:D28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90C1-90FE-AB4F-80C2-51D82BB7A109}">
  <dimension ref="B1:BO54"/>
  <sheetViews>
    <sheetView topLeftCell="AS1" workbookViewId="0">
      <selection activeCell="AQ26" sqref="AQ26:BO26"/>
    </sheetView>
  </sheetViews>
  <sheetFormatPr baseColWidth="10" defaultRowHeight="16"/>
  <cols>
    <col min="7" max="7" width="10.83203125" style="174"/>
    <col min="11" max="11" width="14" bestFit="1" customWidth="1"/>
    <col min="12" max="13" width="12.33203125" bestFit="1" customWidth="1"/>
    <col min="14" max="36" width="11.33203125" bestFit="1" customWidth="1"/>
    <col min="43" max="43" width="12.33203125" bestFit="1" customWidth="1"/>
    <col min="44" max="44" width="15" customWidth="1"/>
    <col min="50" max="50" width="11.33203125" bestFit="1" customWidth="1"/>
  </cols>
  <sheetData>
    <row r="1" spans="2:67">
      <c r="L1" t="s">
        <v>343</v>
      </c>
      <c r="M1" t="s">
        <v>344</v>
      </c>
      <c r="AQ1" t="s">
        <v>343</v>
      </c>
      <c r="AR1" t="s">
        <v>344</v>
      </c>
    </row>
    <row r="2" spans="2:67" s="6" customFormat="1" ht="34">
      <c r="B2" s="176" t="s">
        <v>295</v>
      </c>
      <c r="G2" s="174"/>
      <c r="J2" s="6" t="s">
        <v>244</v>
      </c>
      <c r="K2" s="6" t="s">
        <v>271</v>
      </c>
      <c r="L2" s="6" t="s">
        <v>341</v>
      </c>
      <c r="M2" s="6" t="s">
        <v>342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O2" s="6" t="s">
        <v>244</v>
      </c>
      <c r="AP2" s="6" t="s">
        <v>271</v>
      </c>
      <c r="AQ2" s="6" t="s">
        <v>341</v>
      </c>
      <c r="AR2" s="6" t="s">
        <v>342</v>
      </c>
      <c r="AS2" s="6" t="s">
        <v>272</v>
      </c>
      <c r="AT2" s="6" t="s">
        <v>273</v>
      </c>
      <c r="AU2" s="6" t="s">
        <v>274</v>
      </c>
      <c r="AV2" s="6" t="s">
        <v>275</v>
      </c>
      <c r="AW2" s="6" t="s">
        <v>276</v>
      </c>
      <c r="AX2" s="6" t="s">
        <v>277</v>
      </c>
      <c r="AY2" s="6" t="s">
        <v>278</v>
      </c>
      <c r="AZ2" s="6" t="s">
        <v>279</v>
      </c>
      <c r="BA2" s="6" t="s">
        <v>280</v>
      </c>
      <c r="BB2" s="6" t="s">
        <v>281</v>
      </c>
      <c r="BC2" s="6" t="s">
        <v>282</v>
      </c>
      <c r="BD2" s="6" t="s">
        <v>283</v>
      </c>
      <c r="BE2" s="6" t="s">
        <v>284</v>
      </c>
      <c r="BF2" s="6" t="s">
        <v>285</v>
      </c>
      <c r="BG2" s="6" t="s">
        <v>286</v>
      </c>
      <c r="BH2" s="6" t="s">
        <v>287</v>
      </c>
      <c r="BI2" s="6" t="s">
        <v>288</v>
      </c>
      <c r="BJ2" s="6" t="s">
        <v>289</v>
      </c>
      <c r="BK2" s="6" t="s">
        <v>290</v>
      </c>
      <c r="BL2" s="6" t="s">
        <v>291</v>
      </c>
      <c r="BM2" s="6" t="s">
        <v>292</v>
      </c>
      <c r="BN2" s="6" t="s">
        <v>293</v>
      </c>
      <c r="BO2" s="6" t="s">
        <v>294</v>
      </c>
    </row>
    <row r="3" spans="2:67">
      <c r="B3" s="176" t="s">
        <v>296</v>
      </c>
      <c r="J3" s="7">
        <v>44927</v>
      </c>
      <c r="K3" s="47">
        <v>1239076</v>
      </c>
      <c r="L3" s="47">
        <v>228723.837395676</v>
      </c>
      <c r="M3" s="47">
        <v>98535.115800342406</v>
      </c>
      <c r="N3" s="47">
        <v>42442.955329595403</v>
      </c>
      <c r="O3" s="47">
        <v>31389.358540262401</v>
      </c>
      <c r="P3" s="47">
        <v>28455.223823998</v>
      </c>
      <c r="Q3" s="47">
        <v>35621.559341003398</v>
      </c>
      <c r="R3" s="47">
        <v>32215.636524185498</v>
      </c>
      <c r="S3" s="47">
        <v>34313.765816227198</v>
      </c>
      <c r="T3" s="47">
        <v>33634.421273203203</v>
      </c>
      <c r="U3" s="47">
        <v>33967.071700573499</v>
      </c>
      <c r="V3" s="47">
        <v>31849.068335024898</v>
      </c>
      <c r="W3" s="47">
        <v>31639.120808420099</v>
      </c>
      <c r="X3" s="47">
        <v>90880.1046776281</v>
      </c>
      <c r="Y3" s="47">
        <v>61406.502694753101</v>
      </c>
      <c r="Z3" s="47">
        <v>41760.599193118302</v>
      </c>
      <c r="AA3" s="47">
        <v>36390.816437826899</v>
      </c>
      <c r="AB3" s="47">
        <v>33555.6355393341</v>
      </c>
      <c r="AC3" s="47">
        <v>37308.933577794502</v>
      </c>
      <c r="AD3" s="47">
        <v>34280.371280114603</v>
      </c>
      <c r="AE3" s="47">
        <v>32207.140313223201</v>
      </c>
      <c r="AF3" s="47">
        <v>31133.636473764502</v>
      </c>
      <c r="AG3" s="47">
        <v>31763.027644450001</v>
      </c>
      <c r="AH3" s="47">
        <v>28343.555251782</v>
      </c>
      <c r="AI3" s="47">
        <v>30850.532378276501</v>
      </c>
      <c r="AJ3" s="47">
        <v>63411.949401288497</v>
      </c>
      <c r="AL3" s="7"/>
      <c r="AM3" s="44"/>
      <c r="AN3" s="44"/>
      <c r="AO3" s="7">
        <v>44927</v>
      </c>
      <c r="AP3" s="47">
        <v>1239076</v>
      </c>
      <c r="AQ3" s="47">
        <v>228723.837395676</v>
      </c>
      <c r="AR3" s="47">
        <v>98535.115800342406</v>
      </c>
      <c r="AS3" s="47">
        <v>42442.955329595403</v>
      </c>
      <c r="AT3" s="47">
        <v>31389.358540262401</v>
      </c>
      <c r="AU3" s="47">
        <v>28455.223823998</v>
      </c>
      <c r="AV3" s="47">
        <v>35621.559341003398</v>
      </c>
      <c r="AW3" s="47">
        <v>32215.636524185498</v>
      </c>
      <c r="AX3" s="47">
        <v>34313.765816227198</v>
      </c>
      <c r="AY3" s="47">
        <v>33634.421273203203</v>
      </c>
      <c r="AZ3" s="47">
        <v>33967.071700573499</v>
      </c>
      <c r="BA3" s="47">
        <v>31849.068335024898</v>
      </c>
      <c r="BB3" s="47">
        <v>31639.120808420099</v>
      </c>
      <c r="BC3" s="47">
        <v>90880.1046776281</v>
      </c>
      <c r="BD3" s="47">
        <v>61406.502694753101</v>
      </c>
      <c r="BE3" s="47">
        <v>41760.599193118302</v>
      </c>
      <c r="BF3" s="47">
        <v>36390.816437826899</v>
      </c>
      <c r="BG3" s="47">
        <v>33555.6355393341</v>
      </c>
      <c r="BH3" s="47">
        <v>37308.933577794502</v>
      </c>
      <c r="BI3" s="47">
        <v>34280.371280114603</v>
      </c>
      <c r="BJ3" s="47">
        <v>32207.140313223201</v>
      </c>
      <c r="BK3" s="47">
        <v>31133.636473764502</v>
      </c>
      <c r="BL3" s="47">
        <v>31763.027644450001</v>
      </c>
      <c r="BM3" s="47">
        <v>28343.555251782</v>
      </c>
      <c r="BN3" s="47">
        <v>30850.532378276501</v>
      </c>
      <c r="BO3" s="47">
        <v>63411.949401288497</v>
      </c>
    </row>
    <row r="4" spans="2:67">
      <c r="B4" s="177" t="s">
        <v>297</v>
      </c>
      <c r="J4" s="7">
        <v>44958</v>
      </c>
      <c r="K4" s="47">
        <v>1004707</v>
      </c>
      <c r="L4" s="47">
        <v>190698.76043722901</v>
      </c>
      <c r="M4" s="47">
        <v>102533.969357838</v>
      </c>
      <c r="N4" s="47">
        <v>37078.123649419998</v>
      </c>
      <c r="O4" s="47">
        <v>28118.122147984101</v>
      </c>
      <c r="P4" s="47">
        <v>30098.5308529785</v>
      </c>
      <c r="Q4" s="47">
        <v>28472.177687626601</v>
      </c>
      <c r="R4" s="47">
        <v>29717.154717967001</v>
      </c>
      <c r="S4" s="47">
        <v>32366.659549821299</v>
      </c>
      <c r="T4" s="47">
        <v>32462.680427761799</v>
      </c>
      <c r="U4" s="47">
        <v>27715.179537489999</v>
      </c>
      <c r="V4" s="47">
        <v>29005.285709540301</v>
      </c>
      <c r="W4" s="47">
        <v>28796.694558955402</v>
      </c>
      <c r="X4" s="47">
        <v>74914.417731866997</v>
      </c>
      <c r="Y4" s="47">
        <v>55485.615860550599</v>
      </c>
      <c r="Z4" s="47">
        <v>35315.500141747099</v>
      </c>
      <c r="AA4" s="47">
        <v>32708.863330309501</v>
      </c>
      <c r="AB4" s="47">
        <v>31903.895795357501</v>
      </c>
      <c r="AC4" s="47">
        <v>31310.403177777302</v>
      </c>
      <c r="AD4" s="47">
        <v>29160.059711061898</v>
      </c>
      <c r="AE4" s="47">
        <v>29321.096628654799</v>
      </c>
      <c r="AF4" s="47">
        <v>29660.068445639499</v>
      </c>
      <c r="AG4" s="47">
        <v>24346.994170749898</v>
      </c>
      <c r="AH4" s="47">
        <v>26167.147088628</v>
      </c>
      <c r="AI4" s="47">
        <v>29259.487607920499</v>
      </c>
      <c r="AJ4" s="47">
        <v>46773.760255180401</v>
      </c>
      <c r="AL4" s="7"/>
      <c r="AM4" s="44"/>
      <c r="AN4" s="44"/>
      <c r="AO4" s="7">
        <v>44958</v>
      </c>
      <c r="AP4" s="47">
        <v>1004707</v>
      </c>
      <c r="AQ4" s="47">
        <v>190698.76043722901</v>
      </c>
      <c r="AR4" s="47">
        <v>102533.969357838</v>
      </c>
      <c r="AS4" s="47">
        <v>37078.123649419998</v>
      </c>
      <c r="AT4" s="47">
        <v>28118.122147984101</v>
      </c>
      <c r="AU4" s="47">
        <v>30098.5308529785</v>
      </c>
      <c r="AV4" s="47">
        <v>28472.177687626601</v>
      </c>
      <c r="AW4" s="47">
        <v>29717.154717967001</v>
      </c>
      <c r="AX4" s="47">
        <v>32366.659549821299</v>
      </c>
      <c r="AY4" s="47">
        <v>32462.680427761799</v>
      </c>
      <c r="AZ4" s="47">
        <v>27715.179537489999</v>
      </c>
      <c r="BA4" s="47">
        <v>29005.285709540301</v>
      </c>
      <c r="BB4" s="47">
        <v>28796.694558955402</v>
      </c>
      <c r="BC4" s="47">
        <v>74914.417731866997</v>
      </c>
      <c r="BD4" s="47">
        <v>55485.615860550599</v>
      </c>
      <c r="BE4" s="47">
        <v>35315.500141747099</v>
      </c>
      <c r="BF4" s="47">
        <v>32708.863330309501</v>
      </c>
      <c r="BG4" s="47">
        <v>31903.895795357501</v>
      </c>
      <c r="BH4" s="47">
        <v>31310.403177777302</v>
      </c>
      <c r="BI4" s="47">
        <v>29160.059711061898</v>
      </c>
      <c r="BJ4" s="47">
        <v>29321.096628654799</v>
      </c>
      <c r="BK4" s="47">
        <v>29660.068445639499</v>
      </c>
      <c r="BL4" s="47">
        <v>24346.994170749898</v>
      </c>
      <c r="BM4" s="47">
        <v>26167.147088628</v>
      </c>
      <c r="BN4" s="47">
        <v>29259.487607920499</v>
      </c>
      <c r="BO4" s="47">
        <v>46773.760255180401</v>
      </c>
    </row>
    <row r="5" spans="2:67">
      <c r="B5" s="176" t="s">
        <v>298</v>
      </c>
      <c r="J5" s="7">
        <v>44986</v>
      </c>
      <c r="K5" s="47">
        <v>1134542</v>
      </c>
      <c r="L5" s="47">
        <v>232230.63185792699</v>
      </c>
      <c r="M5" s="47">
        <v>119796.763278339</v>
      </c>
      <c r="N5" s="47">
        <v>40667.328338038198</v>
      </c>
      <c r="O5" s="47">
        <v>38571.920997414498</v>
      </c>
      <c r="P5" s="47">
        <v>33443.207782061603</v>
      </c>
      <c r="Q5" s="47">
        <v>34690.650258041598</v>
      </c>
      <c r="R5" s="47">
        <v>36699.061164567604</v>
      </c>
      <c r="S5" s="47">
        <v>35061.4307885417</v>
      </c>
      <c r="T5" s="47">
        <v>31068.334015135199</v>
      </c>
      <c r="U5" s="47">
        <v>29561.181049955201</v>
      </c>
      <c r="V5" s="47">
        <v>33880.887426213398</v>
      </c>
      <c r="W5" s="47">
        <v>32512.104072293499</v>
      </c>
      <c r="X5" s="47">
        <v>88579.452334335598</v>
      </c>
      <c r="Y5" s="47">
        <v>58459.032164952499</v>
      </c>
      <c r="Z5" s="47">
        <v>40642.571378439403</v>
      </c>
      <c r="AA5" s="47">
        <v>37036.785906213699</v>
      </c>
      <c r="AB5" s="47">
        <v>36930.272753934798</v>
      </c>
      <c r="AC5" s="47">
        <v>30850.057852894999</v>
      </c>
      <c r="AD5" s="47">
        <v>32626.6320809963</v>
      </c>
      <c r="AE5" s="47">
        <v>32373.147490458599</v>
      </c>
      <c r="AF5" s="47">
        <v>27855.4268211448</v>
      </c>
      <c r="AG5" s="47">
        <v>29799.105459984301</v>
      </c>
      <c r="AH5" s="47">
        <v>31280.2586082579</v>
      </c>
      <c r="AI5" s="47">
        <v>27209.749569907799</v>
      </c>
      <c r="AJ5" s="47">
        <v>60348.433577617398</v>
      </c>
      <c r="AL5" s="7"/>
      <c r="AM5" s="44"/>
      <c r="AN5" s="44"/>
      <c r="AO5" s="7">
        <v>44986</v>
      </c>
      <c r="AP5" s="47">
        <v>1134542</v>
      </c>
      <c r="AQ5" s="47">
        <v>232230.63185792699</v>
      </c>
      <c r="AR5" s="47">
        <v>119796.763278339</v>
      </c>
      <c r="AS5" s="47">
        <v>40667.328338038198</v>
      </c>
      <c r="AT5" s="47">
        <v>38571.920997414498</v>
      </c>
      <c r="AU5" s="47">
        <v>33443.207782061603</v>
      </c>
      <c r="AV5" s="47">
        <v>34690.650258041598</v>
      </c>
      <c r="AW5" s="47">
        <v>36699.061164567604</v>
      </c>
      <c r="AX5" s="47">
        <v>35061.4307885417</v>
      </c>
      <c r="AY5" s="47">
        <v>31068.334015135199</v>
      </c>
      <c r="AZ5" s="47">
        <v>29561.181049955201</v>
      </c>
      <c r="BA5" s="47">
        <v>33880.887426213398</v>
      </c>
      <c r="BB5" s="47">
        <v>32512.104072293499</v>
      </c>
      <c r="BC5" s="47">
        <v>88579.452334335598</v>
      </c>
      <c r="BD5" s="47">
        <v>58459.032164952499</v>
      </c>
      <c r="BE5" s="47">
        <v>40642.571378439403</v>
      </c>
      <c r="BF5" s="47">
        <v>37036.785906213699</v>
      </c>
      <c r="BG5" s="47">
        <v>36930.272753934798</v>
      </c>
      <c r="BH5" s="47">
        <v>30850.057852894999</v>
      </c>
      <c r="BI5" s="47">
        <v>32626.6320809963</v>
      </c>
      <c r="BJ5" s="47">
        <v>32373.147490458599</v>
      </c>
      <c r="BK5" s="47">
        <v>27855.4268211448</v>
      </c>
      <c r="BL5" s="47">
        <v>29799.105459984301</v>
      </c>
      <c r="BM5" s="47">
        <v>31280.2586082579</v>
      </c>
      <c r="BN5" s="47">
        <v>27209.749569907799</v>
      </c>
      <c r="BO5" s="47">
        <v>60348.433577617398</v>
      </c>
    </row>
    <row r="6" spans="2:67">
      <c r="B6" s="176" t="s">
        <v>299</v>
      </c>
      <c r="J6" s="7">
        <v>45017</v>
      </c>
      <c r="K6" s="47">
        <v>1112613</v>
      </c>
      <c r="L6" s="47">
        <v>247796.75448632101</v>
      </c>
      <c r="M6" s="47">
        <v>113659.477957733</v>
      </c>
      <c r="N6" s="47">
        <v>50562.298332516599</v>
      </c>
      <c r="O6" s="47">
        <v>38940.358924587701</v>
      </c>
      <c r="P6" s="47">
        <v>38641.186208210798</v>
      </c>
      <c r="Q6" s="47">
        <v>40209.247787569097</v>
      </c>
      <c r="R6" s="47">
        <v>40060.539299145799</v>
      </c>
      <c r="S6" s="47">
        <v>33495.808068041602</v>
      </c>
      <c r="T6" s="47">
        <v>32910.9149840561</v>
      </c>
      <c r="U6" s="47">
        <v>34710.564078661999</v>
      </c>
      <c r="V6" s="47">
        <v>32617.075038667899</v>
      </c>
      <c r="W6" s="47">
        <v>34361.263722638199</v>
      </c>
      <c r="X6" s="47">
        <v>80799.192393606398</v>
      </c>
      <c r="Y6" s="47">
        <v>60965.869094402398</v>
      </c>
      <c r="Z6" s="47">
        <v>43739.870918006498</v>
      </c>
      <c r="AA6" s="47">
        <v>39928.513151116698</v>
      </c>
      <c r="AB6" s="47">
        <v>33459.444611077997</v>
      </c>
      <c r="AC6" s="47">
        <v>33811.475050328998</v>
      </c>
      <c r="AD6" s="47">
        <v>34498.280900486301</v>
      </c>
      <c r="AE6" s="47">
        <v>29411.102175203199</v>
      </c>
      <c r="AF6" s="47">
        <v>31945.545502681998</v>
      </c>
      <c r="AG6" s="47">
        <v>33043.076961242099</v>
      </c>
      <c r="AH6" s="47">
        <v>26598.420839142698</v>
      </c>
      <c r="AI6" s="47">
        <v>30233.991644960999</v>
      </c>
      <c r="AJ6" s="47"/>
      <c r="AL6" s="7"/>
      <c r="AM6" s="44"/>
      <c r="AN6" s="44"/>
      <c r="AO6" s="7">
        <v>45017</v>
      </c>
      <c r="AP6" s="47">
        <v>1112613</v>
      </c>
      <c r="AQ6" s="47">
        <v>247796.75448632101</v>
      </c>
      <c r="AR6" s="47">
        <v>113659.477957733</v>
      </c>
      <c r="AS6" s="47">
        <v>50562.298332516599</v>
      </c>
      <c r="AT6" s="47">
        <v>38940.358924587701</v>
      </c>
      <c r="AU6" s="47">
        <v>38641.186208210798</v>
      </c>
      <c r="AV6" s="47">
        <v>40209.247787569097</v>
      </c>
      <c r="AW6" s="47">
        <v>40060.539299145799</v>
      </c>
      <c r="AX6" s="47">
        <v>33495.808068041602</v>
      </c>
      <c r="AY6" s="47">
        <v>32910.9149840561</v>
      </c>
      <c r="AZ6" s="47">
        <v>34710.564078661999</v>
      </c>
      <c r="BA6" s="47">
        <v>32617.075038667899</v>
      </c>
      <c r="BB6" s="47">
        <v>34361.263722638199</v>
      </c>
      <c r="BC6" s="47">
        <v>80799.192393606398</v>
      </c>
      <c r="BD6" s="47">
        <v>60965.869094402398</v>
      </c>
      <c r="BE6" s="47">
        <v>43739.870918006498</v>
      </c>
      <c r="BF6" s="47">
        <v>39928.513151116698</v>
      </c>
      <c r="BG6" s="47">
        <v>33459.444611077997</v>
      </c>
      <c r="BH6" s="47">
        <v>33811.475050328998</v>
      </c>
      <c r="BI6" s="47">
        <v>34498.280900486301</v>
      </c>
      <c r="BJ6" s="47">
        <v>29411.102175203199</v>
      </c>
      <c r="BK6" s="47">
        <v>31945.545502681998</v>
      </c>
      <c r="BL6" s="47">
        <v>33043.076961242099</v>
      </c>
      <c r="BM6" s="47">
        <v>26598.420839142698</v>
      </c>
      <c r="BN6" s="47">
        <v>30233.991644960999</v>
      </c>
      <c r="BO6" s="47"/>
    </row>
    <row r="7" spans="2:67">
      <c r="B7" s="177" t="s">
        <v>300</v>
      </c>
      <c r="J7" s="7">
        <v>45047</v>
      </c>
      <c r="K7" s="47">
        <v>1023596</v>
      </c>
      <c r="L7" s="47">
        <v>241008.162383382</v>
      </c>
      <c r="M7" s="47">
        <v>113896.36624947299</v>
      </c>
      <c r="N7" s="47">
        <v>44073.092199796803</v>
      </c>
      <c r="O7" s="47">
        <v>36756.667380561201</v>
      </c>
      <c r="P7" s="47">
        <v>38564.953291572099</v>
      </c>
      <c r="Q7" s="47">
        <v>34634.466748698098</v>
      </c>
      <c r="R7" s="47">
        <v>30517.909473908301</v>
      </c>
      <c r="S7" s="47">
        <v>30052.583185676001</v>
      </c>
      <c r="T7" s="47">
        <v>30765.641766120301</v>
      </c>
      <c r="U7" s="47">
        <v>28665.115253043201</v>
      </c>
      <c r="V7" s="47">
        <v>28619.7311831652</v>
      </c>
      <c r="W7" s="47">
        <v>25976.8395167452</v>
      </c>
      <c r="X7" s="47">
        <v>77774.773659642204</v>
      </c>
      <c r="Y7" s="47">
        <v>56452.960560155603</v>
      </c>
      <c r="Z7" s="47">
        <v>38634.795786295297</v>
      </c>
      <c r="AA7" s="47">
        <v>31310.1048505988</v>
      </c>
      <c r="AB7" s="47">
        <v>32590.5690298585</v>
      </c>
      <c r="AC7" s="47">
        <v>31080.046262258598</v>
      </c>
      <c r="AD7" s="47">
        <v>25862.630245634999</v>
      </c>
      <c r="AE7" s="47">
        <v>27513.653145329801</v>
      </c>
      <c r="AF7" s="47">
        <v>30081.606481391798</v>
      </c>
      <c r="AG7" s="47">
        <v>23821.778095149799</v>
      </c>
      <c r="AH7" s="47">
        <v>26329.182260879901</v>
      </c>
      <c r="AI7" s="47"/>
      <c r="AJ7" s="47"/>
      <c r="AL7" s="7"/>
      <c r="AM7" s="44"/>
      <c r="AN7" s="44"/>
      <c r="AO7" s="7">
        <v>45047</v>
      </c>
      <c r="AP7" s="47">
        <v>1023596</v>
      </c>
      <c r="AQ7" s="47">
        <v>241008.162383382</v>
      </c>
      <c r="AR7" s="47">
        <v>113896.36624947299</v>
      </c>
      <c r="AS7" s="47">
        <v>44073.092199796803</v>
      </c>
      <c r="AT7" s="47">
        <v>36756.667380561201</v>
      </c>
      <c r="AU7" s="47">
        <v>38564.953291572099</v>
      </c>
      <c r="AV7" s="47">
        <v>34634.466748698098</v>
      </c>
      <c r="AW7" s="47">
        <v>30517.909473908301</v>
      </c>
      <c r="AX7" s="47">
        <v>30052.583185676001</v>
      </c>
      <c r="AY7" s="47">
        <v>30765.641766120301</v>
      </c>
      <c r="AZ7" s="47">
        <v>28665.115253043201</v>
      </c>
      <c r="BA7" s="47">
        <v>28619.7311831652</v>
      </c>
      <c r="BB7" s="47">
        <v>25976.8395167452</v>
      </c>
      <c r="BC7" s="47">
        <v>77774.773659642204</v>
      </c>
      <c r="BD7" s="47">
        <v>56452.960560155603</v>
      </c>
      <c r="BE7" s="47">
        <v>38634.795786295297</v>
      </c>
      <c r="BF7" s="47">
        <v>31310.1048505988</v>
      </c>
      <c r="BG7" s="47">
        <v>32590.5690298585</v>
      </c>
      <c r="BH7" s="47">
        <v>31080.046262258598</v>
      </c>
      <c r="BI7" s="47">
        <v>25862.630245634999</v>
      </c>
      <c r="BJ7" s="47">
        <v>27513.653145329801</v>
      </c>
      <c r="BK7" s="47">
        <v>30081.606481391798</v>
      </c>
      <c r="BL7" s="47">
        <v>23821.778095149799</v>
      </c>
      <c r="BM7" s="47">
        <v>26329.182260879901</v>
      </c>
      <c r="BN7" s="47"/>
      <c r="BO7" s="47"/>
    </row>
    <row r="8" spans="2:67">
      <c r="B8" s="176" t="s">
        <v>301</v>
      </c>
      <c r="J8" s="7">
        <v>45078</v>
      </c>
      <c r="K8" s="47">
        <v>1056384</v>
      </c>
      <c r="L8" s="47">
        <v>222873.79273463</v>
      </c>
      <c r="M8" s="47">
        <v>123357.121359474</v>
      </c>
      <c r="N8" s="47">
        <v>45447.713077152897</v>
      </c>
      <c r="O8" s="47">
        <v>43080.402724305903</v>
      </c>
      <c r="P8" s="47">
        <v>37523.364711004302</v>
      </c>
      <c r="Q8" s="47">
        <v>33254.823214171498</v>
      </c>
      <c r="R8" s="47">
        <v>31546.977174412201</v>
      </c>
      <c r="S8" s="47">
        <v>33759.575463595</v>
      </c>
      <c r="T8" s="47">
        <v>30855.075802353</v>
      </c>
      <c r="U8" s="47">
        <v>32299.228073070099</v>
      </c>
      <c r="V8" s="47">
        <v>27878.697701020399</v>
      </c>
      <c r="W8" s="47">
        <v>28096.703221949199</v>
      </c>
      <c r="X8" s="47">
        <v>72520.658821875899</v>
      </c>
      <c r="Y8" s="47">
        <v>59692.6892950693</v>
      </c>
      <c r="Z8" s="47">
        <v>34743.589064312102</v>
      </c>
      <c r="AA8" s="47">
        <v>34043.002804750096</v>
      </c>
      <c r="AB8" s="47">
        <v>33382.247868143997</v>
      </c>
      <c r="AC8" s="47">
        <v>28239.3265208829</v>
      </c>
      <c r="AD8" s="47">
        <v>30695.3742902181</v>
      </c>
      <c r="AE8" s="47">
        <v>31946.129951832601</v>
      </c>
      <c r="AF8" s="47">
        <v>24819.228673472498</v>
      </c>
      <c r="AG8" s="47">
        <v>29248.686992675699</v>
      </c>
      <c r="AH8" s="47"/>
      <c r="AI8" s="47"/>
      <c r="AJ8" s="47"/>
      <c r="AL8" s="7"/>
      <c r="AM8" s="44"/>
      <c r="AN8" s="44"/>
      <c r="AO8" s="7">
        <v>45078</v>
      </c>
      <c r="AP8" s="47">
        <v>1056384</v>
      </c>
      <c r="AQ8" s="47">
        <v>222873.79273463</v>
      </c>
      <c r="AR8" s="47">
        <v>123357.121359474</v>
      </c>
      <c r="AS8" s="47">
        <v>45447.713077152897</v>
      </c>
      <c r="AT8" s="47">
        <v>43080.402724305903</v>
      </c>
      <c r="AU8" s="47">
        <v>37523.364711004302</v>
      </c>
      <c r="AV8" s="47">
        <v>33254.823214171498</v>
      </c>
      <c r="AW8" s="47">
        <v>31546.977174412201</v>
      </c>
      <c r="AX8" s="47">
        <v>33759.575463595</v>
      </c>
      <c r="AY8" s="47">
        <v>30855.075802353</v>
      </c>
      <c r="AZ8" s="47">
        <v>32299.228073070099</v>
      </c>
      <c r="BA8" s="47">
        <v>27878.697701020399</v>
      </c>
      <c r="BB8" s="47">
        <v>28096.703221949199</v>
      </c>
      <c r="BC8" s="47">
        <v>72520.658821875899</v>
      </c>
      <c r="BD8" s="47">
        <v>59692.6892950693</v>
      </c>
      <c r="BE8" s="47">
        <v>34743.589064312102</v>
      </c>
      <c r="BF8" s="47">
        <v>34043.002804750096</v>
      </c>
      <c r="BG8" s="47">
        <v>33382.247868143997</v>
      </c>
      <c r="BH8" s="47">
        <v>28239.3265208829</v>
      </c>
      <c r="BI8" s="47">
        <v>30695.3742902181</v>
      </c>
      <c r="BJ8" s="47">
        <v>31946.129951832601</v>
      </c>
      <c r="BK8" s="47">
        <v>24819.228673472498</v>
      </c>
      <c r="BL8" s="47">
        <v>29248.686992675699</v>
      </c>
      <c r="BM8" s="47"/>
      <c r="BN8" s="47"/>
      <c r="BO8" s="47"/>
    </row>
    <row r="9" spans="2:67">
      <c r="B9" s="176" t="s">
        <v>302</v>
      </c>
      <c r="J9" s="7">
        <v>45108</v>
      </c>
      <c r="K9" s="47">
        <v>1101463</v>
      </c>
      <c r="L9" s="47">
        <v>257018.72316403699</v>
      </c>
      <c r="M9" s="47">
        <v>122010.33928257199</v>
      </c>
      <c r="N9" s="47">
        <v>56161.600558307196</v>
      </c>
      <c r="O9" s="47">
        <v>45145.282719215902</v>
      </c>
      <c r="P9" s="47">
        <v>36172.471393817199</v>
      </c>
      <c r="Q9" s="47">
        <v>33566.051677702002</v>
      </c>
      <c r="R9" s="47">
        <v>37422.751455784797</v>
      </c>
      <c r="S9" s="47">
        <v>33639.679297601302</v>
      </c>
      <c r="T9" s="47">
        <v>33699.946342180701</v>
      </c>
      <c r="U9" s="47">
        <v>29907.070204053402</v>
      </c>
      <c r="V9" s="47">
        <v>30233.760875585602</v>
      </c>
      <c r="W9" s="47">
        <v>26831.169048164698</v>
      </c>
      <c r="X9" s="47">
        <v>84444.259576235403</v>
      </c>
      <c r="Y9" s="47">
        <v>58994.470338086103</v>
      </c>
      <c r="Z9" s="47">
        <v>38990.146740403703</v>
      </c>
      <c r="AA9" s="47">
        <v>37577.53606808</v>
      </c>
      <c r="AB9" s="47">
        <v>31666.485933001401</v>
      </c>
      <c r="AC9" s="47">
        <v>32199.795695530102</v>
      </c>
      <c r="AD9" s="47">
        <v>36254.632451579702</v>
      </c>
      <c r="AE9" s="47">
        <v>26893.863099451701</v>
      </c>
      <c r="AF9" s="47">
        <v>30374.842751895601</v>
      </c>
      <c r="AG9" s="47"/>
      <c r="AH9" s="47"/>
      <c r="AI9" s="47"/>
      <c r="AJ9" s="47"/>
      <c r="AL9" s="7"/>
      <c r="AM9" s="44"/>
      <c r="AN9" s="44"/>
      <c r="AO9" s="7">
        <v>45108</v>
      </c>
      <c r="AP9" s="47">
        <v>1101463</v>
      </c>
      <c r="AQ9" s="47">
        <v>257018.72316403699</v>
      </c>
      <c r="AR9" s="47">
        <v>122010.33928257199</v>
      </c>
      <c r="AS9" s="47">
        <v>56161.600558307196</v>
      </c>
      <c r="AT9" s="47">
        <v>45145.282719215902</v>
      </c>
      <c r="AU9" s="47">
        <v>36172.471393817199</v>
      </c>
      <c r="AV9" s="47">
        <v>33566.051677702002</v>
      </c>
      <c r="AW9" s="47">
        <v>37422.751455784797</v>
      </c>
      <c r="AX9" s="47">
        <v>33639.679297601302</v>
      </c>
      <c r="AY9" s="47">
        <v>33699.946342180701</v>
      </c>
      <c r="AZ9" s="47">
        <v>29907.070204053402</v>
      </c>
      <c r="BA9" s="47">
        <v>30233.760875585602</v>
      </c>
      <c r="BB9" s="47">
        <v>26831.169048164698</v>
      </c>
      <c r="BC9" s="47">
        <v>84444.259576235403</v>
      </c>
      <c r="BD9" s="47">
        <v>58994.470338086103</v>
      </c>
      <c r="BE9" s="47">
        <v>38990.146740403703</v>
      </c>
      <c r="BF9" s="47">
        <v>37577.53606808</v>
      </c>
      <c r="BG9" s="47">
        <v>31666.485933001401</v>
      </c>
      <c r="BH9" s="47">
        <v>32199.795695530102</v>
      </c>
      <c r="BI9" s="47">
        <v>36254.632451579702</v>
      </c>
      <c r="BJ9" s="47">
        <v>26893.863099451701</v>
      </c>
      <c r="BK9" s="47">
        <v>30374.842751895601</v>
      </c>
      <c r="BL9" s="47"/>
      <c r="BM9" s="47"/>
      <c r="BN9" s="47"/>
      <c r="BO9" s="47"/>
    </row>
    <row r="10" spans="2:67">
      <c r="B10" s="176" t="s">
        <v>303</v>
      </c>
      <c r="J10" s="179">
        <v>45139</v>
      </c>
      <c r="K10" s="47">
        <v>934677</v>
      </c>
      <c r="L10" s="47">
        <v>248994.94861378</v>
      </c>
      <c r="M10" s="47">
        <v>117727.187241807</v>
      </c>
      <c r="N10" s="47">
        <v>44612.283669522003</v>
      </c>
      <c r="O10" s="47">
        <v>35368.658922709801</v>
      </c>
      <c r="P10" s="47">
        <v>32962.663407036598</v>
      </c>
      <c r="Q10" s="47">
        <v>32318.9565622839</v>
      </c>
      <c r="R10" s="47">
        <v>28889.346196815</v>
      </c>
      <c r="S10" s="47">
        <v>28558.478334537202</v>
      </c>
      <c r="T10" s="47">
        <v>24896.556287627998</v>
      </c>
      <c r="U10" s="47">
        <v>25581.0175756223</v>
      </c>
      <c r="V10" s="47">
        <v>23567.944685798699</v>
      </c>
      <c r="W10" s="47">
        <v>25721.986943820601</v>
      </c>
      <c r="X10" s="47">
        <v>72662.4571189938</v>
      </c>
      <c r="Y10" s="47">
        <v>52761.501138433399</v>
      </c>
      <c r="Z10" s="47">
        <v>34543.594632811299</v>
      </c>
      <c r="AA10" s="47">
        <v>29010.302814647999</v>
      </c>
      <c r="AB10" s="47">
        <v>27046.880759660398</v>
      </c>
      <c r="AC10" s="47">
        <v>29529.009406068501</v>
      </c>
      <c r="AD10" s="47">
        <v>23914.2694514541</v>
      </c>
      <c r="AE10" s="47">
        <v>24266.870934033501</v>
      </c>
      <c r="AF10" s="47"/>
      <c r="AG10" s="47"/>
      <c r="AH10" s="47"/>
      <c r="AI10" s="47"/>
      <c r="AJ10" s="47"/>
      <c r="AL10" s="7"/>
      <c r="AM10" s="44"/>
      <c r="AN10" s="44"/>
      <c r="AO10" s="179">
        <v>45139</v>
      </c>
      <c r="AP10" s="47">
        <v>934677</v>
      </c>
      <c r="AQ10" s="47">
        <v>248994.94861378</v>
      </c>
      <c r="AR10" s="47">
        <v>117727.187241807</v>
      </c>
      <c r="AS10" s="47">
        <v>44612.283669522003</v>
      </c>
      <c r="AT10" s="47">
        <v>35368.658922709801</v>
      </c>
      <c r="AU10" s="47">
        <v>32962.663407036598</v>
      </c>
      <c r="AV10" s="47">
        <v>32318.9565622839</v>
      </c>
      <c r="AW10" s="47">
        <v>28889.346196815</v>
      </c>
      <c r="AX10" s="194">
        <v>28558.478334537202</v>
      </c>
      <c r="AY10" s="194">
        <v>24896.556287627998</v>
      </c>
      <c r="AZ10" s="194">
        <v>25581.0175756223</v>
      </c>
      <c r="BA10" s="194">
        <v>23567.944685798699</v>
      </c>
      <c r="BB10" s="194">
        <v>25721.986943820601</v>
      </c>
      <c r="BC10" s="194">
        <v>72662.4571189938</v>
      </c>
      <c r="BD10" s="194">
        <v>52761.501138433399</v>
      </c>
      <c r="BE10" s="194">
        <v>34543.594632811299</v>
      </c>
      <c r="BF10" s="194">
        <v>29010.302814647999</v>
      </c>
      <c r="BG10" s="194">
        <v>27046.880759660398</v>
      </c>
      <c r="BH10" s="194">
        <v>29529.009406068501</v>
      </c>
      <c r="BI10" s="194">
        <v>23914.2694514541</v>
      </c>
      <c r="BJ10" s="194">
        <v>24266.870934033501</v>
      </c>
      <c r="BK10" s="47"/>
      <c r="BL10" s="47"/>
      <c r="BM10" s="47"/>
      <c r="BN10" s="47"/>
      <c r="BO10" s="47"/>
    </row>
    <row r="11" spans="2:67">
      <c r="B11" s="177" t="s">
        <v>28</v>
      </c>
      <c r="J11" s="179">
        <v>45170</v>
      </c>
      <c r="K11" s="47">
        <v>936045</v>
      </c>
      <c r="L11" s="47">
        <v>270327.61925690703</v>
      </c>
      <c r="M11" s="47">
        <v>110189.56203750899</v>
      </c>
      <c r="N11" s="47">
        <v>42680.420555683399</v>
      </c>
      <c r="O11" s="47">
        <v>33971.310939388</v>
      </c>
      <c r="P11" s="47">
        <v>33658.216015610298</v>
      </c>
      <c r="Q11" s="47">
        <v>28790.832452701801</v>
      </c>
      <c r="R11" s="47">
        <v>28749.496848241899</v>
      </c>
      <c r="S11" s="47">
        <v>25794.867944727899</v>
      </c>
      <c r="T11" s="47">
        <v>24854.2572412634</v>
      </c>
      <c r="U11" s="47">
        <v>22833.8722260287</v>
      </c>
      <c r="V11" s="47">
        <v>25309.253878403699</v>
      </c>
      <c r="W11" s="47">
        <v>20519.823632408999</v>
      </c>
      <c r="X11" s="47">
        <v>73469.455674049197</v>
      </c>
      <c r="Y11" s="47">
        <v>52162.917958664802</v>
      </c>
      <c r="Z11" s="47">
        <v>30732.244140851501</v>
      </c>
      <c r="AA11" s="47">
        <v>29588.082522051602</v>
      </c>
      <c r="AB11" s="47">
        <v>31062.045647053299</v>
      </c>
      <c r="AC11" s="47">
        <v>22626.1240008204</v>
      </c>
      <c r="AD11" s="180">
        <v>26292.4969555936</v>
      </c>
      <c r="AE11" s="47"/>
      <c r="AF11" s="47"/>
      <c r="AG11" s="47"/>
      <c r="AH11" s="47"/>
      <c r="AI11" s="47"/>
      <c r="AJ11" s="47"/>
      <c r="AL11" s="7"/>
      <c r="AM11" s="44"/>
      <c r="AN11" s="44"/>
      <c r="AO11" s="179">
        <v>45170</v>
      </c>
      <c r="AP11" s="47">
        <v>936045</v>
      </c>
      <c r="AQ11" s="47">
        <v>270327.61925690703</v>
      </c>
      <c r="AR11" s="47">
        <v>110189.56203750899</v>
      </c>
      <c r="AS11" s="47">
        <v>42680.420555683399</v>
      </c>
      <c r="AT11" s="47">
        <v>33971.310939388</v>
      </c>
      <c r="AU11" s="47">
        <v>33658.216015610298</v>
      </c>
      <c r="AV11" s="47">
        <v>28790.832452701801</v>
      </c>
      <c r="AW11" s="47">
        <v>28749.496848241899</v>
      </c>
      <c r="AX11" s="194">
        <v>25794.867944727899</v>
      </c>
      <c r="AY11" s="194">
        <v>24854.2572412634</v>
      </c>
      <c r="AZ11" s="194">
        <v>22833.8722260287</v>
      </c>
      <c r="BA11" s="194">
        <v>25309.253878403699</v>
      </c>
      <c r="BB11" s="194">
        <v>20519.823632408999</v>
      </c>
      <c r="BC11" s="194">
        <v>73469.455674049197</v>
      </c>
      <c r="BD11" s="194">
        <v>52162.917958664802</v>
      </c>
      <c r="BE11" s="194">
        <v>30732.244140851501</v>
      </c>
      <c r="BF11" s="194">
        <v>29588.082522051602</v>
      </c>
      <c r="BG11" s="194">
        <v>31062.045647053299</v>
      </c>
      <c r="BH11" s="194">
        <v>22626.1240008204</v>
      </c>
      <c r="BI11" s="194">
        <v>26292.4969555936</v>
      </c>
      <c r="BJ11" s="194"/>
      <c r="BK11" s="47"/>
      <c r="BL11" s="47"/>
      <c r="BM11" s="47"/>
      <c r="BN11" s="47"/>
      <c r="BO11" s="47"/>
    </row>
    <row r="12" spans="2:67">
      <c r="B12" s="177" t="s">
        <v>304</v>
      </c>
      <c r="J12" s="179">
        <v>45200</v>
      </c>
      <c r="K12" s="47">
        <v>939224</v>
      </c>
      <c r="L12" s="47">
        <v>285527.95640672301</v>
      </c>
      <c r="M12" s="47">
        <v>82674.125079000296</v>
      </c>
      <c r="N12" s="47">
        <v>44670.852350280897</v>
      </c>
      <c r="O12" s="47">
        <v>37512.501524611398</v>
      </c>
      <c r="P12" s="47">
        <v>31636.044214866601</v>
      </c>
      <c r="Q12" s="47">
        <v>31475.663363678901</v>
      </c>
      <c r="R12" s="47">
        <v>27350.451733218699</v>
      </c>
      <c r="S12" s="47">
        <v>26723.887427957699</v>
      </c>
      <c r="T12" s="47">
        <v>24625.335778623899</v>
      </c>
      <c r="U12" s="47">
        <v>26876.162986939598</v>
      </c>
      <c r="V12" s="47">
        <v>23458.590988258598</v>
      </c>
      <c r="W12" s="47">
        <v>22167.055218139201</v>
      </c>
      <c r="X12" s="47">
        <v>83634.678051170602</v>
      </c>
      <c r="Y12" s="47">
        <v>44102.567618839697</v>
      </c>
      <c r="Z12" s="47">
        <v>33157.844032711102</v>
      </c>
      <c r="AA12" s="47">
        <v>34521.208835909398</v>
      </c>
      <c r="AB12" s="47">
        <v>23795.967834496099</v>
      </c>
      <c r="AC12" s="47">
        <v>27190.6094362484</v>
      </c>
      <c r="AD12" s="47"/>
      <c r="AE12" s="47"/>
      <c r="AF12" s="47"/>
      <c r="AG12" s="47"/>
      <c r="AH12" s="47"/>
      <c r="AI12" s="47"/>
      <c r="AJ12" s="47"/>
      <c r="AL12" s="7"/>
      <c r="AM12" s="44"/>
      <c r="AN12" s="44"/>
      <c r="AO12" s="179">
        <v>45200</v>
      </c>
      <c r="AP12" s="47">
        <v>939224</v>
      </c>
      <c r="AQ12" s="47">
        <v>285527.95640672301</v>
      </c>
      <c r="AR12" s="47">
        <v>82674.125079000296</v>
      </c>
      <c r="AS12" s="47">
        <v>44670.852350280897</v>
      </c>
      <c r="AT12" s="47">
        <v>37512.501524611398</v>
      </c>
      <c r="AU12" s="47">
        <v>31636.044214866601</v>
      </c>
      <c r="AV12" s="47">
        <v>31475.663363678901</v>
      </c>
      <c r="AW12" s="47">
        <v>27350.451733218699</v>
      </c>
      <c r="AX12" s="194">
        <v>26723.887427957699</v>
      </c>
      <c r="AY12" s="194">
        <v>24625.335778623899</v>
      </c>
      <c r="AZ12" s="194">
        <v>26876.162986939598</v>
      </c>
      <c r="BA12" s="194">
        <v>23458.590988258598</v>
      </c>
      <c r="BB12" s="194">
        <v>22167.055218139201</v>
      </c>
      <c r="BC12" s="194">
        <v>83634.678051170602</v>
      </c>
      <c r="BD12" s="194">
        <v>44102.567618839697</v>
      </c>
      <c r="BE12" s="194">
        <v>33157.844032711102</v>
      </c>
      <c r="BF12" s="194">
        <v>34521.208835909398</v>
      </c>
      <c r="BG12" s="194">
        <v>23795.967834496099</v>
      </c>
      <c r="BH12" s="194">
        <v>27190.6094362484</v>
      </c>
      <c r="BI12" s="194"/>
      <c r="BJ12" s="194"/>
      <c r="BK12" s="47"/>
      <c r="BL12" s="47"/>
      <c r="BM12" s="47"/>
      <c r="BN12" s="47"/>
      <c r="BO12" s="47"/>
    </row>
    <row r="13" spans="2:67">
      <c r="B13" s="176" t="s">
        <v>51</v>
      </c>
      <c r="J13" s="179">
        <v>45231</v>
      </c>
      <c r="K13" s="47">
        <v>825993</v>
      </c>
      <c r="L13" s="47">
        <v>212937.62195474099</v>
      </c>
      <c r="M13" s="47">
        <v>98037.611719562206</v>
      </c>
      <c r="N13" s="47">
        <v>40869.596506599803</v>
      </c>
      <c r="O13" s="47">
        <v>32224.622494806899</v>
      </c>
      <c r="P13" s="47">
        <v>30800.103976797702</v>
      </c>
      <c r="Q13" s="47">
        <v>26803.814459415698</v>
      </c>
      <c r="R13" s="47">
        <v>25481.459428735201</v>
      </c>
      <c r="S13" s="47">
        <v>22874.4036848182</v>
      </c>
      <c r="T13" s="47">
        <v>24845.1614939387</v>
      </c>
      <c r="U13" s="47">
        <v>21354.591798350601</v>
      </c>
      <c r="V13" s="47">
        <v>19260.222634066398</v>
      </c>
      <c r="W13" s="47">
        <v>20887.7397559491</v>
      </c>
      <c r="X13" s="47">
        <v>67756.828447701599</v>
      </c>
      <c r="Y13" s="47">
        <v>47561.347621728397</v>
      </c>
      <c r="Z13" s="47">
        <v>33785.041428439203</v>
      </c>
      <c r="AA13" s="47">
        <v>23782.083289874899</v>
      </c>
      <c r="AB13" s="47">
        <v>27266.4326608421</v>
      </c>
      <c r="AC13" s="47"/>
      <c r="AD13" s="47"/>
      <c r="AE13" s="47"/>
      <c r="AF13" s="47"/>
      <c r="AG13" s="47"/>
      <c r="AH13" s="47"/>
      <c r="AI13" s="47"/>
      <c r="AJ13" s="47"/>
      <c r="AL13" s="7"/>
      <c r="AM13" s="44"/>
      <c r="AN13" s="44"/>
      <c r="AO13" s="179">
        <v>45231</v>
      </c>
      <c r="AP13" s="47">
        <v>825993</v>
      </c>
      <c r="AQ13" s="47">
        <v>212937.62195474099</v>
      </c>
      <c r="AR13" s="47">
        <v>98037.611719562206</v>
      </c>
      <c r="AS13" s="47">
        <v>40869.596506599803</v>
      </c>
      <c r="AT13" s="47">
        <v>32224.622494806899</v>
      </c>
      <c r="AU13" s="47">
        <v>30800.103976797702</v>
      </c>
      <c r="AV13" s="47">
        <v>26803.814459415698</v>
      </c>
      <c r="AW13" s="47">
        <v>25481.459428735201</v>
      </c>
      <c r="AX13" s="194">
        <v>22874.4036848182</v>
      </c>
      <c r="AY13" s="194">
        <v>24845.1614939387</v>
      </c>
      <c r="AZ13" s="194">
        <v>21354.591798350601</v>
      </c>
      <c r="BA13" s="194">
        <v>19260.222634066398</v>
      </c>
      <c r="BB13" s="194">
        <v>20887.7397559491</v>
      </c>
      <c r="BC13" s="194">
        <v>67756.828447701599</v>
      </c>
      <c r="BD13" s="194">
        <v>47561.347621728397</v>
      </c>
      <c r="BE13" s="194">
        <v>33785.041428439203</v>
      </c>
      <c r="BF13" s="194">
        <v>23782.083289874899</v>
      </c>
      <c r="BG13" s="194">
        <v>27266.4326608421</v>
      </c>
      <c r="BH13" s="194"/>
      <c r="BI13" s="194"/>
      <c r="BJ13" s="194"/>
      <c r="BK13" s="47"/>
      <c r="BL13" s="47"/>
      <c r="BM13" s="47"/>
      <c r="BN13" s="47"/>
      <c r="BO13" s="47"/>
    </row>
    <row r="14" spans="2:67">
      <c r="B14" s="177" t="s">
        <v>305</v>
      </c>
      <c r="J14" s="179">
        <v>45261</v>
      </c>
      <c r="K14" s="47">
        <v>990107</v>
      </c>
      <c r="L14" s="47">
        <v>324611.47115795698</v>
      </c>
      <c r="M14" s="47">
        <v>95603.355836729606</v>
      </c>
      <c r="N14" s="47">
        <v>47623.586081163601</v>
      </c>
      <c r="O14" s="47">
        <v>40003.067433706703</v>
      </c>
      <c r="P14" s="47">
        <v>33588.027879083696</v>
      </c>
      <c r="Q14" s="47">
        <v>30992.584496742002</v>
      </c>
      <c r="R14" s="47">
        <v>29342.641939466899</v>
      </c>
      <c r="S14" s="47">
        <v>29872.650584761399</v>
      </c>
      <c r="T14" s="47">
        <v>26457.232686879099</v>
      </c>
      <c r="U14" s="47">
        <v>23776.0138287835</v>
      </c>
      <c r="V14" s="47">
        <v>24243.664903136902</v>
      </c>
      <c r="W14" s="47">
        <v>20611.561141091999</v>
      </c>
      <c r="X14" s="47">
        <v>93164.228733487806</v>
      </c>
      <c r="Y14" s="47">
        <v>56891.853027870202</v>
      </c>
      <c r="Z14" s="47">
        <v>33243.180319801701</v>
      </c>
      <c r="AA14" s="47">
        <v>36183.759250504198</v>
      </c>
      <c r="AB14" s="47"/>
      <c r="AC14" s="47"/>
      <c r="AD14" s="47"/>
      <c r="AE14" s="47"/>
      <c r="AF14" s="47"/>
      <c r="AG14" s="47"/>
      <c r="AH14" s="47"/>
      <c r="AI14" s="47"/>
      <c r="AJ14" s="47"/>
      <c r="AL14" s="7"/>
      <c r="AM14" s="44"/>
      <c r="AN14" s="44"/>
      <c r="AO14" s="179">
        <v>45261</v>
      </c>
      <c r="AP14" s="47">
        <v>990107</v>
      </c>
      <c r="AQ14" s="47">
        <v>324611.47115795698</v>
      </c>
      <c r="AR14" s="47">
        <v>95603.355836729606</v>
      </c>
      <c r="AS14" s="47">
        <v>47623.586081163601</v>
      </c>
      <c r="AT14" s="47">
        <v>40003.067433706703</v>
      </c>
      <c r="AU14" s="47">
        <v>33588.027879083696</v>
      </c>
      <c r="AV14" s="47">
        <v>30992.584496742002</v>
      </c>
      <c r="AW14" s="47">
        <v>29342.641939466899</v>
      </c>
      <c r="AX14" s="194">
        <v>29872.650584761399</v>
      </c>
      <c r="AY14" s="194">
        <v>26457.232686879099</v>
      </c>
      <c r="AZ14" s="194">
        <v>23776.0138287835</v>
      </c>
      <c r="BA14" s="194">
        <v>24243.664903136902</v>
      </c>
      <c r="BB14" s="194">
        <v>20611.561141091999</v>
      </c>
      <c r="BC14" s="194">
        <v>93164.228733487806</v>
      </c>
      <c r="BD14" s="194">
        <v>56891.853027870202</v>
      </c>
      <c r="BE14" s="194">
        <v>33243.180319801701</v>
      </c>
      <c r="BF14" s="194">
        <v>36183.759250504198</v>
      </c>
      <c r="BG14" s="194"/>
      <c r="BH14" s="194"/>
      <c r="BI14" s="194"/>
      <c r="BJ14" s="194"/>
      <c r="BK14" s="47"/>
      <c r="BL14" s="47"/>
      <c r="BM14" s="47"/>
      <c r="BN14" s="47"/>
      <c r="BO14" s="47"/>
    </row>
    <row r="15" spans="2:67">
      <c r="B15" s="176" t="s">
        <v>306</v>
      </c>
      <c r="J15" s="179">
        <v>45292</v>
      </c>
      <c r="K15" s="47">
        <v>962570</v>
      </c>
      <c r="L15" s="47">
        <v>260548.75817326299</v>
      </c>
      <c r="M15" s="47">
        <v>100375.395507885</v>
      </c>
      <c r="N15" s="47">
        <v>48136.220374426201</v>
      </c>
      <c r="O15" s="47">
        <v>36566.437853319199</v>
      </c>
      <c r="P15" s="47">
        <v>31593.877508943599</v>
      </c>
      <c r="Q15" s="47">
        <v>28952.9891585595</v>
      </c>
      <c r="R15" s="47">
        <v>30807.265978748299</v>
      </c>
      <c r="S15" s="47">
        <v>25572.9725341538</v>
      </c>
      <c r="T15" s="47">
        <v>23902.738483089299</v>
      </c>
      <c r="U15" s="47">
        <v>24364.6417176752</v>
      </c>
      <c r="V15" s="47">
        <v>20891.146974885301</v>
      </c>
      <c r="W15" s="47">
        <v>22581.042084263201</v>
      </c>
      <c r="X15" s="47">
        <v>81369.496856887607</v>
      </c>
      <c r="Y15" s="47">
        <v>46567.956749679499</v>
      </c>
      <c r="Z15" s="47">
        <v>36731.517230553101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L15" s="7"/>
      <c r="AM15" s="44"/>
      <c r="AN15" s="44"/>
      <c r="AO15" s="179">
        <v>45292</v>
      </c>
      <c r="AP15" s="47">
        <v>962570</v>
      </c>
      <c r="AQ15" s="47">
        <v>260548.75817326299</v>
      </c>
      <c r="AR15" s="47">
        <v>100375.395507885</v>
      </c>
      <c r="AS15" s="47">
        <v>48136.220374426201</v>
      </c>
      <c r="AT15" s="47">
        <v>36566.437853319199</v>
      </c>
      <c r="AU15" s="47">
        <v>31593.877508943599</v>
      </c>
      <c r="AV15" s="47">
        <v>28952.9891585595</v>
      </c>
      <c r="AW15" s="47">
        <v>30807.265978748299</v>
      </c>
      <c r="AX15" s="194">
        <v>25572.9725341538</v>
      </c>
      <c r="AY15" s="194">
        <v>23902.738483089299</v>
      </c>
      <c r="AZ15" s="194">
        <v>24364.6417176752</v>
      </c>
      <c r="BA15" s="194">
        <v>20891.146974885301</v>
      </c>
      <c r="BB15" s="194">
        <v>22581.042084263201</v>
      </c>
      <c r="BC15" s="194">
        <v>81369.496856887607</v>
      </c>
      <c r="BD15" s="194">
        <v>46567.956749679499</v>
      </c>
      <c r="BE15" s="194">
        <v>36731.517230553101</v>
      </c>
      <c r="BF15" s="194"/>
      <c r="BG15" s="194"/>
      <c r="BH15" s="194"/>
      <c r="BI15" s="194"/>
      <c r="BJ15" s="194"/>
      <c r="BK15" s="47"/>
      <c r="BL15" s="47"/>
      <c r="BM15" s="47"/>
      <c r="BN15" s="47"/>
      <c r="BO15" s="47"/>
    </row>
    <row r="16" spans="2:67">
      <c r="B16" s="176" t="s">
        <v>37</v>
      </c>
      <c r="J16" s="179">
        <v>45323</v>
      </c>
      <c r="K16" s="47">
        <v>857411</v>
      </c>
      <c r="L16" s="47">
        <v>212811.574453076</v>
      </c>
      <c r="M16" s="47">
        <v>100648.183584331</v>
      </c>
      <c r="N16" s="47">
        <v>40506.260227621802</v>
      </c>
      <c r="O16" s="47">
        <v>30989.4010796414</v>
      </c>
      <c r="P16" s="47">
        <v>27349.402973911099</v>
      </c>
      <c r="Q16" s="47">
        <v>25607.3434835802</v>
      </c>
      <c r="R16" s="47">
        <v>22414.399980869999</v>
      </c>
      <c r="S16" s="47">
        <v>22202.0229721539</v>
      </c>
      <c r="T16" s="47">
        <v>20797.479774252799</v>
      </c>
      <c r="U16" s="47">
        <v>18879.745937561402</v>
      </c>
      <c r="V16" s="47">
        <v>20212.833578939899</v>
      </c>
      <c r="W16" s="47">
        <v>20757.224709734201</v>
      </c>
      <c r="X16" s="47">
        <v>58755.983002420697</v>
      </c>
      <c r="Y16" s="47">
        <v>48574.2707054364</v>
      </c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L16" s="7"/>
      <c r="AM16" s="44"/>
      <c r="AN16" s="44"/>
      <c r="AO16" s="179">
        <v>45323</v>
      </c>
      <c r="AP16" s="47">
        <v>857411</v>
      </c>
      <c r="AQ16" s="47">
        <v>212811.574453076</v>
      </c>
      <c r="AR16" s="47">
        <v>100648.183584331</v>
      </c>
      <c r="AS16" s="47">
        <v>40506.260227621802</v>
      </c>
      <c r="AT16" s="47">
        <v>30989.4010796414</v>
      </c>
      <c r="AU16" s="47">
        <v>27349.402973911099</v>
      </c>
      <c r="AV16" s="47">
        <v>25607.3434835802</v>
      </c>
      <c r="AW16" s="47">
        <v>22414.399980869999</v>
      </c>
      <c r="AX16" s="194">
        <v>22202.0229721539</v>
      </c>
      <c r="AY16" s="194">
        <v>20797.479774252799</v>
      </c>
      <c r="AZ16" s="194">
        <v>18879.745937561402</v>
      </c>
      <c r="BA16" s="194">
        <v>20212.833578939899</v>
      </c>
      <c r="BB16" s="194">
        <v>20757.224709734201</v>
      </c>
      <c r="BC16" s="194">
        <v>58755.983002420697</v>
      </c>
      <c r="BD16" s="194">
        <v>48574.2707054364</v>
      </c>
      <c r="BE16" s="194"/>
      <c r="BF16" s="194"/>
      <c r="BG16" s="194"/>
      <c r="BH16" s="194"/>
      <c r="BI16" s="194"/>
      <c r="BJ16" s="194"/>
      <c r="BK16" s="47"/>
      <c r="BL16" s="47"/>
      <c r="BM16" s="47"/>
      <c r="BN16" s="47"/>
      <c r="BO16" s="47"/>
    </row>
    <row r="17" spans="2:67">
      <c r="B17" s="177" t="s">
        <v>307</v>
      </c>
      <c r="J17" s="179">
        <v>45352</v>
      </c>
      <c r="K17" s="47">
        <v>849801</v>
      </c>
      <c r="L17" s="47">
        <v>235885.23459530299</v>
      </c>
      <c r="M17" s="47">
        <v>86681.347799610696</v>
      </c>
      <c r="N17" s="47">
        <v>41677.109771499199</v>
      </c>
      <c r="O17" s="47">
        <v>28713.375841995501</v>
      </c>
      <c r="P17" s="47">
        <v>29879.5961900562</v>
      </c>
      <c r="Q17" s="47">
        <v>25309.943237446299</v>
      </c>
      <c r="R17" s="47">
        <v>24978.220978730398</v>
      </c>
      <c r="S17" s="47">
        <v>24936.305852104801</v>
      </c>
      <c r="T17" s="47">
        <v>19853.9630945934</v>
      </c>
      <c r="U17" s="47">
        <v>22452.322605199301</v>
      </c>
      <c r="V17" s="47">
        <v>23405.346645920101</v>
      </c>
      <c r="W17" s="47">
        <v>18054.350727613699</v>
      </c>
      <c r="X17" s="47">
        <v>71890.305540057496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L17" s="7"/>
      <c r="AM17" s="44"/>
      <c r="AN17" s="44"/>
      <c r="AO17" s="179">
        <v>45352</v>
      </c>
      <c r="AP17" s="47">
        <v>849801</v>
      </c>
      <c r="AQ17" s="47">
        <v>235885.23459530299</v>
      </c>
      <c r="AR17" s="47">
        <v>86681.347799610696</v>
      </c>
      <c r="AS17" s="47">
        <v>41677.109771499199</v>
      </c>
      <c r="AT17" s="47">
        <v>28713.375841995501</v>
      </c>
      <c r="AU17" s="47">
        <v>29879.5961900562</v>
      </c>
      <c r="AV17" s="47">
        <v>25309.943237446299</v>
      </c>
      <c r="AW17" s="47">
        <v>24978.220978730398</v>
      </c>
      <c r="AX17" s="194">
        <v>24936.305852104801</v>
      </c>
      <c r="AY17" s="194">
        <v>19853.9630945934</v>
      </c>
      <c r="AZ17" s="194">
        <v>22452.322605199301</v>
      </c>
      <c r="BA17" s="194">
        <v>23405.346645920101</v>
      </c>
      <c r="BB17" s="194">
        <v>18054.350727613699</v>
      </c>
      <c r="BC17" s="194">
        <v>71890.305540057496</v>
      </c>
      <c r="BD17" s="194"/>
      <c r="BE17" s="194"/>
      <c r="BF17" s="194"/>
      <c r="BG17" s="194"/>
      <c r="BH17" s="194"/>
      <c r="BI17" s="194"/>
      <c r="BJ17" s="194"/>
      <c r="BK17" s="47"/>
      <c r="BL17" s="47"/>
      <c r="BM17" s="47"/>
      <c r="BN17" s="47"/>
      <c r="BO17" s="47"/>
    </row>
    <row r="18" spans="2:67">
      <c r="B18" s="176" t="s">
        <v>308</v>
      </c>
      <c r="J18" s="7">
        <v>45383</v>
      </c>
      <c r="K18" s="47">
        <v>1210143</v>
      </c>
      <c r="L18" s="47">
        <v>190042.06858132</v>
      </c>
      <c r="M18" s="47">
        <v>82886.732176659498</v>
      </c>
      <c r="N18" s="47">
        <v>38130.259995930399</v>
      </c>
      <c r="O18" s="47">
        <v>33204.270826630898</v>
      </c>
      <c r="P18" s="47">
        <v>27785.178135722501</v>
      </c>
      <c r="Q18" s="47">
        <v>24894.471284110499</v>
      </c>
      <c r="R18" s="47">
        <v>24523.218443537298</v>
      </c>
      <c r="S18" s="47">
        <v>20975.497511952501</v>
      </c>
      <c r="T18" s="47">
        <v>23056.954529503299</v>
      </c>
      <c r="U18" s="47">
        <v>24737.826146160402</v>
      </c>
      <c r="V18" s="47">
        <v>19373.205109707498</v>
      </c>
      <c r="W18" s="47">
        <v>22008.8539222746</v>
      </c>
      <c r="X18" s="47"/>
      <c r="AL18" s="7"/>
      <c r="AM18" s="44"/>
      <c r="AN18" s="44"/>
      <c r="AO18" s="179">
        <v>45536</v>
      </c>
      <c r="AP18" s="47">
        <v>564048</v>
      </c>
      <c r="AQ18" s="192">
        <v>273070.26941524801</v>
      </c>
      <c r="AR18" s="192">
        <v>121431.302615407</v>
      </c>
      <c r="AS18" s="192">
        <v>46907.997611886603</v>
      </c>
      <c r="AT18" s="192">
        <v>44492.639259231903</v>
      </c>
      <c r="AU18" s="192">
        <v>47786.251227305504</v>
      </c>
      <c r="AV18" s="192">
        <v>33064.159318372702</v>
      </c>
      <c r="AW18" s="192">
        <v>41637.7286938498</v>
      </c>
      <c r="AX18" s="194"/>
      <c r="AY18" s="194"/>
      <c r="AZ18" s="194"/>
      <c r="BA18" s="194"/>
      <c r="BB18" s="194"/>
      <c r="BC18" s="194"/>
      <c r="BD18" s="190"/>
      <c r="BE18" s="190"/>
      <c r="BF18" s="190"/>
      <c r="BG18" s="190"/>
      <c r="BH18" s="190"/>
      <c r="BI18" s="190"/>
      <c r="BJ18" s="190"/>
    </row>
    <row r="19" spans="2:67">
      <c r="B19" s="176" t="s">
        <v>309</v>
      </c>
      <c r="J19" s="7">
        <v>45413</v>
      </c>
      <c r="K19" s="47">
        <v>1711973</v>
      </c>
      <c r="L19" s="47">
        <v>207913.52134301001</v>
      </c>
      <c r="M19" s="47">
        <v>92596.710873708405</v>
      </c>
      <c r="N19" s="47">
        <v>43170.459563759498</v>
      </c>
      <c r="O19" s="47">
        <v>33090.103391420402</v>
      </c>
      <c r="P19" s="47">
        <v>30142.877104515901</v>
      </c>
      <c r="Q19" s="47">
        <v>29554.749245602001</v>
      </c>
      <c r="R19" s="47">
        <v>24461.5949993842</v>
      </c>
      <c r="S19" s="47">
        <v>26334.909647126398</v>
      </c>
      <c r="T19" s="47">
        <v>27391.219321286098</v>
      </c>
      <c r="U19" s="47">
        <v>22563.031760744001</v>
      </c>
      <c r="V19" s="47">
        <v>24581.290129447902</v>
      </c>
      <c r="W19" s="47"/>
      <c r="X19" s="47"/>
      <c r="AL19" s="7"/>
      <c r="AM19" s="44"/>
      <c r="AN19" s="44"/>
      <c r="AO19" s="179">
        <v>45566</v>
      </c>
      <c r="AP19" s="47">
        <v>549759</v>
      </c>
      <c r="AQ19" s="192">
        <v>318029.53832979797</v>
      </c>
      <c r="AR19" s="192">
        <v>118155.399705687</v>
      </c>
      <c r="AS19" s="192">
        <v>61665.1995119368</v>
      </c>
      <c r="AT19" s="192">
        <v>57184.476865809702</v>
      </c>
      <c r="AU19" s="192">
        <v>37405.338369459503</v>
      </c>
      <c r="AV19" s="192">
        <v>46615.1458822274</v>
      </c>
      <c r="AW19" s="192"/>
      <c r="AX19" s="194"/>
      <c r="AY19" s="194"/>
      <c r="AZ19" s="194"/>
      <c r="BA19" s="194"/>
      <c r="BB19" s="194"/>
      <c r="BC19" s="194"/>
      <c r="BD19" s="190"/>
      <c r="BE19" s="190"/>
      <c r="BF19" s="190"/>
      <c r="BG19" s="190"/>
      <c r="BH19" s="190"/>
      <c r="BI19" s="190"/>
      <c r="BJ19" s="190"/>
    </row>
    <row r="20" spans="2:67">
      <c r="B20" s="177" t="s">
        <v>28</v>
      </c>
      <c r="J20" s="7">
        <v>45444</v>
      </c>
      <c r="K20" s="47">
        <v>1797790</v>
      </c>
      <c r="L20" s="47">
        <v>166228.441559659</v>
      </c>
      <c r="M20" s="47">
        <v>74443.423895445303</v>
      </c>
      <c r="N20" s="47">
        <v>40495.373105628503</v>
      </c>
      <c r="O20" s="47">
        <v>33288.597309052398</v>
      </c>
      <c r="P20" s="47">
        <v>33017.256827456098</v>
      </c>
      <c r="Q20" s="47">
        <v>27193.9115649128</v>
      </c>
      <c r="R20" s="47">
        <v>29458.3843187682</v>
      </c>
      <c r="S20" s="47">
        <v>31478.028895001698</v>
      </c>
      <c r="T20" s="47">
        <v>24072.4404273707</v>
      </c>
      <c r="U20" s="47">
        <v>28263.009998164998</v>
      </c>
      <c r="V20" s="47"/>
      <c r="W20" s="47"/>
      <c r="X20" s="47"/>
      <c r="AL20" s="7"/>
      <c r="AM20" s="44"/>
      <c r="AN20" s="44"/>
      <c r="AO20" s="179">
        <v>45597</v>
      </c>
      <c r="AP20" s="47">
        <v>574664</v>
      </c>
      <c r="AQ20" s="192">
        <v>332503.08794649498</v>
      </c>
      <c r="AR20" s="192">
        <v>171371.64415742201</v>
      </c>
      <c r="AS20" s="192">
        <v>65458.438024515199</v>
      </c>
      <c r="AT20" s="192">
        <v>40646.216029001997</v>
      </c>
      <c r="AU20" s="192">
        <v>45629.668235159901</v>
      </c>
      <c r="AV20" s="192"/>
      <c r="AW20" s="192"/>
      <c r="AX20" s="194"/>
      <c r="AY20" s="194"/>
      <c r="AZ20" s="194"/>
      <c r="BA20" s="194"/>
      <c r="BB20" s="194"/>
      <c r="BC20" s="194"/>
      <c r="BD20" s="190"/>
      <c r="BE20" s="190"/>
      <c r="BF20" s="190"/>
      <c r="BG20" s="190"/>
      <c r="BH20" s="190"/>
      <c r="BI20" s="190"/>
      <c r="BJ20" s="190"/>
    </row>
    <row r="21" spans="2:67">
      <c r="J21" s="7">
        <v>45474</v>
      </c>
      <c r="K21" s="47">
        <v>1584834</v>
      </c>
      <c r="L21" s="47">
        <v>226973.189695854</v>
      </c>
      <c r="M21" s="47">
        <v>104612.19602736901</v>
      </c>
      <c r="N21" s="47">
        <v>49790.400235220099</v>
      </c>
      <c r="O21" s="47">
        <v>45595.634745535601</v>
      </c>
      <c r="P21" s="47">
        <v>37100.443991004198</v>
      </c>
      <c r="Q21" s="47">
        <v>37110.554912437699</v>
      </c>
      <c r="R21" s="47">
        <v>43283.256376198697</v>
      </c>
      <c r="S21" s="47">
        <v>31695.515310229701</v>
      </c>
      <c r="T21" s="47">
        <v>39032.4783840776</v>
      </c>
      <c r="U21" s="47"/>
      <c r="V21" s="47"/>
      <c r="W21" s="47"/>
      <c r="X21" s="47"/>
      <c r="AL21" s="7"/>
      <c r="AM21" s="44"/>
      <c r="AN21" s="44"/>
      <c r="AO21" s="179">
        <v>45658</v>
      </c>
      <c r="AP21" s="47">
        <v>594349</v>
      </c>
      <c r="AQ21" s="192">
        <v>344649.40777984197</v>
      </c>
      <c r="AR21" s="192">
        <v>125216.373256512</v>
      </c>
      <c r="AS21" s="192">
        <v>66542.192714840407</v>
      </c>
      <c r="AT21" s="192"/>
      <c r="AU21" s="192"/>
      <c r="AV21" s="192"/>
      <c r="AW21" s="192"/>
      <c r="AX21" s="194"/>
      <c r="AY21" s="194"/>
      <c r="AZ21" s="194"/>
      <c r="BA21" s="194"/>
      <c r="BB21" s="194"/>
      <c r="BC21" s="194"/>
      <c r="BD21" s="190"/>
      <c r="BE21" s="190"/>
      <c r="BF21" s="190"/>
      <c r="BG21" s="190"/>
      <c r="BH21" s="190"/>
      <c r="BI21" s="190"/>
      <c r="BJ21" s="190"/>
    </row>
    <row r="22" spans="2:67">
      <c r="B22" s="176" t="s">
        <v>51</v>
      </c>
      <c r="J22" s="7">
        <v>45505</v>
      </c>
      <c r="K22" s="47">
        <v>1045133</v>
      </c>
      <c r="L22" s="47">
        <v>273894.16545812303</v>
      </c>
      <c r="M22" s="47">
        <v>105386.127958973</v>
      </c>
      <c r="N22" s="47">
        <v>56110.304891240303</v>
      </c>
      <c r="O22" s="47">
        <v>39736.534425223203</v>
      </c>
      <c r="P22" s="47">
        <v>40430.354501061498</v>
      </c>
      <c r="Q22" s="47">
        <v>43336.597907682597</v>
      </c>
      <c r="R22" s="47">
        <v>32603.995642118902</v>
      </c>
      <c r="S22" s="47">
        <v>38610.095910932097</v>
      </c>
      <c r="T22" s="47"/>
      <c r="U22" s="47"/>
      <c r="V22" s="47"/>
      <c r="W22" s="47"/>
      <c r="X22" s="47"/>
      <c r="AL22" s="7"/>
      <c r="AM22" s="44"/>
      <c r="AN22" s="44"/>
      <c r="AO22" s="179">
        <v>45689</v>
      </c>
      <c r="AP22" s="47">
        <v>505021</v>
      </c>
      <c r="AQ22" s="192">
        <v>272188.01151604002</v>
      </c>
      <c r="AR22" s="192">
        <v>129353.370694928</v>
      </c>
      <c r="AS22" s="192"/>
      <c r="AT22" s="192"/>
      <c r="AU22" s="192"/>
      <c r="AV22" s="192"/>
      <c r="AW22" s="192"/>
      <c r="AX22" s="194"/>
      <c r="AY22" s="194"/>
      <c r="AZ22" s="194"/>
      <c r="BA22" s="194"/>
      <c r="BB22" s="194"/>
      <c r="BC22" s="194"/>
      <c r="BD22" s="190"/>
      <c r="BE22" s="190"/>
      <c r="BF22" s="190"/>
      <c r="BG22" s="190"/>
      <c r="BH22" s="190"/>
      <c r="BI22" s="190"/>
      <c r="BJ22" s="190"/>
    </row>
    <row r="23" spans="2:67">
      <c r="B23" s="177" t="s">
        <v>244</v>
      </c>
      <c r="J23" s="179">
        <v>45536</v>
      </c>
      <c r="K23" s="47">
        <v>564048</v>
      </c>
      <c r="L23" s="47">
        <v>273070.26941524801</v>
      </c>
      <c r="M23" s="47">
        <v>121431.302615407</v>
      </c>
      <c r="N23" s="47">
        <v>46907.997611886603</v>
      </c>
      <c r="O23" s="47">
        <v>44492.639259231903</v>
      </c>
      <c r="P23" s="47">
        <v>47786.251227305504</v>
      </c>
      <c r="Q23" s="47">
        <v>33064.159318372702</v>
      </c>
      <c r="R23" s="47">
        <v>41637.7286938498</v>
      </c>
      <c r="S23" s="47"/>
      <c r="T23" s="47"/>
      <c r="U23" s="47"/>
      <c r="V23" s="47"/>
      <c r="W23" s="47"/>
      <c r="X23" s="47"/>
      <c r="AL23" s="7"/>
      <c r="AM23" s="178"/>
      <c r="AN23" s="44"/>
      <c r="AO23" s="179">
        <v>45717</v>
      </c>
      <c r="AP23" s="47">
        <v>820307</v>
      </c>
      <c r="AQ23" s="192">
        <v>369032.92519265198</v>
      </c>
      <c r="AR23" s="192"/>
      <c r="AS23" s="192"/>
      <c r="AT23" s="94"/>
      <c r="AU23" s="94"/>
      <c r="AV23" s="94"/>
      <c r="AW23" s="94"/>
      <c r="AX23" s="194"/>
      <c r="AY23" s="194"/>
      <c r="AZ23" s="194"/>
      <c r="BA23" s="194"/>
      <c r="BB23" s="194"/>
      <c r="BC23" s="194"/>
      <c r="BD23" s="190"/>
      <c r="BE23" s="190"/>
      <c r="BF23" s="190"/>
      <c r="BG23" s="190"/>
      <c r="BH23" s="190"/>
      <c r="BI23" s="190"/>
      <c r="BJ23" s="190"/>
    </row>
    <row r="24" spans="2:67">
      <c r="B24" s="177" t="s">
        <v>310</v>
      </c>
      <c r="J24" s="179">
        <v>45566</v>
      </c>
      <c r="K24" s="47">
        <v>549759</v>
      </c>
      <c r="L24" s="47">
        <v>318029.53832979797</v>
      </c>
      <c r="M24" s="47">
        <v>118155.399705687</v>
      </c>
      <c r="N24" s="47">
        <v>61665.1995119368</v>
      </c>
      <c r="O24" s="47">
        <v>57184.476865809702</v>
      </c>
      <c r="P24" s="47">
        <v>37405.338369459503</v>
      </c>
      <c r="Q24" s="47">
        <v>46615.1458822274</v>
      </c>
      <c r="R24" s="47"/>
      <c r="S24" s="47"/>
      <c r="T24" s="47"/>
      <c r="U24" s="47"/>
      <c r="V24" s="47"/>
      <c r="W24" s="47"/>
      <c r="X24" s="47"/>
      <c r="AL24" s="7"/>
      <c r="AM24" s="178"/>
      <c r="AN24" s="44"/>
      <c r="AQ24" s="94"/>
      <c r="AR24" s="94"/>
      <c r="AS24" s="94"/>
      <c r="AT24" s="94"/>
      <c r="AU24" s="94"/>
      <c r="AV24" s="94"/>
      <c r="AW24" s="94"/>
      <c r="AX24" s="194"/>
      <c r="AY24" s="194"/>
      <c r="AZ24" s="194"/>
      <c r="BA24" s="194"/>
      <c r="BB24" s="194"/>
      <c r="BC24" s="194"/>
      <c r="BD24" s="190"/>
      <c r="BE24" s="190"/>
      <c r="BF24" s="190"/>
      <c r="BG24" s="190"/>
      <c r="BH24" s="190"/>
      <c r="BI24" s="190"/>
      <c r="BJ24" s="190"/>
    </row>
    <row r="25" spans="2:67">
      <c r="B25" s="177" t="s">
        <v>311</v>
      </c>
      <c r="J25" s="179">
        <v>45597</v>
      </c>
      <c r="K25" s="47">
        <v>574664</v>
      </c>
      <c r="L25" s="47">
        <v>332503.08794649498</v>
      </c>
      <c r="M25" s="47">
        <v>171371.64415742201</v>
      </c>
      <c r="N25" s="47">
        <v>65458.438024515199</v>
      </c>
      <c r="O25" s="47">
        <v>40646.216029001997</v>
      </c>
      <c r="P25" s="47">
        <v>45629.668235159901</v>
      </c>
      <c r="Q25" s="47"/>
      <c r="R25" s="47"/>
      <c r="S25" s="47"/>
      <c r="T25" s="47"/>
      <c r="U25" s="47"/>
      <c r="V25" s="47"/>
      <c r="W25" s="47"/>
      <c r="X25" s="47"/>
      <c r="AL25" s="7"/>
      <c r="AM25" s="178"/>
      <c r="AN25" s="44"/>
      <c r="AQ25" s="94"/>
      <c r="AR25" s="94"/>
      <c r="AS25" s="94"/>
      <c r="AT25" s="94"/>
      <c r="AU25" s="94"/>
      <c r="AV25" s="94"/>
      <c r="AW25" s="94"/>
      <c r="AX25" s="194"/>
      <c r="AY25" s="194"/>
      <c r="AZ25" s="194"/>
      <c r="BA25" s="194"/>
      <c r="BB25" s="194"/>
      <c r="BC25" s="194"/>
      <c r="BD25" s="190"/>
      <c r="BE25" s="190"/>
      <c r="BF25" s="190"/>
      <c r="BG25" s="190"/>
      <c r="BH25" s="190"/>
      <c r="BI25" s="190"/>
      <c r="BJ25" s="190"/>
    </row>
    <row r="26" spans="2:67">
      <c r="B26" s="177" t="s">
        <v>312</v>
      </c>
      <c r="J26" s="7">
        <v>45627</v>
      </c>
      <c r="K26" s="47">
        <v>2274268</v>
      </c>
      <c r="L26" s="47">
        <v>426021.59249079903</v>
      </c>
      <c r="M26" s="47">
        <v>210444.62142030601</v>
      </c>
      <c r="N26" s="47">
        <v>59525.7201300534</v>
      </c>
      <c r="O26" s="47">
        <v>57292.851109943498</v>
      </c>
      <c r="P26" s="47"/>
      <c r="Q26" s="47"/>
      <c r="R26" s="47"/>
      <c r="S26" s="47"/>
      <c r="T26" s="47"/>
      <c r="U26" s="47"/>
      <c r="V26" s="47"/>
      <c r="W26" s="47"/>
      <c r="X26" s="47"/>
      <c r="AL26" s="7"/>
      <c r="AM26" s="178"/>
      <c r="AN26" s="44"/>
      <c r="AO26" s="7"/>
      <c r="AP26" t="s">
        <v>357</v>
      </c>
      <c r="AQ26" s="191">
        <f>AVERAGE(AQ18:AQ23)</f>
        <v>318245.54003001249</v>
      </c>
      <c r="AR26" s="94">
        <f t="shared" ref="AR26:AW26" si="0">AVERAGE(AR18:AR23)</f>
        <v>133105.61808599118</v>
      </c>
      <c r="AS26" s="94">
        <f t="shared" si="0"/>
        <v>60143.45696579475</v>
      </c>
      <c r="AT26" s="94">
        <f t="shared" si="0"/>
        <v>47441.110718014534</v>
      </c>
      <c r="AU26" s="94">
        <f t="shared" si="0"/>
        <v>43607.085943974969</v>
      </c>
      <c r="AV26" s="94">
        <f t="shared" si="0"/>
        <v>39839.652600300047</v>
      </c>
      <c r="AW26" s="94">
        <f t="shared" si="0"/>
        <v>41637.7286938498</v>
      </c>
      <c r="AX26" s="190">
        <f>AVERAGE(AX10:AX17)</f>
        <v>25816.948666901859</v>
      </c>
      <c r="AY26" s="190">
        <f t="shared" ref="AY26:BJ26" si="1">AVERAGE(AY10:AY17)</f>
        <v>23779.090605033576</v>
      </c>
      <c r="AZ26" s="190">
        <f t="shared" si="1"/>
        <v>23264.796084520076</v>
      </c>
      <c r="BA26" s="193">
        <f>AVERAGE(BA10:BA17)</f>
        <v>22543.625536176201</v>
      </c>
      <c r="BB26" s="190">
        <f t="shared" si="1"/>
        <v>21412.598026627627</v>
      </c>
      <c r="BC26" s="190">
        <f t="shared" si="1"/>
        <v>75337.929178096107</v>
      </c>
      <c r="BD26" s="190">
        <f t="shared" si="1"/>
        <v>49803.202117236062</v>
      </c>
      <c r="BE26" s="190">
        <f t="shared" si="1"/>
        <v>33698.903630861314</v>
      </c>
      <c r="BF26" s="190">
        <f t="shared" si="1"/>
        <v>30617.087342597621</v>
      </c>
      <c r="BG26" s="190">
        <f t="shared" si="1"/>
        <v>27292.831725512973</v>
      </c>
      <c r="BH26" s="190">
        <f t="shared" si="1"/>
        <v>26448.580947712431</v>
      </c>
      <c r="BI26" s="190">
        <f t="shared" si="1"/>
        <v>25103.383203523852</v>
      </c>
      <c r="BJ26" s="190">
        <f>AVERAGE(BJ10:BJ17)</f>
        <v>24266.870934033501</v>
      </c>
      <c r="BK26" s="189">
        <f>AVERAGE(BK3:BK10)</f>
        <v>29410.050735712957</v>
      </c>
      <c r="BL26" s="189">
        <f t="shared" ref="BL26:BO26" si="2">AVERAGE(BL3:BL10)</f>
        <v>28670.444887375303</v>
      </c>
      <c r="BM26" s="189">
        <f t="shared" si="2"/>
        <v>27743.712809738099</v>
      </c>
      <c r="BN26" s="189">
        <f t="shared" si="2"/>
        <v>29388.440300266451</v>
      </c>
      <c r="BO26" s="189">
        <f t="shared" si="2"/>
        <v>56844.714411362096</v>
      </c>
    </row>
    <row r="27" spans="2:67">
      <c r="B27" s="177" t="s">
        <v>313</v>
      </c>
      <c r="J27" s="179">
        <v>45658</v>
      </c>
      <c r="K27" s="47">
        <v>594349</v>
      </c>
      <c r="L27" s="47">
        <v>344649.40777984197</v>
      </c>
      <c r="M27" s="47">
        <v>125216.373256512</v>
      </c>
      <c r="N27" s="47">
        <v>66542.192714840407</v>
      </c>
      <c r="O27" s="47"/>
      <c r="P27" s="47"/>
      <c r="Q27" s="47"/>
      <c r="R27" s="47"/>
      <c r="S27" s="47"/>
      <c r="T27" s="47"/>
      <c r="U27" s="47"/>
      <c r="V27" s="47"/>
      <c r="W27" s="47"/>
      <c r="X27" s="47"/>
      <c r="AL27" s="7"/>
      <c r="AM27" s="178"/>
      <c r="AN27" s="44"/>
      <c r="AT27" s="47"/>
      <c r="AU27" s="47"/>
      <c r="AV27" s="47"/>
      <c r="AW27" s="47"/>
      <c r="AX27" s="47"/>
      <c r="AY27" s="47"/>
      <c r="AZ27" s="47"/>
      <c r="BA27" s="47"/>
      <c r="BB27" s="47"/>
      <c r="BC27" s="47"/>
    </row>
    <row r="28" spans="2:67">
      <c r="B28" s="177" t="s">
        <v>314</v>
      </c>
      <c r="J28" s="179">
        <v>45689</v>
      </c>
      <c r="K28" s="47">
        <v>505021</v>
      </c>
      <c r="L28" s="47">
        <v>272188.01151604002</v>
      </c>
      <c r="M28" s="47">
        <v>129353.370694928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AL28" s="7"/>
      <c r="AM28" s="178"/>
      <c r="AN28" s="44"/>
      <c r="AT28" s="47"/>
      <c r="AU28" s="47"/>
      <c r="AV28" s="47"/>
      <c r="AW28" s="47"/>
      <c r="AX28" s="47"/>
      <c r="AY28" s="47"/>
      <c r="AZ28" s="47"/>
      <c r="BA28" s="47"/>
      <c r="BB28" s="47"/>
      <c r="BC28" s="47"/>
    </row>
    <row r="29" spans="2:67">
      <c r="B29" s="177" t="s">
        <v>315</v>
      </c>
      <c r="J29" s="179">
        <v>45717</v>
      </c>
      <c r="K29" s="47">
        <v>820307</v>
      </c>
      <c r="L29" s="47">
        <v>369032.92519265198</v>
      </c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AL29" s="7"/>
      <c r="AM29" s="178"/>
      <c r="AN29" s="44"/>
      <c r="AT29" s="47"/>
      <c r="AU29" s="47"/>
      <c r="AV29" s="47"/>
      <c r="AW29" s="47"/>
      <c r="AX29" s="47"/>
      <c r="AY29" s="47"/>
      <c r="AZ29" s="47"/>
      <c r="BA29" s="47"/>
      <c r="BB29" s="47"/>
      <c r="BC29" s="47"/>
    </row>
    <row r="30" spans="2:67">
      <c r="B30" s="177" t="s">
        <v>316</v>
      </c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</row>
    <row r="31" spans="2:67">
      <c r="B31" s="177" t="s">
        <v>317</v>
      </c>
    </row>
    <row r="32" spans="2:67">
      <c r="B32" s="177" t="s">
        <v>318</v>
      </c>
    </row>
    <row r="33" spans="2:2">
      <c r="B33" s="177" t="s">
        <v>319</v>
      </c>
    </row>
    <row r="34" spans="2:2">
      <c r="B34" s="177" t="s">
        <v>320</v>
      </c>
    </row>
    <row r="35" spans="2:2">
      <c r="B35" s="177" t="s">
        <v>321</v>
      </c>
    </row>
    <row r="36" spans="2:2">
      <c r="B36" s="177" t="s">
        <v>322</v>
      </c>
    </row>
    <row r="37" spans="2:2">
      <c r="B37" s="177" t="s">
        <v>323</v>
      </c>
    </row>
    <row r="38" spans="2:2">
      <c r="B38" s="177" t="s">
        <v>324</v>
      </c>
    </row>
    <row r="39" spans="2:2">
      <c r="B39" s="177" t="s">
        <v>325</v>
      </c>
    </row>
    <row r="40" spans="2:2">
      <c r="B40" s="177" t="s">
        <v>326</v>
      </c>
    </row>
    <row r="41" spans="2:2">
      <c r="B41" s="177" t="s">
        <v>327</v>
      </c>
    </row>
    <row r="42" spans="2:2">
      <c r="B42" s="177" t="s">
        <v>328</v>
      </c>
    </row>
    <row r="43" spans="2:2">
      <c r="B43" s="177" t="s">
        <v>329</v>
      </c>
    </row>
    <row r="44" spans="2:2">
      <c r="B44" s="177" t="s">
        <v>330</v>
      </c>
    </row>
    <row r="45" spans="2:2">
      <c r="B45" s="177" t="s">
        <v>331</v>
      </c>
    </row>
    <row r="46" spans="2:2">
      <c r="B46" s="177" t="s">
        <v>332</v>
      </c>
    </row>
    <row r="47" spans="2:2">
      <c r="B47" s="177" t="s">
        <v>333</v>
      </c>
    </row>
    <row r="48" spans="2:2">
      <c r="B48" s="177" t="s">
        <v>334</v>
      </c>
    </row>
    <row r="49" spans="2:2">
      <c r="B49" s="177" t="s">
        <v>335</v>
      </c>
    </row>
    <row r="51" spans="2:2">
      <c r="B51" s="176" t="s">
        <v>336</v>
      </c>
    </row>
    <row r="52" spans="2:2">
      <c r="B52" s="176" t="s">
        <v>337</v>
      </c>
    </row>
    <row r="53" spans="2:2">
      <c r="B53" s="176" t="s">
        <v>338</v>
      </c>
    </row>
    <row r="54" spans="2:2">
      <c r="B54" s="176" t="s">
        <v>339</v>
      </c>
    </row>
  </sheetData>
  <mergeCells count="1">
    <mergeCell ref="G1:G1048576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D97D-B200-F14A-964D-4FC227AD6ECD}">
  <dimension ref="A1:BM59"/>
  <sheetViews>
    <sheetView topLeftCell="AI1" workbookViewId="0">
      <selection activeCell="AJ25" sqref="AJ25:BH25"/>
    </sheetView>
  </sheetViews>
  <sheetFormatPr baseColWidth="10" defaultRowHeight="16"/>
  <cols>
    <col min="2" max="2" width="10.83203125" style="131"/>
    <col min="36" max="60" width="10.83203125" style="47"/>
  </cols>
  <sheetData>
    <row r="1" spans="1:65" s="6" customFormat="1" ht="51">
      <c r="A1" s="175" t="s">
        <v>237</v>
      </c>
      <c r="B1" s="131"/>
      <c r="D1" s="6" t="s">
        <v>244</v>
      </c>
      <c r="E1" s="6" t="s">
        <v>271</v>
      </c>
      <c r="F1" s="6" t="s">
        <v>340</v>
      </c>
      <c r="G1" s="6" t="s">
        <v>345</v>
      </c>
      <c r="H1" s="6" t="s">
        <v>272</v>
      </c>
      <c r="I1" s="6" t="s">
        <v>273</v>
      </c>
      <c r="J1" s="6" t="s">
        <v>274</v>
      </c>
      <c r="K1" s="6" t="s">
        <v>275</v>
      </c>
      <c r="L1" s="6" t="s">
        <v>276</v>
      </c>
      <c r="M1" s="6" t="s">
        <v>277</v>
      </c>
      <c r="N1" s="6" t="s">
        <v>278</v>
      </c>
      <c r="O1" s="6" t="s">
        <v>279</v>
      </c>
      <c r="P1" s="6" t="s">
        <v>280</v>
      </c>
      <c r="Q1" s="6" t="s">
        <v>281</v>
      </c>
      <c r="R1" s="6" t="s">
        <v>282</v>
      </c>
      <c r="S1" s="6" t="s">
        <v>283</v>
      </c>
      <c r="T1" s="6" t="s">
        <v>284</v>
      </c>
      <c r="U1" s="6" t="s">
        <v>285</v>
      </c>
      <c r="V1" s="6" t="s">
        <v>286</v>
      </c>
      <c r="W1" s="6" t="s">
        <v>287</v>
      </c>
      <c r="X1" s="6" t="s">
        <v>288</v>
      </c>
      <c r="Y1" s="6" t="s">
        <v>289</v>
      </c>
      <c r="Z1" s="6" t="s">
        <v>290</v>
      </c>
      <c r="AA1" s="6" t="s">
        <v>291</v>
      </c>
      <c r="AB1" s="6" t="s">
        <v>292</v>
      </c>
      <c r="AC1" s="6" t="s">
        <v>293</v>
      </c>
      <c r="AD1" s="6" t="s">
        <v>294</v>
      </c>
      <c r="AH1" s="6" t="s">
        <v>244</v>
      </c>
      <c r="AI1" s="6" t="s">
        <v>271</v>
      </c>
      <c r="AJ1" s="182" t="s">
        <v>340</v>
      </c>
      <c r="AK1" s="182" t="s">
        <v>345</v>
      </c>
      <c r="AL1" s="182" t="s">
        <v>272</v>
      </c>
      <c r="AM1" s="182" t="s">
        <v>273</v>
      </c>
      <c r="AN1" s="182" t="s">
        <v>274</v>
      </c>
      <c r="AO1" s="182" t="s">
        <v>275</v>
      </c>
      <c r="AP1" s="182" t="s">
        <v>276</v>
      </c>
      <c r="AQ1" s="182" t="s">
        <v>277</v>
      </c>
      <c r="AR1" s="182" t="s">
        <v>278</v>
      </c>
      <c r="AS1" s="182" t="s">
        <v>279</v>
      </c>
      <c r="AT1" s="182" t="s">
        <v>280</v>
      </c>
      <c r="AU1" s="182" t="s">
        <v>281</v>
      </c>
      <c r="AV1" s="182" t="s">
        <v>282</v>
      </c>
      <c r="AW1" s="182" t="s">
        <v>283</v>
      </c>
      <c r="AX1" s="182" t="s">
        <v>284</v>
      </c>
      <c r="AY1" s="182" t="s">
        <v>285</v>
      </c>
      <c r="AZ1" s="182" t="s">
        <v>286</v>
      </c>
      <c r="BA1" s="182" t="s">
        <v>287</v>
      </c>
      <c r="BB1" s="182" t="s">
        <v>288</v>
      </c>
      <c r="BC1" s="182" t="s">
        <v>289</v>
      </c>
      <c r="BD1" s="182" t="s">
        <v>290</v>
      </c>
      <c r="BE1" s="182" t="s">
        <v>291</v>
      </c>
      <c r="BF1" s="182" t="s">
        <v>292</v>
      </c>
      <c r="BG1" s="182" t="s">
        <v>293</v>
      </c>
      <c r="BH1" s="182" t="s">
        <v>294</v>
      </c>
    </row>
    <row r="2" spans="1:65">
      <c r="A2" s="2" t="s">
        <v>2</v>
      </c>
      <c r="D2" s="7">
        <v>44927</v>
      </c>
      <c r="E2">
        <v>1239076</v>
      </c>
      <c r="Q2">
        <v>0.51779900000000001</v>
      </c>
      <c r="R2">
        <v>14.693847</v>
      </c>
      <c r="S2">
        <v>148.85966400000001</v>
      </c>
      <c r="T2">
        <v>522.31531399999994</v>
      </c>
      <c r="U2">
        <v>1374.2608290000001</v>
      </c>
      <c r="V2">
        <v>1505.9273579999999</v>
      </c>
      <c r="W2">
        <v>1434.778423</v>
      </c>
      <c r="X2">
        <v>1346.0981899999999</v>
      </c>
      <c r="Y2">
        <v>1178.6715160000001</v>
      </c>
      <c r="Z2">
        <v>768.025486</v>
      </c>
      <c r="AA2">
        <v>497.12618300000003</v>
      </c>
      <c r="AB2">
        <v>461.81775800000003</v>
      </c>
      <c r="AC2">
        <v>442.09603700000002</v>
      </c>
      <c r="AD2">
        <v>352.84536400000002</v>
      </c>
      <c r="AH2" s="7">
        <v>44927</v>
      </c>
      <c r="AI2">
        <v>1239076</v>
      </c>
      <c r="AY2" s="47">
        <v>1374.2608290000001</v>
      </c>
      <c r="AZ2" s="47">
        <v>1505.9273579999999</v>
      </c>
      <c r="BA2" s="47">
        <v>1434.778423</v>
      </c>
      <c r="BB2" s="47">
        <v>1346.0981899999999</v>
      </c>
      <c r="BC2" s="47">
        <v>1178.6715160000001</v>
      </c>
      <c r="BD2" s="47">
        <v>768.025486</v>
      </c>
      <c r="BE2" s="47">
        <v>497.12618300000003</v>
      </c>
      <c r="BF2" s="47">
        <v>461.81775800000003</v>
      </c>
      <c r="BG2" s="47">
        <v>442.09603700000002</v>
      </c>
      <c r="BH2" s="47">
        <v>352.84536400000002</v>
      </c>
    </row>
    <row r="3" spans="1:65">
      <c r="A3" s="2" t="s">
        <v>346</v>
      </c>
      <c r="D3" s="7">
        <v>44958</v>
      </c>
      <c r="E3">
        <v>1004707</v>
      </c>
      <c r="P3">
        <v>0.48003000000000001</v>
      </c>
      <c r="Q3">
        <v>12.50572</v>
      </c>
      <c r="R3">
        <v>127.555792</v>
      </c>
      <c r="S3">
        <v>448.71914800000002</v>
      </c>
      <c r="T3">
        <v>1194.3893860000001</v>
      </c>
      <c r="U3">
        <v>1279.853018</v>
      </c>
      <c r="V3">
        <v>1256.073245</v>
      </c>
      <c r="W3">
        <v>1131.057235</v>
      </c>
      <c r="X3">
        <v>1000.612681</v>
      </c>
      <c r="Y3">
        <v>636.19715099999996</v>
      </c>
      <c r="Z3">
        <v>416.775149</v>
      </c>
      <c r="AA3">
        <v>392.53635600000001</v>
      </c>
      <c r="AB3">
        <v>363.37960700000002</v>
      </c>
      <c r="AC3">
        <v>291.64381500000002</v>
      </c>
      <c r="AD3">
        <v>252.55993699999999</v>
      </c>
      <c r="AH3" s="7">
        <v>44958</v>
      </c>
      <c r="AI3">
        <v>1004707</v>
      </c>
      <c r="AY3" s="47">
        <v>1279.853018</v>
      </c>
      <c r="AZ3" s="47">
        <v>1256.073245</v>
      </c>
      <c r="BA3" s="47">
        <v>1131.057235</v>
      </c>
      <c r="BB3" s="47">
        <v>1000.612681</v>
      </c>
      <c r="BC3" s="47">
        <v>636.19715099999996</v>
      </c>
      <c r="BD3" s="47">
        <v>416.775149</v>
      </c>
      <c r="BE3" s="47">
        <v>392.53635600000001</v>
      </c>
      <c r="BF3" s="47">
        <v>363.37960700000002</v>
      </c>
      <c r="BG3" s="47">
        <v>291.64381500000002</v>
      </c>
      <c r="BH3" s="47">
        <v>252.55993699999999</v>
      </c>
    </row>
    <row r="4" spans="1:65">
      <c r="A4" s="3" t="s">
        <v>347</v>
      </c>
      <c r="D4" s="7">
        <v>44986</v>
      </c>
      <c r="E4">
        <v>1134542</v>
      </c>
      <c r="O4">
        <v>0.59263299999999997</v>
      </c>
      <c r="P4">
        <v>12.272579</v>
      </c>
      <c r="Q4">
        <v>131.902624</v>
      </c>
      <c r="R4">
        <v>484.70466199999998</v>
      </c>
      <c r="S4">
        <v>1357.561563</v>
      </c>
      <c r="T4">
        <v>1439.6275370000001</v>
      </c>
      <c r="U4">
        <v>1415.1205190000001</v>
      </c>
      <c r="V4">
        <v>1306.1221399999999</v>
      </c>
      <c r="W4">
        <v>1131.5228179999999</v>
      </c>
      <c r="X4">
        <v>709.34525499999995</v>
      </c>
      <c r="Y4">
        <v>459.43859700000002</v>
      </c>
      <c r="Z4">
        <v>439.42705999999998</v>
      </c>
      <c r="AA4">
        <v>413.23683199999999</v>
      </c>
      <c r="AB4">
        <v>320.351113</v>
      </c>
      <c r="AC4">
        <v>265.46715399999999</v>
      </c>
      <c r="AD4">
        <v>334.24325900000002</v>
      </c>
      <c r="AH4" s="7">
        <v>44986</v>
      </c>
      <c r="AI4">
        <v>1134542</v>
      </c>
      <c r="AY4" s="47">
        <v>1415.1205190000001</v>
      </c>
      <c r="AZ4" s="47">
        <v>1306.1221399999999</v>
      </c>
      <c r="BA4" s="47">
        <v>1131.5228179999999</v>
      </c>
      <c r="BB4" s="47">
        <v>709.34525499999995</v>
      </c>
      <c r="BC4" s="47">
        <v>459.43859700000002</v>
      </c>
      <c r="BD4" s="47">
        <v>439.42705999999998</v>
      </c>
      <c r="BE4" s="47">
        <v>413.23683199999999</v>
      </c>
      <c r="BF4" s="47">
        <v>320.351113</v>
      </c>
      <c r="BG4" s="47">
        <v>265.46715399999999</v>
      </c>
      <c r="BH4" s="47">
        <v>334.24325900000002</v>
      </c>
    </row>
    <row r="5" spans="1:65">
      <c r="A5" s="3" t="s">
        <v>348</v>
      </c>
      <c r="D5" s="7">
        <v>45017</v>
      </c>
      <c r="E5">
        <v>1112613</v>
      </c>
      <c r="N5">
        <v>0.59397999999999995</v>
      </c>
      <c r="O5">
        <v>14.318004</v>
      </c>
      <c r="P5">
        <v>146.552256</v>
      </c>
      <c r="Q5">
        <v>508.99450100000001</v>
      </c>
      <c r="R5">
        <v>1422.597921</v>
      </c>
      <c r="S5">
        <v>1489.7000780000001</v>
      </c>
      <c r="T5">
        <v>1449.153898</v>
      </c>
      <c r="U5">
        <v>1328.5228010000001</v>
      </c>
      <c r="V5">
        <v>1171.156534</v>
      </c>
      <c r="W5">
        <v>719.09739000000002</v>
      </c>
      <c r="X5">
        <v>472.07711599999999</v>
      </c>
      <c r="Y5">
        <v>433.77915400000001</v>
      </c>
      <c r="Z5">
        <v>403.204881</v>
      </c>
      <c r="AA5">
        <v>323.13321999999999</v>
      </c>
      <c r="AB5">
        <v>285.60153300000002</v>
      </c>
      <c r="AC5">
        <v>332.203238</v>
      </c>
      <c r="AH5" s="7">
        <v>45017</v>
      </c>
      <c r="AI5">
        <v>1112613</v>
      </c>
      <c r="AX5" s="47">
        <v>1449.153898</v>
      </c>
      <c r="AY5" s="47">
        <v>1328.5228010000001</v>
      </c>
      <c r="AZ5" s="47">
        <v>1171.156534</v>
      </c>
      <c r="BA5" s="47">
        <v>719.09739000000002</v>
      </c>
      <c r="BB5" s="47">
        <v>472.07711599999999</v>
      </c>
      <c r="BC5" s="47">
        <v>433.77915400000001</v>
      </c>
      <c r="BD5" s="47">
        <v>403.204881</v>
      </c>
      <c r="BE5" s="47">
        <v>323.13321999999999</v>
      </c>
      <c r="BF5" s="47">
        <v>285.60153300000002</v>
      </c>
      <c r="BG5" s="47">
        <v>332.203238</v>
      </c>
    </row>
    <row r="6" spans="1:65">
      <c r="A6" s="3" t="s">
        <v>349</v>
      </c>
      <c r="D6" s="7">
        <v>45047</v>
      </c>
      <c r="E6">
        <v>1023596</v>
      </c>
      <c r="M6">
        <v>0.55256099999999997</v>
      </c>
      <c r="N6">
        <v>14.57619</v>
      </c>
      <c r="O6">
        <v>147.848645</v>
      </c>
      <c r="P6">
        <v>531.33514300000002</v>
      </c>
      <c r="Q6">
        <v>1425.0550249999999</v>
      </c>
      <c r="R6">
        <v>1542.438316</v>
      </c>
      <c r="S6">
        <v>1475.4063470000001</v>
      </c>
      <c r="T6">
        <v>1354.37922</v>
      </c>
      <c r="U6">
        <v>1163.8771320000001</v>
      </c>
      <c r="V6">
        <v>719.28371600000003</v>
      </c>
      <c r="W6">
        <v>467.50268599999998</v>
      </c>
      <c r="X6">
        <v>448.47922499999999</v>
      </c>
      <c r="Y6">
        <v>411.83441699999997</v>
      </c>
      <c r="Z6">
        <v>318.44621799999999</v>
      </c>
      <c r="AA6">
        <v>265.685225</v>
      </c>
      <c r="AB6">
        <v>327.95901700000002</v>
      </c>
      <c r="AH6" s="7">
        <v>45047</v>
      </c>
      <c r="AI6">
        <v>1023596</v>
      </c>
      <c r="AW6" s="47">
        <v>1475.4063470000001</v>
      </c>
      <c r="AX6" s="47">
        <v>1354.37922</v>
      </c>
      <c r="AY6" s="47">
        <v>1163.8771320000001</v>
      </c>
      <c r="AZ6" s="47">
        <v>719.28371600000003</v>
      </c>
      <c r="BA6" s="47">
        <v>467.50268599999998</v>
      </c>
      <c r="BB6" s="47">
        <v>448.47922499999999</v>
      </c>
      <c r="BC6" s="47">
        <v>411.83441699999997</v>
      </c>
      <c r="BD6" s="47">
        <v>318.44621799999999</v>
      </c>
      <c r="BE6" s="47">
        <v>265.685225</v>
      </c>
      <c r="BF6" s="47">
        <v>327.95901700000002</v>
      </c>
    </row>
    <row r="7" spans="1:65">
      <c r="A7" s="3" t="s">
        <v>350</v>
      </c>
      <c r="D7" s="7">
        <v>45078</v>
      </c>
      <c r="E7">
        <v>1056384</v>
      </c>
      <c r="L7">
        <v>0.61272400000000005</v>
      </c>
      <c r="M7">
        <v>14.86938</v>
      </c>
      <c r="N7">
        <v>157.08943600000001</v>
      </c>
      <c r="O7">
        <v>548.94148399999995</v>
      </c>
      <c r="P7">
        <v>1481.1567769999999</v>
      </c>
      <c r="Q7">
        <v>1580.247059</v>
      </c>
      <c r="R7">
        <v>1535.936342</v>
      </c>
      <c r="S7">
        <v>1424.2274399999999</v>
      </c>
      <c r="T7">
        <v>1251.5532430000001</v>
      </c>
      <c r="U7">
        <v>775.14331500000003</v>
      </c>
      <c r="V7">
        <v>507.65460000000002</v>
      </c>
      <c r="W7">
        <v>470.54085300000003</v>
      </c>
      <c r="X7">
        <v>447.16162000000003</v>
      </c>
      <c r="Y7">
        <v>338.79017599999997</v>
      </c>
      <c r="Z7">
        <v>289.48134800000003</v>
      </c>
      <c r="AA7">
        <v>353.24979400000001</v>
      </c>
      <c r="AH7" s="7">
        <v>45078</v>
      </c>
      <c r="AI7">
        <v>1056384</v>
      </c>
      <c r="AV7" s="47">
        <v>1535.936342</v>
      </c>
      <c r="AW7" s="47">
        <v>1424.2274399999999</v>
      </c>
      <c r="AX7" s="47">
        <v>1251.5532430000001</v>
      </c>
      <c r="AY7" s="47">
        <v>775.14331500000003</v>
      </c>
      <c r="AZ7" s="47">
        <v>507.65460000000002</v>
      </c>
      <c r="BA7" s="47">
        <v>470.54085300000003</v>
      </c>
      <c r="BB7" s="47">
        <v>447.16162000000003</v>
      </c>
      <c r="BC7" s="47">
        <v>338.79017599999997</v>
      </c>
      <c r="BD7" s="47">
        <v>289.48134800000003</v>
      </c>
      <c r="BE7" s="47">
        <v>353.24979400000001</v>
      </c>
    </row>
    <row r="8" spans="1:65">
      <c r="A8" s="2" t="s">
        <v>351</v>
      </c>
      <c r="D8" s="7">
        <v>45108</v>
      </c>
      <c r="E8">
        <v>1101463</v>
      </c>
      <c r="K8">
        <v>0.68816900000000003</v>
      </c>
      <c r="L8">
        <v>17.139659999999999</v>
      </c>
      <c r="M8">
        <v>181.13494800000001</v>
      </c>
      <c r="N8">
        <v>660.68409599999995</v>
      </c>
      <c r="O8">
        <v>1719.5223619999999</v>
      </c>
      <c r="P8">
        <v>1824.249521</v>
      </c>
      <c r="Q8">
        <v>1775.47207</v>
      </c>
      <c r="R8">
        <v>1682.662924</v>
      </c>
      <c r="S8">
        <v>1455.077288</v>
      </c>
      <c r="T8">
        <v>906.84711500000003</v>
      </c>
      <c r="U8">
        <v>585.24497899999994</v>
      </c>
      <c r="V8">
        <v>555.28053199999999</v>
      </c>
      <c r="W8">
        <v>527.80467299999998</v>
      </c>
      <c r="X8">
        <v>407.50713400000001</v>
      </c>
      <c r="Y8">
        <v>344.020825</v>
      </c>
      <c r="Z8">
        <v>415.407915</v>
      </c>
      <c r="AH8" s="7">
        <v>45108</v>
      </c>
      <c r="AI8">
        <v>1101463</v>
      </c>
      <c r="AU8" s="47">
        <v>1775.47207</v>
      </c>
      <c r="AV8" s="47">
        <v>1682.662924</v>
      </c>
      <c r="AW8" s="47">
        <v>1455.077288</v>
      </c>
      <c r="AX8" s="47">
        <v>906.84711500000003</v>
      </c>
      <c r="AY8" s="47">
        <v>585.24497899999994</v>
      </c>
      <c r="AZ8" s="47">
        <v>555.28053199999999</v>
      </c>
      <c r="BA8" s="47">
        <v>527.80467299999998</v>
      </c>
      <c r="BB8" s="47">
        <v>407.50713400000001</v>
      </c>
      <c r="BC8" s="47">
        <v>344.020825</v>
      </c>
      <c r="BD8" s="47">
        <v>415.407915</v>
      </c>
    </row>
    <row r="9" spans="1:65">
      <c r="A9" s="2" t="s">
        <v>352</v>
      </c>
      <c r="D9" s="7">
        <v>45139</v>
      </c>
      <c r="E9">
        <v>934677</v>
      </c>
      <c r="J9">
        <v>0.56673099999999998</v>
      </c>
      <c r="K9">
        <v>15.793751</v>
      </c>
      <c r="L9">
        <v>170.574174</v>
      </c>
      <c r="M9">
        <v>599.04916300000002</v>
      </c>
      <c r="N9">
        <v>1559.823136</v>
      </c>
      <c r="O9">
        <v>1653.875131</v>
      </c>
      <c r="P9">
        <v>1576.884624</v>
      </c>
      <c r="Q9">
        <v>1451.5218540000001</v>
      </c>
      <c r="R9">
        <v>1331.613871</v>
      </c>
      <c r="S9">
        <v>815.57326599999999</v>
      </c>
      <c r="T9">
        <v>546.50890200000003</v>
      </c>
      <c r="U9">
        <v>507.11462</v>
      </c>
      <c r="V9">
        <v>485.24905000000001</v>
      </c>
      <c r="W9">
        <v>369.73418900000001</v>
      </c>
      <c r="X9">
        <v>310.90450800000002</v>
      </c>
      <c r="Y9">
        <v>372.74033700000001</v>
      </c>
      <c r="AH9" s="7">
        <v>45139</v>
      </c>
      <c r="AI9">
        <v>934677</v>
      </c>
      <c r="AP9" s="194"/>
      <c r="AQ9" s="194"/>
      <c r="AR9" s="194"/>
      <c r="AS9" s="194"/>
      <c r="AT9" s="194">
        <v>1576.884624</v>
      </c>
      <c r="AU9" s="47">
        <v>1451.5218540000001</v>
      </c>
      <c r="AV9" s="47">
        <v>1331.613871</v>
      </c>
      <c r="AW9" s="47">
        <v>815.57326599999999</v>
      </c>
      <c r="AX9" s="47">
        <v>546.50890200000003</v>
      </c>
      <c r="AY9" s="47">
        <v>507.11462</v>
      </c>
      <c r="AZ9" s="47">
        <v>485.24905000000001</v>
      </c>
      <c r="BA9" s="47">
        <v>369.73418900000001</v>
      </c>
      <c r="BB9" s="47">
        <v>310.90450800000002</v>
      </c>
      <c r="BC9" s="47">
        <v>372.74033700000001</v>
      </c>
    </row>
    <row r="10" spans="1:65">
      <c r="A10" s="2" t="s">
        <v>353</v>
      </c>
      <c r="D10" s="7">
        <v>45170</v>
      </c>
      <c r="E10">
        <v>936045</v>
      </c>
      <c r="I10">
        <v>0.79410800000000004</v>
      </c>
      <c r="J10">
        <v>18.656592</v>
      </c>
      <c r="K10">
        <v>182.16381200000001</v>
      </c>
      <c r="L10">
        <v>637.86002800000006</v>
      </c>
      <c r="M10">
        <v>1571.6598570000001</v>
      </c>
      <c r="N10">
        <v>1658.0179149999999</v>
      </c>
      <c r="O10">
        <v>1605.5221329999999</v>
      </c>
      <c r="P10">
        <v>1455.0460929999999</v>
      </c>
      <c r="Q10">
        <v>1252.4609599999999</v>
      </c>
      <c r="R10">
        <v>800.63266999999996</v>
      </c>
      <c r="S10">
        <v>528.82306600000004</v>
      </c>
      <c r="T10">
        <v>489.29964699999999</v>
      </c>
      <c r="U10">
        <v>462.66626500000001</v>
      </c>
      <c r="V10">
        <v>354.137653</v>
      </c>
      <c r="W10">
        <v>314.22518400000001</v>
      </c>
      <c r="X10">
        <v>372.53615000000002</v>
      </c>
      <c r="AH10" s="7">
        <v>45170</v>
      </c>
      <c r="AI10">
        <v>936045</v>
      </c>
      <c r="AP10" s="194"/>
      <c r="AQ10" s="194"/>
      <c r="AR10" s="194"/>
      <c r="AS10" s="194">
        <v>1605.5221329999999</v>
      </c>
      <c r="AT10" s="194">
        <v>1455.0460929999999</v>
      </c>
      <c r="AU10" s="47">
        <v>1252.4609599999999</v>
      </c>
      <c r="AV10" s="47">
        <v>800.63266999999996</v>
      </c>
      <c r="AW10" s="47">
        <v>528.82306600000004</v>
      </c>
      <c r="AX10" s="47">
        <v>489.29964699999999</v>
      </c>
      <c r="AY10" s="47">
        <v>462.66626500000001</v>
      </c>
      <c r="AZ10" s="47">
        <v>354.137653</v>
      </c>
      <c r="BA10" s="47">
        <v>314.22518400000001</v>
      </c>
      <c r="BB10" s="47">
        <v>372.53615000000002</v>
      </c>
    </row>
    <row r="11" spans="1:65">
      <c r="A11" s="2" t="s">
        <v>190</v>
      </c>
      <c r="D11" s="7">
        <v>45200</v>
      </c>
      <c r="E11">
        <v>939224</v>
      </c>
      <c r="H11">
        <v>0.81696400000000002</v>
      </c>
      <c r="I11">
        <v>23.010902000000002</v>
      </c>
      <c r="J11">
        <v>216.21681000000001</v>
      </c>
      <c r="K11">
        <v>735.02503000000002</v>
      </c>
      <c r="L11">
        <v>1791.592101</v>
      </c>
      <c r="M11">
        <v>1825.024199</v>
      </c>
      <c r="N11">
        <v>1762.6043360000001</v>
      </c>
      <c r="O11">
        <v>1576.4623859999999</v>
      </c>
      <c r="P11">
        <v>1387.9244530000001</v>
      </c>
      <c r="Q11">
        <v>867.69259999999997</v>
      </c>
      <c r="R11">
        <v>595.12266499999998</v>
      </c>
      <c r="S11">
        <v>572.22057400000006</v>
      </c>
      <c r="T11">
        <v>522.22692700000005</v>
      </c>
      <c r="U11">
        <v>406.41606400000001</v>
      </c>
      <c r="V11">
        <v>339.55294600000002</v>
      </c>
      <c r="W11">
        <v>407.84601400000003</v>
      </c>
      <c r="AH11" s="7">
        <v>45200</v>
      </c>
      <c r="AI11">
        <v>939224</v>
      </c>
      <c r="AP11" s="194"/>
      <c r="AQ11" s="194">
        <v>1825.024199</v>
      </c>
      <c r="AR11" s="194">
        <v>1762.6043360000001</v>
      </c>
      <c r="AS11" s="194">
        <v>1576.4623859999999</v>
      </c>
      <c r="AT11" s="194">
        <v>1387.9244530000001</v>
      </c>
      <c r="AU11" s="47">
        <v>867.69259999999997</v>
      </c>
      <c r="AV11" s="47">
        <v>595.12266499999998</v>
      </c>
      <c r="AW11" s="47">
        <v>572.22057400000006</v>
      </c>
      <c r="AX11" s="47">
        <v>522.22692700000005</v>
      </c>
      <c r="AY11" s="47">
        <v>406.41606400000001</v>
      </c>
      <c r="AZ11" s="47">
        <v>339.55294600000002</v>
      </c>
      <c r="BA11" s="47">
        <v>407.84601400000003</v>
      </c>
    </row>
    <row r="12" spans="1:65">
      <c r="D12" s="7">
        <v>45231</v>
      </c>
      <c r="E12">
        <v>825993</v>
      </c>
      <c r="G12">
        <v>1.1438889999999999</v>
      </c>
      <c r="H12">
        <v>25.079893999999999</v>
      </c>
      <c r="I12">
        <v>236.489904</v>
      </c>
      <c r="J12">
        <v>782.38590899999997</v>
      </c>
      <c r="K12">
        <v>1933.4703280000001</v>
      </c>
      <c r="L12">
        <v>1964.369631</v>
      </c>
      <c r="M12">
        <v>1828.330504</v>
      </c>
      <c r="N12">
        <v>1690.4384239999999</v>
      </c>
      <c r="O12">
        <v>1423.6655740000001</v>
      </c>
      <c r="P12">
        <v>894.70810500000005</v>
      </c>
      <c r="Q12">
        <v>584.31215399999996</v>
      </c>
      <c r="R12">
        <v>580.94933700000001</v>
      </c>
      <c r="S12">
        <v>535.54778399999998</v>
      </c>
      <c r="T12">
        <v>418.707988</v>
      </c>
      <c r="U12">
        <v>346.86879199999998</v>
      </c>
      <c r="V12">
        <v>434.120047</v>
      </c>
      <c r="AH12" s="7">
        <v>45231</v>
      </c>
      <c r="AI12">
        <v>825993</v>
      </c>
      <c r="AP12" s="194">
        <v>1964.369631</v>
      </c>
      <c r="AQ12" s="194">
        <v>1828.330504</v>
      </c>
      <c r="AR12" s="194">
        <v>1690.4384239999999</v>
      </c>
      <c r="AS12" s="194">
        <v>1423.6655740000001</v>
      </c>
      <c r="AT12" s="194">
        <v>894.70810500000005</v>
      </c>
      <c r="AU12" s="47">
        <v>584.31215399999996</v>
      </c>
      <c r="AV12" s="47">
        <v>580.94933700000001</v>
      </c>
      <c r="AW12" s="47">
        <v>535.54778399999998</v>
      </c>
      <c r="AX12" s="47">
        <v>418.707988</v>
      </c>
      <c r="AY12" s="47">
        <v>346.86879199999998</v>
      </c>
      <c r="AZ12" s="47">
        <v>434.120047</v>
      </c>
    </row>
    <row r="13" spans="1:65">
      <c r="D13" s="7">
        <v>45261</v>
      </c>
      <c r="E13">
        <v>990107</v>
      </c>
      <c r="F13">
        <v>16.624586999999998</v>
      </c>
      <c r="G13">
        <v>45.309162000000001</v>
      </c>
      <c r="H13">
        <v>321.07685700000002</v>
      </c>
      <c r="I13">
        <v>1012.478828</v>
      </c>
      <c r="J13">
        <v>2473.6030300000002</v>
      </c>
      <c r="K13">
        <v>2526.0300080000002</v>
      </c>
      <c r="L13">
        <v>2327.7365610000002</v>
      </c>
      <c r="M13">
        <v>2129.0272749999999</v>
      </c>
      <c r="N13">
        <v>1856.2565340000001</v>
      </c>
      <c r="O13">
        <v>1137.990898</v>
      </c>
      <c r="P13">
        <v>745.69706799999994</v>
      </c>
      <c r="Q13">
        <v>706.76250800000003</v>
      </c>
      <c r="R13">
        <v>698.36681499999997</v>
      </c>
      <c r="S13">
        <v>509.97274299999998</v>
      </c>
      <c r="T13">
        <v>439.66440699999998</v>
      </c>
      <c r="U13">
        <v>523.24068699999998</v>
      </c>
      <c r="AH13" s="7">
        <v>45261</v>
      </c>
      <c r="AI13">
        <v>990107</v>
      </c>
      <c r="AO13" s="47">
        <v>2526.0300080000002</v>
      </c>
      <c r="AP13" s="194">
        <v>2327.7365610000002</v>
      </c>
      <c r="AQ13" s="194">
        <v>2129.0272749999999</v>
      </c>
      <c r="AR13" s="194">
        <v>1856.2565340000001</v>
      </c>
      <c r="AS13" s="194">
        <v>1137.990898</v>
      </c>
      <c r="AT13" s="194">
        <v>745.69706799999994</v>
      </c>
      <c r="AU13" s="47">
        <v>706.76250800000003</v>
      </c>
      <c r="AV13" s="47">
        <v>698.36681499999997</v>
      </c>
      <c r="AW13" s="47">
        <v>509.97274299999998</v>
      </c>
      <c r="AX13" s="47">
        <v>439.66440699999998</v>
      </c>
      <c r="AY13" s="47">
        <v>523.24068699999998</v>
      </c>
      <c r="BL13" s="181"/>
      <c r="BM13" s="48"/>
    </row>
    <row r="14" spans="1:65">
      <c r="A14" s="5" t="s">
        <v>28</v>
      </c>
      <c r="D14" s="7">
        <v>45292</v>
      </c>
      <c r="E14">
        <v>962570</v>
      </c>
      <c r="F14">
        <v>179.26153299999999</v>
      </c>
      <c r="G14">
        <v>483.86871300000001</v>
      </c>
      <c r="H14">
        <v>1143.657066</v>
      </c>
      <c r="I14">
        <v>2555.6462110000002</v>
      </c>
      <c r="J14">
        <v>2512.026777</v>
      </c>
      <c r="K14">
        <v>2387.0975669999998</v>
      </c>
      <c r="L14">
        <v>2119.7902519999998</v>
      </c>
      <c r="M14">
        <v>1817.2640980000001</v>
      </c>
      <c r="N14">
        <v>1138.5897299999999</v>
      </c>
      <c r="O14">
        <v>739.65478900000005</v>
      </c>
      <c r="P14">
        <v>698.62915999999996</v>
      </c>
      <c r="Q14">
        <v>647.62353700000006</v>
      </c>
      <c r="R14">
        <v>530.28241100000002</v>
      </c>
      <c r="S14">
        <v>445.24794500000002</v>
      </c>
      <c r="T14">
        <v>546.21380399999998</v>
      </c>
      <c r="AH14" s="7">
        <v>45292</v>
      </c>
      <c r="AI14">
        <v>962570</v>
      </c>
      <c r="AN14" s="47">
        <v>2512.026777</v>
      </c>
      <c r="AO14" s="47">
        <v>2387.0975669999998</v>
      </c>
      <c r="AP14" s="194">
        <v>2119.7902519999998</v>
      </c>
      <c r="AQ14" s="194">
        <v>1817.2640980000001</v>
      </c>
      <c r="AR14" s="194">
        <v>1138.5897299999999</v>
      </c>
      <c r="AS14" s="194">
        <v>739.65478900000005</v>
      </c>
      <c r="AT14" s="194">
        <v>698.62915999999996</v>
      </c>
      <c r="AU14" s="47">
        <v>647.62353700000006</v>
      </c>
      <c r="AV14" s="47">
        <v>530.28241100000002</v>
      </c>
      <c r="AW14" s="47">
        <v>445.24794500000002</v>
      </c>
      <c r="AX14" s="47">
        <v>546.21380399999998</v>
      </c>
      <c r="BL14" s="7"/>
    </row>
    <row r="15" spans="1:65">
      <c r="A15" s="3" t="s">
        <v>238</v>
      </c>
      <c r="D15" s="7">
        <v>45323</v>
      </c>
      <c r="E15">
        <v>857411</v>
      </c>
      <c r="F15">
        <v>2058.3050560000001</v>
      </c>
      <c r="G15">
        <v>1520.5730060000001</v>
      </c>
      <c r="H15">
        <v>2592.4908620000001</v>
      </c>
      <c r="I15">
        <v>2439.8635079999999</v>
      </c>
      <c r="J15">
        <v>2182.3946129999999</v>
      </c>
      <c r="K15">
        <v>1957.383296</v>
      </c>
      <c r="L15">
        <v>1670.8632749999999</v>
      </c>
      <c r="M15">
        <v>1050.158171</v>
      </c>
      <c r="N15">
        <v>676.89782100000002</v>
      </c>
      <c r="O15">
        <v>632.70998399999996</v>
      </c>
      <c r="P15">
        <v>581.76932299999999</v>
      </c>
      <c r="Q15">
        <v>453.93242500000002</v>
      </c>
      <c r="R15">
        <v>410.33067599999998</v>
      </c>
      <c r="S15">
        <v>482.76738</v>
      </c>
      <c r="AH15" s="7">
        <v>45323</v>
      </c>
      <c r="AI15">
        <v>857411</v>
      </c>
      <c r="AL15" s="47">
        <v>2592.4908620000001</v>
      </c>
      <c r="AM15" s="47">
        <v>2439.8635079999999</v>
      </c>
      <c r="AN15" s="47">
        <v>2182.3946129999999</v>
      </c>
      <c r="AO15" s="47">
        <v>1957.383296</v>
      </c>
      <c r="AP15" s="194">
        <v>1670.8632749999999</v>
      </c>
      <c r="AQ15" s="194">
        <v>1050.158171</v>
      </c>
      <c r="AR15" s="194">
        <v>676.89782100000002</v>
      </c>
      <c r="AS15" s="194">
        <v>632.70998399999996</v>
      </c>
      <c r="AT15" s="194">
        <v>581.76932299999999</v>
      </c>
      <c r="AU15" s="47">
        <v>453.93242500000002</v>
      </c>
      <c r="AV15" s="47">
        <v>410.33067599999998</v>
      </c>
      <c r="AW15" s="47">
        <v>482.76738</v>
      </c>
      <c r="BL15" s="7"/>
    </row>
    <row r="16" spans="1:65">
      <c r="A16" s="2" t="s">
        <v>51</v>
      </c>
      <c r="D16" s="181">
        <v>45352</v>
      </c>
      <c r="E16" s="48">
        <v>849801</v>
      </c>
      <c r="F16">
        <v>7220.3121659999997</v>
      </c>
      <c r="G16">
        <v>3995.6333810000001</v>
      </c>
      <c r="H16">
        <v>3244.281532</v>
      </c>
      <c r="I16">
        <v>2830.5983540000002</v>
      </c>
      <c r="J16">
        <v>2441.432902</v>
      </c>
      <c r="K16">
        <v>2040.176571</v>
      </c>
      <c r="L16">
        <v>1280.2596510000001</v>
      </c>
      <c r="M16">
        <v>792.831278</v>
      </c>
      <c r="N16">
        <v>759.19109700000001</v>
      </c>
      <c r="O16">
        <v>691.33754799999997</v>
      </c>
      <c r="P16">
        <v>547.34156700000005</v>
      </c>
      <c r="Q16">
        <v>466.82039600000002</v>
      </c>
      <c r="R16">
        <v>589.94517399999995</v>
      </c>
      <c r="AH16" s="181">
        <v>45352</v>
      </c>
      <c r="AI16" s="48">
        <v>849801</v>
      </c>
      <c r="AK16" s="47">
        <v>3995.6333810000001</v>
      </c>
      <c r="AL16" s="47">
        <v>3244.281532</v>
      </c>
      <c r="AM16" s="47">
        <v>2830.5983540000002</v>
      </c>
      <c r="AN16" s="47">
        <v>2441.432902</v>
      </c>
      <c r="AO16" s="47">
        <v>2040.176571</v>
      </c>
      <c r="AP16" s="194">
        <v>1280.2596510000001</v>
      </c>
      <c r="AQ16" s="194">
        <v>792.831278</v>
      </c>
      <c r="AR16" s="194">
        <v>759.19109700000001</v>
      </c>
      <c r="AS16" s="194">
        <v>691.33754799999997</v>
      </c>
      <c r="AT16" s="194">
        <v>547.34156700000005</v>
      </c>
      <c r="AU16" s="47">
        <v>466.82039600000002</v>
      </c>
      <c r="AV16" s="47">
        <v>589.94517399999995</v>
      </c>
      <c r="BL16" s="7"/>
    </row>
    <row r="17" spans="1:64">
      <c r="A17" s="2" t="s">
        <v>239</v>
      </c>
      <c r="D17" s="7">
        <v>45383</v>
      </c>
      <c r="E17">
        <v>1210143</v>
      </c>
      <c r="F17">
        <v>9436.8322239999998</v>
      </c>
      <c r="G17">
        <v>4144.52934</v>
      </c>
      <c r="H17">
        <v>3030.6788799999999</v>
      </c>
      <c r="I17">
        <v>2499.462759</v>
      </c>
      <c r="J17">
        <v>2072.1818880000001</v>
      </c>
      <c r="K17">
        <v>1252.1841549999999</v>
      </c>
      <c r="L17">
        <v>785.93913599999996</v>
      </c>
      <c r="M17">
        <v>741.21271899999999</v>
      </c>
      <c r="N17">
        <v>698.05749400000002</v>
      </c>
      <c r="O17">
        <v>529.71501599999999</v>
      </c>
      <c r="P17">
        <v>473.73574300000001</v>
      </c>
      <c r="Q17">
        <v>558.46184700000003</v>
      </c>
      <c r="AH17" s="181">
        <v>45536</v>
      </c>
      <c r="AI17" s="48">
        <v>564048</v>
      </c>
      <c r="AJ17" s="47">
        <v>4960.7240849999998</v>
      </c>
      <c r="AK17" s="47">
        <v>2137.5110220000001</v>
      </c>
      <c r="AL17" s="47">
        <v>1561.8532600000001</v>
      </c>
      <c r="AM17" s="47">
        <v>1288.94634</v>
      </c>
      <c r="AN17" s="47">
        <v>942.93744800000002</v>
      </c>
      <c r="AO17" s="47">
        <v>776.14104199999997</v>
      </c>
      <c r="AP17" s="194">
        <v>901.45472700000005</v>
      </c>
      <c r="AQ17" s="194"/>
      <c r="AR17" s="194"/>
      <c r="AS17" s="194"/>
      <c r="AT17" s="194"/>
      <c r="BL17" s="7"/>
    </row>
    <row r="18" spans="1:64">
      <c r="A18" s="2" t="s">
        <v>240</v>
      </c>
      <c r="D18" s="7">
        <v>45413</v>
      </c>
      <c r="E18">
        <v>1711973</v>
      </c>
      <c r="F18">
        <v>10142.267647000001</v>
      </c>
      <c r="G18">
        <v>4405.3047500000002</v>
      </c>
      <c r="H18">
        <v>3118.5427359999999</v>
      </c>
      <c r="I18">
        <v>2429.3081139999999</v>
      </c>
      <c r="J18">
        <v>1475.2364749999999</v>
      </c>
      <c r="K18">
        <v>925.52577199999996</v>
      </c>
      <c r="L18">
        <v>844.86117400000001</v>
      </c>
      <c r="M18">
        <v>774.40133400000002</v>
      </c>
      <c r="N18">
        <v>607.75345200000004</v>
      </c>
      <c r="O18">
        <v>516.09353299999998</v>
      </c>
      <c r="P18">
        <v>621.96608400000002</v>
      </c>
      <c r="AH18" s="7">
        <v>45566</v>
      </c>
      <c r="AI18">
        <v>549759</v>
      </c>
      <c r="AJ18" s="47">
        <v>4082.1612049999999</v>
      </c>
      <c r="AK18" s="47">
        <v>2341.01224</v>
      </c>
      <c r="AL18" s="47">
        <v>1615.531477</v>
      </c>
      <c r="AM18" s="47">
        <v>1106.9640460000001</v>
      </c>
      <c r="AN18" s="47">
        <v>906.94065699999999</v>
      </c>
      <c r="AO18" s="47">
        <v>1014.418994</v>
      </c>
      <c r="AP18" s="194"/>
      <c r="AQ18" s="194"/>
      <c r="AR18" s="194"/>
      <c r="AS18" s="194"/>
      <c r="AT18" s="194"/>
      <c r="BL18" s="7"/>
    </row>
    <row r="19" spans="1:64">
      <c r="A19" s="2" t="s">
        <v>37</v>
      </c>
      <c r="D19" s="7">
        <v>45444</v>
      </c>
      <c r="E19">
        <v>1797790</v>
      </c>
      <c r="F19">
        <v>11421.894945</v>
      </c>
      <c r="G19">
        <v>4635.8090540000003</v>
      </c>
      <c r="H19">
        <v>3031.541522</v>
      </c>
      <c r="I19">
        <v>1751.8208199999999</v>
      </c>
      <c r="J19">
        <v>1075.3506219999999</v>
      </c>
      <c r="K19">
        <v>993.42442500000004</v>
      </c>
      <c r="L19">
        <v>905.19004500000005</v>
      </c>
      <c r="M19">
        <v>691.30545300000006</v>
      </c>
      <c r="N19">
        <v>584.216947</v>
      </c>
      <c r="O19">
        <v>703.005584</v>
      </c>
      <c r="AH19" s="7">
        <v>45597</v>
      </c>
      <c r="AI19">
        <v>574664</v>
      </c>
      <c r="AJ19" s="47">
        <v>3911.9966810000001</v>
      </c>
      <c r="AK19" s="47">
        <v>2239.2725639999999</v>
      </c>
      <c r="AL19" s="47">
        <v>1305.342404</v>
      </c>
      <c r="AM19" s="47">
        <v>1014.5221309999999</v>
      </c>
      <c r="AN19" s="47">
        <v>1125.4902079999999</v>
      </c>
      <c r="AP19" s="194"/>
      <c r="AQ19" s="194"/>
      <c r="AR19" s="194"/>
      <c r="AS19" s="194"/>
      <c r="AT19" s="194"/>
      <c r="BL19" s="7"/>
    </row>
    <row r="20" spans="1:64">
      <c r="A20" s="4" t="s">
        <v>241</v>
      </c>
      <c r="D20" s="7">
        <v>45474</v>
      </c>
      <c r="E20">
        <v>1584834</v>
      </c>
      <c r="F20">
        <v>9998.1184479999993</v>
      </c>
      <c r="G20">
        <v>4406.5233049999997</v>
      </c>
      <c r="H20">
        <v>2162.0406830000002</v>
      </c>
      <c r="I20">
        <v>1242.295926</v>
      </c>
      <c r="J20">
        <v>1117.8537960000001</v>
      </c>
      <c r="K20">
        <v>1013.177593</v>
      </c>
      <c r="L20">
        <v>782.996985</v>
      </c>
      <c r="M20">
        <v>653.825873</v>
      </c>
      <c r="N20">
        <v>802.99281900000005</v>
      </c>
      <c r="AH20" s="7">
        <v>45658</v>
      </c>
      <c r="AI20">
        <v>594349</v>
      </c>
      <c r="AJ20" s="47">
        <v>4119.080852</v>
      </c>
      <c r="AK20" s="47">
        <v>2031.752796</v>
      </c>
      <c r="AL20" s="47">
        <v>1768.5347300000001</v>
      </c>
      <c r="AP20" s="194"/>
      <c r="AQ20" s="194"/>
      <c r="AR20" s="194"/>
      <c r="AS20" s="194"/>
      <c r="AT20" s="194"/>
    </row>
    <row r="21" spans="1:64">
      <c r="A21" s="2" t="s">
        <v>242</v>
      </c>
      <c r="D21" s="7">
        <v>45505</v>
      </c>
      <c r="E21">
        <v>1045133</v>
      </c>
      <c r="F21">
        <v>8144.2031370000004</v>
      </c>
      <c r="G21">
        <v>3255.4498739999999</v>
      </c>
      <c r="H21">
        <v>1512.8149430000001</v>
      </c>
      <c r="I21">
        <v>1256.530025</v>
      </c>
      <c r="J21">
        <v>1129.5788110000001</v>
      </c>
      <c r="K21">
        <v>837.95194100000003</v>
      </c>
      <c r="L21">
        <v>729.87461800000005</v>
      </c>
      <c r="M21">
        <v>838.07461799999999</v>
      </c>
      <c r="AH21" s="7">
        <v>45689</v>
      </c>
      <c r="AI21">
        <v>505021</v>
      </c>
      <c r="AJ21" s="47">
        <v>3534.7678810000002</v>
      </c>
      <c r="AK21" s="47">
        <v>2330.6405380000001</v>
      </c>
      <c r="AP21" s="194"/>
      <c r="AQ21" s="194"/>
      <c r="AR21" s="194"/>
      <c r="AS21" s="194"/>
      <c r="AT21" s="194"/>
    </row>
    <row r="22" spans="1:64">
      <c r="A22" s="2" t="s">
        <v>243</v>
      </c>
      <c r="D22" s="181">
        <v>45536</v>
      </c>
      <c r="E22" s="48">
        <v>564048</v>
      </c>
      <c r="F22">
        <v>4960.7240849999998</v>
      </c>
      <c r="G22">
        <v>2137.5110220000001</v>
      </c>
      <c r="H22">
        <v>1561.8532600000001</v>
      </c>
      <c r="I22">
        <v>1288.94634</v>
      </c>
      <c r="J22">
        <v>942.93744800000002</v>
      </c>
      <c r="K22">
        <v>776.14104199999997</v>
      </c>
      <c r="L22">
        <v>901.45472700000005</v>
      </c>
      <c r="AH22" s="7">
        <v>45717</v>
      </c>
      <c r="AI22">
        <v>820307</v>
      </c>
      <c r="AJ22" s="47">
        <v>5546.3476620000001</v>
      </c>
      <c r="AP22" s="194"/>
      <c r="AQ22" s="194"/>
      <c r="AR22" s="194"/>
      <c r="AS22" s="194"/>
      <c r="AT22" s="194"/>
    </row>
    <row r="23" spans="1:64">
      <c r="D23" s="7">
        <v>45566</v>
      </c>
      <c r="E23">
        <v>549759</v>
      </c>
      <c r="F23">
        <v>4082.1612049999999</v>
      </c>
      <c r="G23">
        <v>2341.01224</v>
      </c>
      <c r="H23">
        <v>1615.531477</v>
      </c>
      <c r="I23">
        <v>1106.9640460000001</v>
      </c>
      <c r="J23">
        <v>906.94065699999999</v>
      </c>
      <c r="K23">
        <v>1014.418994</v>
      </c>
      <c r="AP23" s="194"/>
      <c r="AQ23" s="194"/>
      <c r="AR23" s="194"/>
      <c r="AS23" s="194"/>
      <c r="AT23" s="194"/>
    </row>
    <row r="24" spans="1:64">
      <c r="D24" s="7">
        <v>45597</v>
      </c>
      <c r="E24">
        <v>574664</v>
      </c>
      <c r="F24">
        <v>3911.9966810000001</v>
      </c>
      <c r="G24">
        <v>2239.2725639999999</v>
      </c>
      <c r="H24">
        <v>1305.342404</v>
      </c>
      <c r="I24">
        <v>1014.5221309999999</v>
      </c>
      <c r="J24">
        <v>1125.4902079999999</v>
      </c>
      <c r="AP24" s="194"/>
      <c r="AQ24" s="194"/>
      <c r="AR24" s="194"/>
      <c r="AS24" s="194"/>
      <c r="AT24" s="194"/>
    </row>
    <row r="25" spans="1:64">
      <c r="A25" s="5" t="s">
        <v>28</v>
      </c>
      <c r="D25" s="7">
        <v>45627</v>
      </c>
      <c r="E25">
        <v>2274268</v>
      </c>
      <c r="F25">
        <v>5515.6799739999997</v>
      </c>
      <c r="G25">
        <v>2347.0290460000001</v>
      </c>
      <c r="H25">
        <v>1462.410811</v>
      </c>
      <c r="I25">
        <v>1564.1567640000001</v>
      </c>
      <c r="AH25" s="7"/>
      <c r="AI25" t="s">
        <v>357</v>
      </c>
      <c r="AJ25" s="191">
        <f>AVERAGE(AJ17:AJ22)</f>
        <v>4359.1797276666666</v>
      </c>
      <c r="AK25" s="94">
        <f t="shared" ref="AK25:AP25" si="0">AVERAGE(AK17:AK22)</f>
        <v>2216.037832</v>
      </c>
      <c r="AL25" s="94">
        <f t="shared" si="0"/>
        <v>1562.8154677500002</v>
      </c>
      <c r="AM25" s="94">
        <f t="shared" si="0"/>
        <v>1136.810839</v>
      </c>
      <c r="AN25" s="94">
        <f t="shared" si="0"/>
        <v>991.78943766666669</v>
      </c>
      <c r="AO25" s="94">
        <f t="shared" si="0"/>
        <v>895.28001799999993</v>
      </c>
      <c r="AP25" s="193">
        <f>AVERAGE(AP12:AP22)</f>
        <v>1710.7456828333334</v>
      </c>
      <c r="AQ25" s="193">
        <f>AVERAGE(AQ9:AQ16)</f>
        <v>1573.7725874999999</v>
      </c>
      <c r="AR25" s="190">
        <f t="shared" ref="AR25:BC25" si="1">AVERAGE(AR9:AR16)</f>
        <v>1313.9963236666667</v>
      </c>
      <c r="AS25" s="190">
        <f t="shared" si="1"/>
        <v>1115.334758857143</v>
      </c>
      <c r="AT25" s="190">
        <f t="shared" si="1"/>
        <v>986.00004912500015</v>
      </c>
      <c r="AU25" s="190">
        <f t="shared" si="1"/>
        <v>803.89080424999997</v>
      </c>
      <c r="AV25" s="190">
        <f t="shared" si="1"/>
        <v>692.15545237499987</v>
      </c>
      <c r="AW25" s="190">
        <f t="shared" si="1"/>
        <v>555.73610828571429</v>
      </c>
      <c r="AX25" s="190">
        <f t="shared" si="1"/>
        <v>493.77027916666674</v>
      </c>
      <c r="AY25" s="193">
        <f>AVERAGE(AY9:AY16)</f>
        <v>449.26128559999995</v>
      </c>
      <c r="AZ25" s="190">
        <f t="shared" si="1"/>
        <v>403.26492399999995</v>
      </c>
      <c r="BA25" s="190">
        <f t="shared" si="1"/>
        <v>363.93512900000002</v>
      </c>
      <c r="BB25" s="190">
        <f t="shared" si="1"/>
        <v>341.72032899999999</v>
      </c>
      <c r="BC25" s="193">
        <f>AVERAGE(BC9:BC16)</f>
        <v>372.74033700000001</v>
      </c>
      <c r="BD25" s="195">
        <f>AVERAGE(BD2:BD9)</f>
        <v>435.82400814285717</v>
      </c>
      <c r="BE25" s="189">
        <f t="shared" ref="BE25:BH25" si="2">AVERAGE(BE2:BE9)</f>
        <v>374.16126833333328</v>
      </c>
      <c r="BF25" s="189">
        <f t="shared" si="2"/>
        <v>351.82180559999995</v>
      </c>
      <c r="BG25" s="189">
        <f t="shared" si="2"/>
        <v>332.85256100000004</v>
      </c>
      <c r="BH25" s="189">
        <f t="shared" si="2"/>
        <v>313.21618666666672</v>
      </c>
    </row>
    <row r="26" spans="1:64">
      <c r="D26" s="7">
        <v>45658</v>
      </c>
      <c r="E26">
        <v>594349</v>
      </c>
      <c r="F26">
        <v>4119.080852</v>
      </c>
      <c r="G26">
        <v>2031.752796</v>
      </c>
      <c r="H26">
        <v>1768.5347300000001</v>
      </c>
      <c r="AP26" s="194"/>
      <c r="AQ26" s="194"/>
      <c r="AR26" s="194"/>
      <c r="AS26" s="194"/>
      <c r="AT26" s="194"/>
    </row>
    <row r="27" spans="1:64">
      <c r="A27" s="2" t="s">
        <v>51</v>
      </c>
      <c r="D27" s="7">
        <v>45689</v>
      </c>
      <c r="E27">
        <v>505021</v>
      </c>
      <c r="F27">
        <v>3534.7678810000002</v>
      </c>
      <c r="G27">
        <v>2330.6405380000001</v>
      </c>
    </row>
    <row r="28" spans="1:64">
      <c r="A28" s="4" t="s">
        <v>244</v>
      </c>
      <c r="D28" s="7">
        <v>45717</v>
      </c>
      <c r="E28">
        <v>820307</v>
      </c>
      <c r="F28">
        <v>5546.3476620000001</v>
      </c>
    </row>
    <row r="29" spans="1:64">
      <c r="A29" s="3" t="s">
        <v>245</v>
      </c>
    </row>
    <row r="30" spans="1:64">
      <c r="A30" s="3" t="s">
        <v>354</v>
      </c>
    </row>
    <row r="31" spans="1:64">
      <c r="A31" s="3" t="s">
        <v>355</v>
      </c>
    </row>
    <row r="32" spans="1:64">
      <c r="A32" s="3" t="s">
        <v>246</v>
      </c>
    </row>
    <row r="33" spans="1:1">
      <c r="A33" s="3" t="s">
        <v>247</v>
      </c>
    </row>
    <row r="34" spans="1:1">
      <c r="A34" s="3" t="s">
        <v>248</v>
      </c>
    </row>
    <row r="35" spans="1:1">
      <c r="A35" s="3" t="s">
        <v>249</v>
      </c>
    </row>
    <row r="36" spans="1:1">
      <c r="A36" s="3" t="s">
        <v>250</v>
      </c>
    </row>
    <row r="37" spans="1:1">
      <c r="A37" s="3" t="s">
        <v>251</v>
      </c>
    </row>
    <row r="38" spans="1:1">
      <c r="A38" s="3" t="s">
        <v>252</v>
      </c>
    </row>
    <row r="39" spans="1:1">
      <c r="A39" s="3" t="s">
        <v>253</v>
      </c>
    </row>
    <row r="40" spans="1:1">
      <c r="A40" s="3" t="s">
        <v>254</v>
      </c>
    </row>
    <row r="41" spans="1:1">
      <c r="A41" s="3" t="s">
        <v>255</v>
      </c>
    </row>
    <row r="42" spans="1:1">
      <c r="A42" s="3" t="s">
        <v>256</v>
      </c>
    </row>
    <row r="43" spans="1:1">
      <c r="A43" s="3" t="s">
        <v>257</v>
      </c>
    </row>
    <row r="44" spans="1:1">
      <c r="A44" s="3" t="s">
        <v>258</v>
      </c>
    </row>
    <row r="45" spans="1:1">
      <c r="A45" s="3" t="s">
        <v>259</v>
      </c>
    </row>
    <row r="46" spans="1:1">
      <c r="A46" s="3" t="s">
        <v>260</v>
      </c>
    </row>
    <row r="47" spans="1:1">
      <c r="A47" s="3" t="s">
        <v>261</v>
      </c>
    </row>
    <row r="48" spans="1:1">
      <c r="A48" s="3" t="s">
        <v>262</v>
      </c>
    </row>
    <row r="49" spans="1:1">
      <c r="A49" s="3" t="s">
        <v>263</v>
      </c>
    </row>
    <row r="50" spans="1:1">
      <c r="A50" s="3" t="s">
        <v>264</v>
      </c>
    </row>
    <row r="51" spans="1:1">
      <c r="A51" s="3" t="s">
        <v>265</v>
      </c>
    </row>
    <row r="52" spans="1:1">
      <c r="A52" s="3" t="s">
        <v>266</v>
      </c>
    </row>
    <row r="53" spans="1:1">
      <c r="A53" s="3" t="s">
        <v>267</v>
      </c>
    </row>
    <row r="54" spans="1:1">
      <c r="A54" s="3" t="s">
        <v>268</v>
      </c>
    </row>
    <row r="56" spans="1:1">
      <c r="A56" s="2" t="s">
        <v>269</v>
      </c>
    </row>
    <row r="57" spans="1:1">
      <c r="A57" s="2" t="s">
        <v>356</v>
      </c>
    </row>
    <row r="58" spans="1:1">
      <c r="A58" s="2" t="s">
        <v>169</v>
      </c>
    </row>
    <row r="59" spans="1:1">
      <c r="A59" s="2" t="s">
        <v>270</v>
      </c>
    </row>
  </sheetData>
  <mergeCells count="1">
    <mergeCell ref="B1:B1048576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B211-15A6-D748-A315-DDFB0037BF3E}">
  <dimension ref="B1:BI59"/>
  <sheetViews>
    <sheetView topLeftCell="K1" workbookViewId="0">
      <selection activeCell="AL25" sqref="AL25:BI25"/>
    </sheetView>
  </sheetViews>
  <sheetFormatPr baseColWidth="10" defaultRowHeight="16"/>
  <cols>
    <col min="3" max="3" width="10.83203125" style="196"/>
    <col min="5" max="5" width="10.83203125" style="174"/>
    <col min="37" max="37" width="15" customWidth="1"/>
  </cols>
  <sheetData>
    <row r="1" spans="2:61">
      <c r="B1" s="2" t="s">
        <v>237</v>
      </c>
      <c r="D1" s="2" t="s">
        <v>237</v>
      </c>
      <c r="F1" t="s">
        <v>466</v>
      </c>
      <c r="G1" t="s">
        <v>244</v>
      </c>
      <c r="H1" t="s">
        <v>271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  <c r="P1" t="s">
        <v>396</v>
      </c>
      <c r="Q1" t="s">
        <v>397</v>
      </c>
      <c r="R1" t="s">
        <v>398</v>
      </c>
      <c r="S1" t="s">
        <v>399</v>
      </c>
      <c r="T1" t="s">
        <v>400</v>
      </c>
      <c r="U1" t="s">
        <v>401</v>
      </c>
      <c r="V1" t="s">
        <v>402</v>
      </c>
      <c r="W1" t="s">
        <v>403</v>
      </c>
      <c r="X1" t="s">
        <v>404</v>
      </c>
      <c r="Y1" t="s">
        <v>405</v>
      </c>
      <c r="Z1" t="s">
        <v>406</v>
      </c>
      <c r="AA1" t="s">
        <v>407</v>
      </c>
      <c r="AB1" t="s">
        <v>408</v>
      </c>
      <c r="AC1" t="s">
        <v>409</v>
      </c>
      <c r="AD1" t="s">
        <v>410</v>
      </c>
      <c r="AE1" t="s">
        <v>411</v>
      </c>
      <c r="AF1" t="s">
        <v>412</v>
      </c>
      <c r="AG1" t="s">
        <v>413</v>
      </c>
      <c r="AK1" t="s">
        <v>244</v>
      </c>
      <c r="AL1">
        <v>1</v>
      </c>
      <c r="AM1">
        <v>2</v>
      </c>
      <c r="AN1">
        <v>3</v>
      </c>
      <c r="AO1">
        <v>4</v>
      </c>
      <c r="AP1">
        <v>5</v>
      </c>
      <c r="AQ1">
        <v>6</v>
      </c>
      <c r="AR1">
        <v>7</v>
      </c>
      <c r="AS1">
        <v>8</v>
      </c>
      <c r="AT1">
        <v>9</v>
      </c>
      <c r="AU1">
        <v>10</v>
      </c>
      <c r="AV1">
        <v>11</v>
      </c>
      <c r="AW1">
        <v>12</v>
      </c>
      <c r="AX1">
        <v>13</v>
      </c>
      <c r="AY1">
        <v>14</v>
      </c>
      <c r="AZ1">
        <v>15</v>
      </c>
      <c r="BA1">
        <v>16</v>
      </c>
      <c r="BB1">
        <v>17</v>
      </c>
      <c r="BC1">
        <v>18</v>
      </c>
      <c r="BD1">
        <v>19</v>
      </c>
      <c r="BE1">
        <v>20</v>
      </c>
      <c r="BF1">
        <v>21</v>
      </c>
      <c r="BG1">
        <v>22</v>
      </c>
      <c r="BH1">
        <v>23</v>
      </c>
      <c r="BI1">
        <v>24</v>
      </c>
    </row>
    <row r="2" spans="2:61">
      <c r="G2" s="7">
        <v>44927</v>
      </c>
      <c r="H2">
        <v>1239076</v>
      </c>
      <c r="I2">
        <v>1239076</v>
      </c>
      <c r="J2">
        <v>333251</v>
      </c>
      <c r="K2">
        <v>246372</v>
      </c>
      <c r="L2">
        <v>206295</v>
      </c>
      <c r="M2">
        <v>180238</v>
      </c>
      <c r="N2">
        <v>157259</v>
      </c>
      <c r="O2">
        <v>144611</v>
      </c>
      <c r="P2">
        <v>128332</v>
      </c>
      <c r="Q2">
        <v>113193</v>
      </c>
      <c r="R2">
        <v>102568</v>
      </c>
      <c r="S2">
        <v>91035</v>
      </c>
      <c r="T2">
        <v>92389</v>
      </c>
      <c r="U2">
        <v>83241</v>
      </c>
      <c r="V2">
        <v>69893</v>
      </c>
      <c r="W2">
        <v>62851</v>
      </c>
      <c r="X2">
        <v>58041</v>
      </c>
      <c r="Y2">
        <v>54139</v>
      </c>
      <c r="Z2">
        <v>50333</v>
      </c>
      <c r="AA2">
        <v>47032</v>
      </c>
      <c r="AB2">
        <v>43489</v>
      </c>
      <c r="AC2" s="189">
        <v>39360</v>
      </c>
      <c r="AD2" s="189">
        <v>36321</v>
      </c>
      <c r="AE2" s="189">
        <v>33145</v>
      </c>
      <c r="AF2" s="189">
        <v>33235</v>
      </c>
      <c r="AG2" s="189">
        <v>30142</v>
      </c>
      <c r="AK2" s="7">
        <v>44927</v>
      </c>
      <c r="AL2" s="41">
        <f>I2/$H2</f>
        <v>1</v>
      </c>
      <c r="AM2" s="41">
        <f t="shared" ref="AM2:BI13" si="0">J2/$H2</f>
        <v>0.2689512184886157</v>
      </c>
      <c r="AN2" s="41">
        <f t="shared" si="0"/>
        <v>0.19883526111392683</v>
      </c>
      <c r="AO2" s="41">
        <f t="shared" si="0"/>
        <v>0.16649099813086526</v>
      </c>
      <c r="AP2" s="41">
        <f t="shared" si="0"/>
        <v>0.14546161817354222</v>
      </c>
      <c r="AQ2" s="41">
        <f t="shared" si="0"/>
        <v>0.1269163473426973</v>
      </c>
      <c r="AR2" s="41">
        <f t="shared" si="0"/>
        <v>0.11670874102960593</v>
      </c>
      <c r="AS2" s="41">
        <f t="shared" si="0"/>
        <v>0.10357072528238784</v>
      </c>
      <c r="AT2" s="41">
        <f t="shared" si="0"/>
        <v>9.1352749952383877E-2</v>
      </c>
      <c r="AU2" s="41">
        <f t="shared" si="0"/>
        <v>8.2777811853348787E-2</v>
      </c>
      <c r="AV2" s="41">
        <f t="shared" si="0"/>
        <v>7.3470069632532622E-2</v>
      </c>
      <c r="AW2" s="41">
        <f t="shared" si="0"/>
        <v>7.4562819391223778E-2</v>
      </c>
      <c r="AX2" s="41">
        <f t="shared" si="0"/>
        <v>6.7179898569579261E-2</v>
      </c>
      <c r="AY2" s="41">
        <f t="shared" si="0"/>
        <v>5.640735515819853E-2</v>
      </c>
      <c r="AZ2" s="41">
        <f t="shared" si="0"/>
        <v>5.0724087949407463E-2</v>
      </c>
      <c r="BA2" s="41">
        <f t="shared" si="0"/>
        <v>4.6842163031161933E-2</v>
      </c>
      <c r="BB2" s="41">
        <f t="shared" si="0"/>
        <v>4.3693042234697471E-2</v>
      </c>
      <c r="BC2" s="41">
        <f t="shared" si="0"/>
        <v>4.0621398525998408E-2</v>
      </c>
      <c r="BD2" s="41">
        <f t="shared" si="0"/>
        <v>3.7957316581065242E-2</v>
      </c>
      <c r="BE2" s="41">
        <f t="shared" si="0"/>
        <v>3.5097927810723475E-2</v>
      </c>
      <c r="BF2" s="41">
        <f t="shared" si="0"/>
        <v>3.1765605983813748E-2</v>
      </c>
      <c r="BG2" s="41">
        <f t="shared" si="0"/>
        <v>2.931297192424032E-2</v>
      </c>
      <c r="BH2" s="41">
        <f t="shared" si="0"/>
        <v>2.6749771604001691E-2</v>
      </c>
      <c r="BI2" s="41">
        <f t="shared" si="0"/>
        <v>2.6822406373781752E-2</v>
      </c>
    </row>
    <row r="3" spans="2:61">
      <c r="B3" s="2" t="s">
        <v>51</v>
      </c>
      <c r="D3" s="2" t="s">
        <v>51</v>
      </c>
      <c r="G3" s="7">
        <v>44958</v>
      </c>
      <c r="H3">
        <v>1004707</v>
      </c>
      <c r="I3">
        <v>1004707</v>
      </c>
      <c r="J3">
        <v>294063</v>
      </c>
      <c r="K3">
        <v>207790</v>
      </c>
      <c r="L3">
        <v>172701</v>
      </c>
      <c r="M3">
        <v>146184</v>
      </c>
      <c r="N3">
        <v>132409</v>
      </c>
      <c r="O3">
        <v>115896</v>
      </c>
      <c r="P3">
        <v>101910</v>
      </c>
      <c r="Q3">
        <v>91202</v>
      </c>
      <c r="R3">
        <v>80165</v>
      </c>
      <c r="S3">
        <v>80700</v>
      </c>
      <c r="T3">
        <v>72183</v>
      </c>
      <c r="U3">
        <v>61873</v>
      </c>
      <c r="V3">
        <v>54800</v>
      </c>
      <c r="W3">
        <v>50324</v>
      </c>
      <c r="X3">
        <v>46761</v>
      </c>
      <c r="Y3">
        <v>43400</v>
      </c>
      <c r="Z3">
        <v>40427</v>
      </c>
      <c r="AA3">
        <v>37167</v>
      </c>
      <c r="AB3">
        <v>33772</v>
      </c>
      <c r="AC3" s="189">
        <v>31275</v>
      </c>
      <c r="AD3" s="189">
        <v>28512</v>
      </c>
      <c r="AE3" s="189">
        <v>28148</v>
      </c>
      <c r="AF3" s="189">
        <v>25448</v>
      </c>
      <c r="AG3" s="189">
        <v>21832</v>
      </c>
      <c r="AK3" s="7">
        <v>44958</v>
      </c>
      <c r="AL3" s="41">
        <f t="shared" ref="AL3:AL22" si="1">I3/$H3</f>
        <v>1</v>
      </c>
      <c r="AM3" s="41">
        <f t="shared" si="0"/>
        <v>0.29268533015097936</v>
      </c>
      <c r="AN3" s="41">
        <f t="shared" si="0"/>
        <v>0.20681651466546963</v>
      </c>
      <c r="AO3" s="41">
        <f t="shared" si="0"/>
        <v>0.17189190480408717</v>
      </c>
      <c r="AP3" s="41">
        <f t="shared" si="0"/>
        <v>0.14549913556887731</v>
      </c>
      <c r="AQ3" s="41">
        <f t="shared" si="0"/>
        <v>0.13178867072688855</v>
      </c>
      <c r="AR3" s="41">
        <f t="shared" si="0"/>
        <v>0.11535303327238687</v>
      </c>
      <c r="AS3" s="41">
        <f t="shared" si="0"/>
        <v>0.10143255695441557</v>
      </c>
      <c r="AT3" s="41">
        <f t="shared" si="0"/>
        <v>9.0774723377064159E-2</v>
      </c>
      <c r="AU3" s="41">
        <f t="shared" si="0"/>
        <v>7.9789431147588297E-2</v>
      </c>
      <c r="AV3" s="41">
        <f t="shared" si="0"/>
        <v>8.0321924700435046E-2</v>
      </c>
      <c r="AW3" s="41">
        <f t="shared" si="0"/>
        <v>7.1844826402125195E-2</v>
      </c>
      <c r="AX3" s="41">
        <f t="shared" si="0"/>
        <v>6.1583128215489689E-2</v>
      </c>
      <c r="AY3" s="41">
        <f t="shared" si="0"/>
        <v>5.4543264852340033E-2</v>
      </c>
      <c r="AZ3" s="41">
        <f t="shared" si="0"/>
        <v>5.0088234679364234E-2</v>
      </c>
      <c r="BA3" s="41">
        <f t="shared" si="0"/>
        <v>4.6541927148910082E-2</v>
      </c>
      <c r="BB3" s="41">
        <f t="shared" si="0"/>
        <v>4.3196673258970031E-2</v>
      </c>
      <c r="BC3" s="41">
        <f t="shared" si="0"/>
        <v>4.0237601609225376E-2</v>
      </c>
      <c r="BD3" s="41">
        <f t="shared" si="0"/>
        <v>3.6992874539542371E-2</v>
      </c>
      <c r="BE3" s="41">
        <f t="shared" si="0"/>
        <v>3.361377993783262E-2</v>
      </c>
      <c r="BF3" s="41">
        <f t="shared" si="0"/>
        <v>3.1128478252863769E-2</v>
      </c>
      <c r="BG3" s="41">
        <f t="shared" si="0"/>
        <v>2.8378422764049619E-2</v>
      </c>
      <c r="BH3" s="41">
        <f t="shared" si="0"/>
        <v>2.8016128085103419E-2</v>
      </c>
      <c r="BI3" s="41">
        <f t="shared" si="0"/>
        <v>2.5328777444568417E-2</v>
      </c>
    </row>
    <row r="4" spans="2:61">
      <c r="B4" s="2" t="s">
        <v>359</v>
      </c>
      <c r="D4" s="2" t="s">
        <v>359</v>
      </c>
      <c r="G4" s="7">
        <v>44986</v>
      </c>
      <c r="H4">
        <v>1134542</v>
      </c>
      <c r="I4">
        <v>1134542</v>
      </c>
      <c r="J4">
        <v>317142</v>
      </c>
      <c r="K4">
        <v>223149</v>
      </c>
      <c r="L4">
        <v>179973</v>
      </c>
      <c r="M4">
        <v>157544</v>
      </c>
      <c r="N4">
        <v>135412</v>
      </c>
      <c r="O4">
        <v>117674</v>
      </c>
      <c r="P4">
        <v>105028</v>
      </c>
      <c r="Q4">
        <v>91370</v>
      </c>
      <c r="R4">
        <v>92327</v>
      </c>
      <c r="S4">
        <v>81451</v>
      </c>
      <c r="T4">
        <v>69204</v>
      </c>
      <c r="U4">
        <v>62053</v>
      </c>
      <c r="V4">
        <v>56513</v>
      </c>
      <c r="W4">
        <v>52364</v>
      </c>
      <c r="X4">
        <v>48294</v>
      </c>
      <c r="Y4">
        <v>44842</v>
      </c>
      <c r="Z4">
        <v>41487</v>
      </c>
      <c r="AA4">
        <v>37830</v>
      </c>
      <c r="AB4">
        <v>34416</v>
      </c>
      <c r="AC4" s="189">
        <v>31443</v>
      </c>
      <c r="AD4" s="189">
        <v>31530</v>
      </c>
      <c r="AE4" s="189">
        <v>28367</v>
      </c>
      <c r="AF4" s="189">
        <v>24050</v>
      </c>
      <c r="AG4" s="189">
        <v>23972</v>
      </c>
      <c r="AK4" s="7">
        <v>44986</v>
      </c>
      <c r="AL4" s="41">
        <f t="shared" si="1"/>
        <v>1</v>
      </c>
      <c r="AM4" s="41">
        <f t="shared" si="0"/>
        <v>0.2795330626807998</v>
      </c>
      <c r="AN4" s="41">
        <f t="shared" si="0"/>
        <v>0.1966864161926134</v>
      </c>
      <c r="AO4" s="41">
        <f t="shared" si="0"/>
        <v>0.15863053108655298</v>
      </c>
      <c r="AP4" s="41">
        <f t="shared" si="0"/>
        <v>0.13886132025081488</v>
      </c>
      <c r="AQ4" s="41">
        <f t="shared" si="0"/>
        <v>0.11935388905831604</v>
      </c>
      <c r="AR4" s="41">
        <f t="shared" si="0"/>
        <v>0.10371938632505452</v>
      </c>
      <c r="AS4" s="41">
        <f t="shared" si="0"/>
        <v>9.2573038283289638E-2</v>
      </c>
      <c r="AT4" s="41">
        <f t="shared" si="0"/>
        <v>8.0534700346042723E-2</v>
      </c>
      <c r="AU4" s="41">
        <f t="shared" si="0"/>
        <v>8.1378212529813795E-2</v>
      </c>
      <c r="AV4" s="41">
        <f t="shared" si="0"/>
        <v>7.1791965392202312E-2</v>
      </c>
      <c r="AW4" s="41">
        <f t="shared" si="0"/>
        <v>6.099730111357711E-2</v>
      </c>
      <c r="AX4" s="41">
        <f t="shared" si="0"/>
        <v>5.4694317178209356E-2</v>
      </c>
      <c r="AY4" s="41">
        <f t="shared" si="0"/>
        <v>4.9811289489503252E-2</v>
      </c>
      <c r="AZ4" s="41">
        <f t="shared" si="0"/>
        <v>4.6154307200614871E-2</v>
      </c>
      <c r="BA4" s="41">
        <f t="shared" si="0"/>
        <v>4.2566956534002269E-2</v>
      </c>
      <c r="BB4" s="41">
        <f t="shared" si="0"/>
        <v>3.9524319064433051E-2</v>
      </c>
      <c r="BC4" s="41">
        <f t="shared" si="0"/>
        <v>3.6567178650063197E-2</v>
      </c>
      <c r="BD4" s="41">
        <f t="shared" si="0"/>
        <v>3.334385152775305E-2</v>
      </c>
      <c r="BE4" s="41">
        <f t="shared" si="0"/>
        <v>3.0334707749911417E-2</v>
      </c>
      <c r="BF4" s="41">
        <f t="shared" si="0"/>
        <v>2.7714267078697837E-2</v>
      </c>
      <c r="BG4" s="41">
        <f t="shared" si="0"/>
        <v>2.7790950004495205E-2</v>
      </c>
      <c r="BH4" s="41">
        <f t="shared" si="0"/>
        <v>2.5003040874643688E-2</v>
      </c>
      <c r="BI4" s="41">
        <f t="shared" si="0"/>
        <v>2.1197981211801768E-2</v>
      </c>
    </row>
    <row r="5" spans="2:61">
      <c r="B5" s="3" t="s">
        <v>360</v>
      </c>
      <c r="D5" s="3" t="s">
        <v>360</v>
      </c>
      <c r="G5" s="7">
        <v>45017</v>
      </c>
      <c r="H5">
        <v>1112613</v>
      </c>
      <c r="I5">
        <v>1112613</v>
      </c>
      <c r="J5">
        <v>322437</v>
      </c>
      <c r="K5">
        <v>220432</v>
      </c>
      <c r="L5">
        <v>184729</v>
      </c>
      <c r="M5">
        <v>153322</v>
      </c>
      <c r="N5">
        <v>130515</v>
      </c>
      <c r="O5">
        <v>114588</v>
      </c>
      <c r="P5">
        <v>98976</v>
      </c>
      <c r="Q5">
        <v>98795</v>
      </c>
      <c r="R5">
        <v>86962</v>
      </c>
      <c r="S5">
        <v>73281</v>
      </c>
      <c r="T5">
        <v>65599</v>
      </c>
      <c r="U5">
        <v>60891</v>
      </c>
      <c r="V5">
        <v>55258</v>
      </c>
      <c r="W5">
        <v>51134</v>
      </c>
      <c r="X5">
        <v>47396</v>
      </c>
      <c r="Y5">
        <v>43504</v>
      </c>
      <c r="Z5">
        <v>39230</v>
      </c>
      <c r="AA5">
        <v>36202</v>
      </c>
      <c r="AB5">
        <v>32580</v>
      </c>
      <c r="AC5" s="189">
        <v>32882</v>
      </c>
      <c r="AD5" s="189">
        <v>29122</v>
      </c>
      <c r="AE5" s="189">
        <v>24839</v>
      </c>
      <c r="AF5" s="189">
        <v>24869</v>
      </c>
      <c r="AG5" s="189"/>
      <c r="AK5" s="7">
        <v>45017</v>
      </c>
      <c r="AL5" s="41">
        <f t="shared" si="1"/>
        <v>1</v>
      </c>
      <c r="AM5" s="41">
        <f t="shared" si="0"/>
        <v>0.28980157521078759</v>
      </c>
      <c r="AN5" s="41">
        <f t="shared" si="0"/>
        <v>0.19812099984451018</v>
      </c>
      <c r="AO5" s="41">
        <f t="shared" si="0"/>
        <v>0.16603167498492288</v>
      </c>
      <c r="AP5" s="41">
        <f t="shared" si="0"/>
        <v>0.13780353096719164</v>
      </c>
      <c r="AQ5" s="41">
        <f t="shared" si="0"/>
        <v>0.11730493891406985</v>
      </c>
      <c r="AR5" s="41">
        <f t="shared" si="0"/>
        <v>0.10298998843263561</v>
      </c>
      <c r="AS5" s="41">
        <f t="shared" si="0"/>
        <v>8.8958155261532987E-2</v>
      </c>
      <c r="AT5" s="41">
        <f t="shared" si="0"/>
        <v>8.8795475156231318E-2</v>
      </c>
      <c r="AU5" s="41">
        <f t="shared" si="0"/>
        <v>7.816015092399603E-2</v>
      </c>
      <c r="AV5" s="41">
        <f t="shared" si="0"/>
        <v>6.5863871804481888E-2</v>
      </c>
      <c r="AW5" s="41">
        <f t="shared" si="0"/>
        <v>5.8959404572838894E-2</v>
      </c>
      <c r="AX5" s="41">
        <f t="shared" si="0"/>
        <v>5.4727924264771306E-2</v>
      </c>
      <c r="AY5" s="41">
        <f t="shared" si="0"/>
        <v>4.9665067727952129E-2</v>
      </c>
      <c r="AZ5" s="41">
        <f t="shared" si="0"/>
        <v>4.595847792538825E-2</v>
      </c>
      <c r="BA5" s="41">
        <f t="shared" si="0"/>
        <v>4.2598819176119636E-2</v>
      </c>
      <c r="BB5" s="41">
        <f t="shared" si="0"/>
        <v>3.9100747519577789E-2</v>
      </c>
      <c r="BC5" s="41">
        <f t="shared" si="0"/>
        <v>3.5259339950189331E-2</v>
      </c>
      <c r="BD5" s="41">
        <f t="shared" si="0"/>
        <v>3.2537818630557075E-2</v>
      </c>
      <c r="BE5" s="41">
        <f t="shared" si="0"/>
        <v>2.9282418954299474E-2</v>
      </c>
      <c r="BF5" s="41">
        <f t="shared" si="0"/>
        <v>2.9553852058172968E-2</v>
      </c>
      <c r="BG5" s="41">
        <f t="shared" si="0"/>
        <v>2.617442003643675E-2</v>
      </c>
      <c r="BH5" s="41">
        <f t="shared" si="0"/>
        <v>2.2324923401038817E-2</v>
      </c>
      <c r="BI5" s="41">
        <f t="shared" si="0"/>
        <v>2.2351886954403731E-2</v>
      </c>
    </row>
    <row r="6" spans="2:61">
      <c r="B6" s="2" t="s">
        <v>240</v>
      </c>
      <c r="D6" s="2" t="s">
        <v>240</v>
      </c>
      <c r="G6" s="7">
        <v>45047</v>
      </c>
      <c r="H6">
        <v>1023596</v>
      </c>
      <c r="I6">
        <v>1023596</v>
      </c>
      <c r="J6">
        <v>310012</v>
      </c>
      <c r="K6">
        <v>222059</v>
      </c>
      <c r="L6">
        <v>175311</v>
      </c>
      <c r="M6">
        <v>144920</v>
      </c>
      <c r="N6">
        <v>125373</v>
      </c>
      <c r="O6">
        <v>107023</v>
      </c>
      <c r="P6">
        <v>105525</v>
      </c>
      <c r="Q6">
        <v>92172</v>
      </c>
      <c r="R6">
        <v>77301</v>
      </c>
      <c r="S6">
        <v>68756</v>
      </c>
      <c r="T6">
        <v>62980</v>
      </c>
      <c r="U6">
        <v>58208</v>
      </c>
      <c r="V6">
        <v>53203</v>
      </c>
      <c r="W6">
        <v>49132</v>
      </c>
      <c r="X6">
        <v>44791</v>
      </c>
      <c r="Y6">
        <v>40449</v>
      </c>
      <c r="Z6">
        <v>37157</v>
      </c>
      <c r="AA6">
        <v>33720</v>
      </c>
      <c r="AB6">
        <v>33475</v>
      </c>
      <c r="AC6" s="189">
        <v>30071</v>
      </c>
      <c r="AD6" s="189">
        <v>25673</v>
      </c>
      <c r="AE6" s="189">
        <v>25341</v>
      </c>
      <c r="AF6" s="189"/>
      <c r="AG6" s="189"/>
      <c r="AK6" s="7">
        <v>45047</v>
      </c>
      <c r="AL6" s="41">
        <f t="shared" si="1"/>
        <v>1</v>
      </c>
      <c r="AM6" s="41">
        <f t="shared" si="0"/>
        <v>0.30286558368731414</v>
      </c>
      <c r="AN6" s="41">
        <f t="shared" si="0"/>
        <v>0.21694008182915916</v>
      </c>
      <c r="AO6" s="41">
        <f t="shared" si="0"/>
        <v>0.17126971969409807</v>
      </c>
      <c r="AP6" s="41">
        <f t="shared" si="0"/>
        <v>0.14157929495621319</v>
      </c>
      <c r="AQ6" s="41">
        <f t="shared" si="0"/>
        <v>0.12248289364163205</v>
      </c>
      <c r="AR6" s="41">
        <f t="shared" si="0"/>
        <v>0.10455589900703012</v>
      </c>
      <c r="AS6" s="41">
        <f t="shared" si="0"/>
        <v>0.10309243099816724</v>
      </c>
      <c r="AT6" s="41">
        <f t="shared" si="0"/>
        <v>9.0047245202208678E-2</v>
      </c>
      <c r="AU6" s="41">
        <f t="shared" si="0"/>
        <v>7.5519052438657433E-2</v>
      </c>
      <c r="AV6" s="41">
        <f t="shared" si="0"/>
        <v>6.7171032321345525E-2</v>
      </c>
      <c r="AW6" s="41">
        <f t="shared" si="0"/>
        <v>6.152818104017601E-2</v>
      </c>
      <c r="AX6" s="41">
        <f t="shared" si="0"/>
        <v>5.6866185487243016E-2</v>
      </c>
      <c r="AY6" s="41">
        <f t="shared" si="0"/>
        <v>5.1976561065107715E-2</v>
      </c>
      <c r="AZ6" s="41">
        <f t="shared" si="0"/>
        <v>4.7999406015654611E-2</v>
      </c>
      <c r="BA6" s="41">
        <f t="shared" si="0"/>
        <v>4.3758475023349057E-2</v>
      </c>
      <c r="BB6" s="41">
        <f t="shared" si="0"/>
        <v>3.951656708310701E-2</v>
      </c>
      <c r="BC6" s="41">
        <f t="shared" si="0"/>
        <v>3.6300454476180057E-2</v>
      </c>
      <c r="BD6" s="41">
        <f t="shared" si="0"/>
        <v>3.2942684418461973E-2</v>
      </c>
      <c r="BE6" s="41">
        <f t="shared" si="0"/>
        <v>3.2703332174021785E-2</v>
      </c>
      <c r="BF6" s="41">
        <f t="shared" si="0"/>
        <v>2.9377801398207885E-2</v>
      </c>
      <c r="BG6" s="41">
        <f t="shared" si="0"/>
        <v>2.5081184373522365E-2</v>
      </c>
      <c r="BH6" s="41">
        <f t="shared" si="0"/>
        <v>2.4756837658607499E-2</v>
      </c>
      <c r="BI6" s="41"/>
    </row>
    <row r="7" spans="2:61">
      <c r="B7" s="2" t="s">
        <v>37</v>
      </c>
      <c r="D7" s="2" t="s">
        <v>37</v>
      </c>
      <c r="G7" s="7">
        <v>45078</v>
      </c>
      <c r="H7">
        <v>1056384</v>
      </c>
      <c r="I7">
        <v>1056384</v>
      </c>
      <c r="J7">
        <v>333519</v>
      </c>
      <c r="K7">
        <v>219115</v>
      </c>
      <c r="L7">
        <v>172406</v>
      </c>
      <c r="M7">
        <v>144530</v>
      </c>
      <c r="N7">
        <v>120862</v>
      </c>
      <c r="O7">
        <v>118216</v>
      </c>
      <c r="P7">
        <v>101793</v>
      </c>
      <c r="Q7">
        <v>84576</v>
      </c>
      <c r="R7">
        <v>74464</v>
      </c>
      <c r="S7">
        <v>68064</v>
      </c>
      <c r="T7">
        <v>62199</v>
      </c>
      <c r="U7">
        <v>57718</v>
      </c>
      <c r="V7">
        <v>52562</v>
      </c>
      <c r="W7">
        <v>47877</v>
      </c>
      <c r="X7">
        <v>43324</v>
      </c>
      <c r="Y7">
        <v>39670</v>
      </c>
      <c r="Z7">
        <v>35702</v>
      </c>
      <c r="AA7">
        <v>35477</v>
      </c>
      <c r="AB7">
        <v>31785</v>
      </c>
      <c r="AC7" s="189">
        <v>27358</v>
      </c>
      <c r="AD7" s="189">
        <v>27007</v>
      </c>
      <c r="AE7" s="189"/>
      <c r="AF7" s="189"/>
      <c r="AG7" s="189"/>
      <c r="AK7" s="7">
        <v>45078</v>
      </c>
      <c r="AL7" s="41">
        <f t="shared" si="1"/>
        <v>1</v>
      </c>
      <c r="AM7" s="41">
        <f t="shared" si="0"/>
        <v>0.31571757997091965</v>
      </c>
      <c r="AN7" s="41">
        <f t="shared" si="0"/>
        <v>0.20741983975524053</v>
      </c>
      <c r="AO7" s="41">
        <f t="shared" si="0"/>
        <v>0.1632039106991397</v>
      </c>
      <c r="AP7" s="41">
        <f t="shared" si="0"/>
        <v>0.13681577911062645</v>
      </c>
      <c r="AQ7" s="41">
        <f t="shared" si="0"/>
        <v>0.11441104749787956</v>
      </c>
      <c r="AR7" s="41">
        <f t="shared" si="0"/>
        <v>0.11190627650551314</v>
      </c>
      <c r="AS7" s="41">
        <f t="shared" si="0"/>
        <v>9.6359846419483822E-2</v>
      </c>
      <c r="AT7" s="41">
        <f t="shared" si="0"/>
        <v>8.0061795710650668E-2</v>
      </c>
      <c r="AU7" s="41">
        <f t="shared" si="0"/>
        <v>7.0489518962801409E-2</v>
      </c>
      <c r="AV7" s="41">
        <f t="shared" si="0"/>
        <v>6.4431115957833518E-2</v>
      </c>
      <c r="AW7" s="41">
        <f t="shared" si="0"/>
        <v>5.8879157579062161E-2</v>
      </c>
      <c r="AX7" s="41">
        <f t="shared" si="0"/>
        <v>5.4637328850115109E-2</v>
      </c>
      <c r="AY7" s="41">
        <f t="shared" si="0"/>
        <v>4.9756527929237855E-2</v>
      </c>
      <c r="AZ7" s="41">
        <f t="shared" si="0"/>
        <v>4.5321587604507454E-2</v>
      </c>
      <c r="BA7" s="41">
        <f t="shared" si="0"/>
        <v>4.1011601841754515E-2</v>
      </c>
      <c r="BB7" s="41">
        <f t="shared" si="0"/>
        <v>3.7552632376105656E-2</v>
      </c>
      <c r="BC7" s="41">
        <f t="shared" si="0"/>
        <v>3.3796422513025566E-2</v>
      </c>
      <c r="BD7" s="41">
        <f t="shared" si="0"/>
        <v>3.3583431782382163E-2</v>
      </c>
      <c r="BE7" s="41">
        <f t="shared" si="0"/>
        <v>3.0088490548891313E-2</v>
      </c>
      <c r="BF7" s="41">
        <f t="shared" si="0"/>
        <v>2.5897779595298678E-2</v>
      </c>
      <c r="BG7" s="41">
        <f t="shared" si="0"/>
        <v>2.5565514055494971E-2</v>
      </c>
      <c r="BH7" s="41"/>
      <c r="BI7" s="41"/>
    </row>
    <row r="8" spans="2:61">
      <c r="B8" s="4" t="s">
        <v>241</v>
      </c>
      <c r="D8" s="4" t="s">
        <v>241</v>
      </c>
      <c r="G8" s="7">
        <v>45108</v>
      </c>
      <c r="H8">
        <v>1101463</v>
      </c>
      <c r="I8">
        <v>1101463</v>
      </c>
      <c r="J8">
        <v>327284</v>
      </c>
      <c r="K8">
        <v>221820</v>
      </c>
      <c r="L8">
        <v>178261</v>
      </c>
      <c r="M8">
        <v>145908</v>
      </c>
      <c r="N8">
        <v>140833</v>
      </c>
      <c r="O8">
        <v>120940</v>
      </c>
      <c r="P8">
        <v>100129</v>
      </c>
      <c r="Q8">
        <v>87561</v>
      </c>
      <c r="R8">
        <v>79941</v>
      </c>
      <c r="S8">
        <v>72549</v>
      </c>
      <c r="T8">
        <v>67195</v>
      </c>
      <c r="U8">
        <v>62071</v>
      </c>
      <c r="V8">
        <v>56379</v>
      </c>
      <c r="W8">
        <v>50477</v>
      </c>
      <c r="X8">
        <v>46334</v>
      </c>
      <c r="Y8">
        <v>41735</v>
      </c>
      <c r="Z8">
        <v>41523</v>
      </c>
      <c r="AA8">
        <v>37332</v>
      </c>
      <c r="AB8">
        <v>31519</v>
      </c>
      <c r="AC8" s="189">
        <v>31389</v>
      </c>
      <c r="AD8" s="189"/>
      <c r="AE8" s="189"/>
      <c r="AF8" s="189"/>
      <c r="AG8" s="189"/>
      <c r="AK8" s="7">
        <v>45108</v>
      </c>
      <c r="AL8" s="41">
        <f t="shared" si="1"/>
        <v>1</v>
      </c>
      <c r="AM8" s="41">
        <f t="shared" si="0"/>
        <v>0.29713571858519078</v>
      </c>
      <c r="AN8" s="41">
        <f t="shared" si="0"/>
        <v>0.20138670114202656</v>
      </c>
      <c r="AO8" s="41">
        <f t="shared" si="0"/>
        <v>0.16184020707005137</v>
      </c>
      <c r="AP8" s="41">
        <f t="shared" si="0"/>
        <v>0.13246745464895326</v>
      </c>
      <c r="AQ8" s="41">
        <f t="shared" si="0"/>
        <v>0.12785994627145897</v>
      </c>
      <c r="AR8" s="41">
        <f t="shared" si="0"/>
        <v>0.10979942131510545</v>
      </c>
      <c r="AS8" s="41">
        <f t="shared" si="0"/>
        <v>9.0905459375394362E-2</v>
      </c>
      <c r="AT8" s="41">
        <f t="shared" si="0"/>
        <v>7.9495180500842963E-2</v>
      </c>
      <c r="AU8" s="41">
        <f t="shared" si="0"/>
        <v>7.2577108808920501E-2</v>
      </c>
      <c r="AV8" s="41">
        <f t="shared" si="0"/>
        <v>6.5866034537701221E-2</v>
      </c>
      <c r="AW8" s="41">
        <f t="shared" si="0"/>
        <v>6.1005226684872758E-2</v>
      </c>
      <c r="AX8" s="41">
        <f t="shared" si="0"/>
        <v>5.6353232019595759E-2</v>
      </c>
      <c r="AY8" s="41">
        <f t="shared" si="0"/>
        <v>5.1185559569409046E-2</v>
      </c>
      <c r="AZ8" s="41">
        <f t="shared" si="0"/>
        <v>4.5827231600153617E-2</v>
      </c>
      <c r="BA8" s="41">
        <f t="shared" si="0"/>
        <v>4.2065870573954819E-2</v>
      </c>
      <c r="BB8" s="41">
        <f t="shared" si="0"/>
        <v>3.7890514706349646E-2</v>
      </c>
      <c r="BC8" s="41">
        <f t="shared" si="0"/>
        <v>3.7698043420432641E-2</v>
      </c>
      <c r="BD8" s="41">
        <f t="shared" si="0"/>
        <v>3.3893103989875287E-2</v>
      </c>
      <c r="BE8" s="41">
        <f t="shared" si="0"/>
        <v>2.8615577645368023E-2</v>
      </c>
      <c r="BF8" s="41">
        <f t="shared" si="0"/>
        <v>2.8497552800230239E-2</v>
      </c>
      <c r="BG8" s="41"/>
      <c r="BH8" s="41"/>
      <c r="BI8" s="41"/>
    </row>
    <row r="9" spans="2:61">
      <c r="B9" s="2" t="s">
        <v>243</v>
      </c>
      <c r="D9" s="2" t="s">
        <v>243</v>
      </c>
      <c r="G9" s="184">
        <v>45139</v>
      </c>
      <c r="H9" s="185">
        <v>934677</v>
      </c>
      <c r="I9" s="185">
        <v>934677</v>
      </c>
      <c r="J9" s="185">
        <v>271724</v>
      </c>
      <c r="K9" s="185">
        <v>187147</v>
      </c>
      <c r="L9" s="185">
        <v>147063</v>
      </c>
      <c r="M9" s="185">
        <v>137130</v>
      </c>
      <c r="N9" s="185">
        <v>116515</v>
      </c>
      <c r="O9" s="185">
        <v>95266</v>
      </c>
      <c r="P9" s="187">
        <v>82720</v>
      </c>
      <c r="Q9" s="187">
        <v>74904</v>
      </c>
      <c r="R9" s="187">
        <v>68243</v>
      </c>
      <c r="S9" s="187">
        <v>62402</v>
      </c>
      <c r="T9" s="187">
        <v>57191</v>
      </c>
      <c r="U9" s="187">
        <v>52900</v>
      </c>
      <c r="V9" s="187">
        <v>47147</v>
      </c>
      <c r="W9" s="187">
        <v>43168</v>
      </c>
      <c r="X9" s="187">
        <v>38734</v>
      </c>
      <c r="Y9" s="187">
        <v>38339</v>
      </c>
      <c r="Z9" s="187">
        <v>34566</v>
      </c>
      <c r="AA9" s="187">
        <v>29526</v>
      </c>
      <c r="AB9" s="187">
        <v>28896</v>
      </c>
      <c r="AC9" s="189"/>
      <c r="AD9" s="189"/>
      <c r="AE9" s="189"/>
      <c r="AF9" s="189"/>
      <c r="AG9" s="189"/>
      <c r="AK9" s="184">
        <v>45139</v>
      </c>
      <c r="AL9" s="41">
        <f t="shared" si="1"/>
        <v>1</v>
      </c>
      <c r="AM9" s="41">
        <f t="shared" si="0"/>
        <v>0.29071433233084798</v>
      </c>
      <c r="AN9" s="41">
        <f t="shared" si="0"/>
        <v>0.20022638836731835</v>
      </c>
      <c r="AO9" s="41">
        <f t="shared" si="0"/>
        <v>0.15734098517455763</v>
      </c>
      <c r="AP9" s="41">
        <f t="shared" si="0"/>
        <v>0.14671378454803102</v>
      </c>
      <c r="AQ9" s="41">
        <f t="shared" si="0"/>
        <v>0.12465803694752305</v>
      </c>
      <c r="AR9" s="41">
        <f t="shared" si="0"/>
        <v>0.10192398015571155</v>
      </c>
      <c r="AS9" s="41">
        <f t="shared" si="0"/>
        <v>8.8501161363765235E-2</v>
      </c>
      <c r="AT9" s="41">
        <f t="shared" si="0"/>
        <v>8.0138914298736361E-2</v>
      </c>
      <c r="AU9" s="41">
        <f t="shared" si="0"/>
        <v>7.3012388236791959E-2</v>
      </c>
      <c r="AV9" s="41">
        <f t="shared" si="0"/>
        <v>6.6763170592621837E-2</v>
      </c>
      <c r="AW9" s="41">
        <f t="shared" si="0"/>
        <v>6.1187982586497797E-2</v>
      </c>
      <c r="AX9" s="41">
        <f t="shared" si="0"/>
        <v>5.6597091829583911E-2</v>
      </c>
      <c r="AY9" s="41">
        <f t="shared" si="0"/>
        <v>5.0442024357077363E-2</v>
      </c>
      <c r="AZ9" s="41">
        <f t="shared" si="0"/>
        <v>4.6184938754243447E-2</v>
      </c>
      <c r="BA9" s="41">
        <f t="shared" si="0"/>
        <v>4.1441053968376239E-2</v>
      </c>
      <c r="BB9" s="41">
        <f t="shared" si="0"/>
        <v>4.101844808420449E-2</v>
      </c>
      <c r="BC9" s="41">
        <f t="shared" si="0"/>
        <v>3.6981759474128496E-2</v>
      </c>
      <c r="BD9" s="41">
        <f t="shared" si="0"/>
        <v>3.1589522369759822E-2</v>
      </c>
      <c r="BE9" s="41">
        <f t="shared" si="0"/>
        <v>3.0915492731713737E-2</v>
      </c>
      <c r="BF9" s="41"/>
      <c r="BG9" s="41"/>
      <c r="BH9" s="41"/>
      <c r="BI9" s="41"/>
    </row>
    <row r="10" spans="2:61">
      <c r="B10" s="2" t="s">
        <v>82</v>
      </c>
      <c r="D10" s="2" t="s">
        <v>82</v>
      </c>
      <c r="G10" s="186">
        <v>45170</v>
      </c>
      <c r="H10" s="118">
        <v>936045</v>
      </c>
      <c r="I10" s="118">
        <v>936045</v>
      </c>
      <c r="J10" s="118">
        <v>260398</v>
      </c>
      <c r="K10" s="118">
        <v>169469</v>
      </c>
      <c r="L10" s="118">
        <v>151580</v>
      </c>
      <c r="M10" s="118">
        <v>124000</v>
      </c>
      <c r="N10" s="118">
        <v>99403</v>
      </c>
      <c r="O10" s="118">
        <v>84214</v>
      </c>
      <c r="P10" s="188">
        <v>75467</v>
      </c>
      <c r="Q10" s="188">
        <v>68185</v>
      </c>
      <c r="R10" s="188">
        <v>62049</v>
      </c>
      <c r="S10" s="188">
        <v>56336</v>
      </c>
      <c r="T10" s="188">
        <v>51416</v>
      </c>
      <c r="U10" s="188">
        <v>47013</v>
      </c>
      <c r="V10" s="188">
        <v>42224</v>
      </c>
      <c r="W10" s="188">
        <v>38013</v>
      </c>
      <c r="X10" s="188">
        <v>37703</v>
      </c>
      <c r="Y10" s="188">
        <v>33549</v>
      </c>
      <c r="Z10" s="188">
        <v>28560</v>
      </c>
      <c r="AA10" s="188">
        <v>28346</v>
      </c>
      <c r="AB10" s="188"/>
      <c r="AC10" s="189"/>
      <c r="AD10" s="189"/>
      <c r="AE10" s="189"/>
      <c r="AF10" s="189"/>
      <c r="AG10" s="189"/>
      <c r="AK10" s="186">
        <v>45170</v>
      </c>
      <c r="AL10" s="41">
        <f t="shared" si="1"/>
        <v>1</v>
      </c>
      <c r="AM10" s="41">
        <f t="shared" si="0"/>
        <v>0.27818961695217642</v>
      </c>
      <c r="AN10" s="41">
        <f t="shared" si="0"/>
        <v>0.18104791970471504</v>
      </c>
      <c r="AO10" s="41">
        <f t="shared" si="0"/>
        <v>0.16193665902814502</v>
      </c>
      <c r="AP10" s="41">
        <f t="shared" si="0"/>
        <v>0.1324722636198046</v>
      </c>
      <c r="AQ10" s="41">
        <f t="shared" si="0"/>
        <v>0.10619468081128579</v>
      </c>
      <c r="AR10" s="41">
        <f t="shared" si="0"/>
        <v>8.9967896842566328E-2</v>
      </c>
      <c r="AS10" s="41">
        <f t="shared" si="0"/>
        <v>8.0623260633837054E-2</v>
      </c>
      <c r="AT10" s="41">
        <f t="shared" si="0"/>
        <v>7.2843720120293359E-2</v>
      </c>
      <c r="AU10" s="41">
        <f t="shared" si="0"/>
        <v>6.6288479720526261E-2</v>
      </c>
      <c r="AV10" s="41">
        <f t="shared" si="0"/>
        <v>6.0185140671655743E-2</v>
      </c>
      <c r="AW10" s="41">
        <f t="shared" si="0"/>
        <v>5.4928983115128012E-2</v>
      </c>
      <c r="AX10" s="41">
        <f t="shared" si="0"/>
        <v>5.0225149431918338E-2</v>
      </c>
      <c r="AY10" s="41">
        <f t="shared" si="0"/>
        <v>4.510894241195669E-2</v>
      </c>
      <c r="AZ10" s="41">
        <f t="shared" si="0"/>
        <v>4.0610227072416391E-2</v>
      </c>
      <c r="BA10" s="41">
        <f t="shared" si="0"/>
        <v>4.0279046413366881E-2</v>
      </c>
      <c r="BB10" s="41">
        <f t="shared" si="0"/>
        <v>3.5841225582103425E-2</v>
      </c>
      <c r="BC10" s="41">
        <f t="shared" si="0"/>
        <v>3.0511353620819512E-2</v>
      </c>
      <c r="BD10" s="41">
        <f t="shared" si="0"/>
        <v>3.028273213360469E-2</v>
      </c>
      <c r="BE10" s="41"/>
      <c r="BF10" s="41"/>
      <c r="BG10" s="41"/>
      <c r="BH10" s="41"/>
      <c r="BI10" s="41"/>
    </row>
    <row r="11" spans="2:61">
      <c r="B11" s="5" t="s">
        <v>28</v>
      </c>
      <c r="D11" s="5" t="s">
        <v>28</v>
      </c>
      <c r="G11" s="186">
        <v>45200</v>
      </c>
      <c r="H11" s="118">
        <v>939224</v>
      </c>
      <c r="I11" s="118">
        <v>939224</v>
      </c>
      <c r="J11" s="118">
        <v>246179</v>
      </c>
      <c r="K11" s="118">
        <v>183907</v>
      </c>
      <c r="L11" s="118">
        <v>142772</v>
      </c>
      <c r="M11" s="118">
        <v>110681</v>
      </c>
      <c r="N11" s="118">
        <v>92778</v>
      </c>
      <c r="O11" s="118">
        <v>81965</v>
      </c>
      <c r="P11" s="188">
        <v>73354</v>
      </c>
      <c r="Q11" s="188">
        <v>65929</v>
      </c>
      <c r="R11" s="188">
        <v>59759</v>
      </c>
      <c r="S11" s="188">
        <v>54638</v>
      </c>
      <c r="T11" s="188">
        <v>49164</v>
      </c>
      <c r="U11" s="188">
        <v>45439</v>
      </c>
      <c r="V11" s="188">
        <v>40621</v>
      </c>
      <c r="W11" s="188">
        <v>39898</v>
      </c>
      <c r="X11" s="188">
        <v>35390</v>
      </c>
      <c r="Y11" s="188">
        <v>30361</v>
      </c>
      <c r="Z11" s="188">
        <v>29974</v>
      </c>
      <c r="AA11" s="188"/>
      <c r="AB11" s="188"/>
      <c r="AC11" s="189"/>
      <c r="AD11" s="189"/>
      <c r="AE11" s="189"/>
      <c r="AF11" s="189"/>
      <c r="AG11" s="189"/>
      <c r="AK11" s="186">
        <v>45200</v>
      </c>
      <c r="AL11" s="41">
        <f t="shared" si="1"/>
        <v>1</v>
      </c>
      <c r="AM11" s="41">
        <f t="shared" si="0"/>
        <v>0.26210893248043066</v>
      </c>
      <c r="AN11" s="41">
        <f t="shared" si="0"/>
        <v>0.19580738993041064</v>
      </c>
      <c r="AO11" s="41">
        <f t="shared" si="0"/>
        <v>0.15201059598136335</v>
      </c>
      <c r="AP11" s="41">
        <f t="shared" si="0"/>
        <v>0.11784302786129826</v>
      </c>
      <c r="AQ11" s="41">
        <f t="shared" si="0"/>
        <v>9.8781547319915161E-2</v>
      </c>
      <c r="AR11" s="41">
        <f t="shared" si="0"/>
        <v>8.7268851732919941E-2</v>
      </c>
      <c r="AS11" s="41">
        <f t="shared" si="0"/>
        <v>7.8100644787611903E-2</v>
      </c>
      <c r="AT11" s="41">
        <f t="shared" si="0"/>
        <v>7.0195182405901044E-2</v>
      </c>
      <c r="AU11" s="41">
        <f t="shared" si="0"/>
        <v>6.3625929490728511E-2</v>
      </c>
      <c r="AV11" s="41">
        <f t="shared" si="0"/>
        <v>5.8173556042009147E-2</v>
      </c>
      <c r="AW11" s="41">
        <f t="shared" si="0"/>
        <v>5.2345340408677804E-2</v>
      </c>
      <c r="AX11" s="41">
        <f t="shared" si="0"/>
        <v>4.8379300358593905E-2</v>
      </c>
      <c r="AY11" s="41">
        <f t="shared" si="0"/>
        <v>4.3249533657572635E-2</v>
      </c>
      <c r="AZ11" s="41">
        <f t="shared" si="0"/>
        <v>4.2479749239797963E-2</v>
      </c>
      <c r="BA11" s="41">
        <f t="shared" si="0"/>
        <v>3.7680042247642737E-2</v>
      </c>
      <c r="BB11" s="41">
        <f t="shared" si="0"/>
        <v>3.2325622002844903E-2</v>
      </c>
      <c r="BC11" s="41">
        <f t="shared" si="0"/>
        <v>3.1913579721131485E-2</v>
      </c>
      <c r="BD11" s="41"/>
      <c r="BE11" s="41"/>
      <c r="BF11" s="41"/>
      <c r="BG11" s="41"/>
      <c r="BH11" s="41"/>
      <c r="BI11" s="41"/>
    </row>
    <row r="12" spans="2:61">
      <c r="B12" s="3" t="s">
        <v>238</v>
      </c>
      <c r="D12" s="3" t="s">
        <v>238</v>
      </c>
      <c r="G12" s="186">
        <v>45231</v>
      </c>
      <c r="H12" s="118">
        <v>825993</v>
      </c>
      <c r="I12" s="118">
        <v>825993</v>
      </c>
      <c r="J12" s="118">
        <v>259297</v>
      </c>
      <c r="K12" s="118">
        <v>168054</v>
      </c>
      <c r="L12" s="118">
        <v>124480</v>
      </c>
      <c r="M12" s="118">
        <v>101587</v>
      </c>
      <c r="N12" s="118">
        <v>88026</v>
      </c>
      <c r="O12" s="118">
        <v>77150</v>
      </c>
      <c r="P12" s="188">
        <v>69680</v>
      </c>
      <c r="Q12" s="188">
        <v>62631</v>
      </c>
      <c r="R12" s="188">
        <v>56797</v>
      </c>
      <c r="S12" s="188">
        <v>51204</v>
      </c>
      <c r="T12" s="188">
        <v>46816</v>
      </c>
      <c r="U12" s="188">
        <v>42457</v>
      </c>
      <c r="V12" s="188">
        <v>41424</v>
      </c>
      <c r="W12" s="188">
        <v>36959</v>
      </c>
      <c r="X12" s="188">
        <v>31465</v>
      </c>
      <c r="Y12" s="188">
        <v>30777</v>
      </c>
      <c r="Z12" s="188"/>
      <c r="AA12" s="188"/>
      <c r="AB12" s="188"/>
      <c r="AC12" s="189"/>
      <c r="AD12" s="189"/>
      <c r="AE12" s="189"/>
      <c r="AF12" s="189"/>
      <c r="AG12" s="189"/>
      <c r="AK12" s="186">
        <v>45231</v>
      </c>
      <c r="AL12" s="41">
        <f t="shared" si="1"/>
        <v>1</v>
      </c>
      <c r="AM12" s="41">
        <f t="shared" si="0"/>
        <v>0.31392154655063664</v>
      </c>
      <c r="AN12" s="41">
        <f t="shared" si="0"/>
        <v>0.20345693002240939</v>
      </c>
      <c r="AO12" s="41">
        <f t="shared" si="0"/>
        <v>0.1507034563246904</v>
      </c>
      <c r="AP12" s="41">
        <f t="shared" si="0"/>
        <v>0.1229877250775733</v>
      </c>
      <c r="AQ12" s="41">
        <f t="shared" si="0"/>
        <v>0.10656991039875641</v>
      </c>
      <c r="AR12" s="41">
        <f t="shared" si="0"/>
        <v>9.3402728594552259E-2</v>
      </c>
      <c r="AS12" s="41">
        <f t="shared" si="0"/>
        <v>8.4359068418255356E-2</v>
      </c>
      <c r="AT12" s="41">
        <f t="shared" si="0"/>
        <v>7.5825097791385646E-2</v>
      </c>
      <c r="AU12" s="41">
        <f t="shared" si="0"/>
        <v>6.8762083940178673E-2</v>
      </c>
      <c r="AV12" s="41">
        <f t="shared" si="0"/>
        <v>6.1990840116078465E-2</v>
      </c>
      <c r="AW12" s="41">
        <f t="shared" si="0"/>
        <v>5.6678446427512096E-2</v>
      </c>
      <c r="AX12" s="41">
        <f t="shared" si="0"/>
        <v>5.1401161995319571E-2</v>
      </c>
      <c r="AY12" s="41">
        <f t="shared" si="0"/>
        <v>5.0150546070003015E-2</v>
      </c>
      <c r="AZ12" s="41">
        <f t="shared" si="0"/>
        <v>4.4744931252444026E-2</v>
      </c>
      <c r="BA12" s="41">
        <f t="shared" si="0"/>
        <v>3.8093543165620046E-2</v>
      </c>
      <c r="BB12" s="41">
        <f t="shared" si="0"/>
        <v>3.7260606324750936E-2</v>
      </c>
      <c r="BC12" s="41"/>
      <c r="BD12" s="41"/>
      <c r="BE12" s="41"/>
      <c r="BF12" s="41"/>
      <c r="BG12" s="41"/>
      <c r="BH12" s="41"/>
      <c r="BI12" s="41"/>
    </row>
    <row r="13" spans="2:61">
      <c r="B13" s="2" t="s">
        <v>51</v>
      </c>
      <c r="D13" s="2" t="s">
        <v>51</v>
      </c>
      <c r="G13" s="186">
        <v>45261</v>
      </c>
      <c r="H13" s="118">
        <v>990107</v>
      </c>
      <c r="I13" s="118">
        <v>990107</v>
      </c>
      <c r="J13" s="118">
        <v>276832</v>
      </c>
      <c r="K13" s="118">
        <v>173278</v>
      </c>
      <c r="L13" s="118">
        <v>135350</v>
      </c>
      <c r="M13" s="118">
        <v>114630</v>
      </c>
      <c r="N13" s="118">
        <v>99501</v>
      </c>
      <c r="O13" s="118">
        <v>89089</v>
      </c>
      <c r="P13" s="188">
        <v>80045</v>
      </c>
      <c r="Q13" s="188">
        <v>72412</v>
      </c>
      <c r="R13" s="188">
        <v>64914</v>
      </c>
      <c r="S13" s="188">
        <v>59327</v>
      </c>
      <c r="T13" s="188">
        <v>53412</v>
      </c>
      <c r="U13" s="188">
        <v>53479</v>
      </c>
      <c r="V13" s="188">
        <v>46742</v>
      </c>
      <c r="W13" s="188">
        <v>39879</v>
      </c>
      <c r="X13" s="188">
        <v>39420</v>
      </c>
      <c r="Y13" s="188"/>
      <c r="Z13" s="188"/>
      <c r="AA13" s="188"/>
      <c r="AB13" s="188"/>
      <c r="AC13" s="189"/>
      <c r="AD13" s="189"/>
      <c r="AE13" s="189"/>
      <c r="AF13" s="189"/>
      <c r="AG13" s="189"/>
      <c r="AK13" s="186">
        <v>45261</v>
      </c>
      <c r="AL13" s="41">
        <f t="shared" si="1"/>
        <v>1</v>
      </c>
      <c r="AM13" s="41">
        <f t="shared" si="0"/>
        <v>0.27959806364362638</v>
      </c>
      <c r="AN13" s="41">
        <f t="shared" si="0"/>
        <v>0.17500936767440287</v>
      </c>
      <c r="AO13" s="41">
        <f t="shared" ref="AO13:AO22" si="2">L13/$H13</f>
        <v>0.13670239681165772</v>
      </c>
      <c r="AP13" s="41">
        <f t="shared" ref="AP13:AP22" si="3">M13/$H13</f>
        <v>0.11577536569279887</v>
      </c>
      <c r="AQ13" s="41">
        <f t="shared" ref="AQ13:AQ22" si="4">N13/$H13</f>
        <v>0.10049519900374404</v>
      </c>
      <c r="AR13" s="41">
        <f t="shared" ref="AR13:AR22" si="5">O13/$H13</f>
        <v>8.9979163868147582E-2</v>
      </c>
      <c r="AS13" s="41">
        <f t="shared" ref="AS13:AS22" si="6">P13/$H13</f>
        <v>8.0844797582483516E-2</v>
      </c>
      <c r="AT13" s="41">
        <f t="shared" ref="AT13:AT22" si="7">Q13/$H13</f>
        <v>7.3135529796274551E-2</v>
      </c>
      <c r="AU13" s="41">
        <f t="shared" ref="AU13:AU22" si="8">R13/$H13</f>
        <v>6.5562610909729965E-2</v>
      </c>
      <c r="AV13" s="41">
        <f t="shared" ref="AV13:AV22" si="9">S13/$H13</f>
        <v>5.9919786447323369E-2</v>
      </c>
      <c r="AW13" s="41">
        <f t="shared" ref="AW13:AW22" si="10">T13/$H13</f>
        <v>5.3945684658324805E-2</v>
      </c>
      <c r="AX13" s="41">
        <f t="shared" ref="AX13:AX22" si="11">U13/$H13</f>
        <v>5.4013354112232313E-2</v>
      </c>
      <c r="AY13" s="41">
        <f t="shared" ref="AY13:AY22" si="12">V13/$H13</f>
        <v>4.7209039023055087E-2</v>
      </c>
      <c r="AZ13" s="41">
        <f t="shared" ref="AZ13:AZ22" si="13">W13/$H13</f>
        <v>4.0277464960857767E-2</v>
      </c>
      <c r="BA13" s="41">
        <f t="shared" ref="BA13:BA22" si="14">X13/$H13</f>
        <v>3.9813878701998873E-2</v>
      </c>
      <c r="BB13" s="41"/>
      <c r="BC13" s="41"/>
      <c r="BD13" s="41"/>
      <c r="BE13" s="41"/>
      <c r="BF13" s="41"/>
      <c r="BG13" s="41"/>
      <c r="BH13" s="41"/>
      <c r="BI13" s="41"/>
    </row>
    <row r="14" spans="2:61">
      <c r="B14" s="2" t="s">
        <v>239</v>
      </c>
      <c r="D14" s="2" t="s">
        <v>239</v>
      </c>
      <c r="G14" s="186">
        <v>45292</v>
      </c>
      <c r="H14" s="118">
        <v>962570</v>
      </c>
      <c r="I14" s="118">
        <v>962570</v>
      </c>
      <c r="J14" s="118">
        <v>234705</v>
      </c>
      <c r="K14" s="118">
        <v>153693</v>
      </c>
      <c r="L14" s="118">
        <v>123254</v>
      </c>
      <c r="M14" s="118">
        <v>104177</v>
      </c>
      <c r="N14" s="118">
        <v>91651</v>
      </c>
      <c r="O14" s="118">
        <v>81522</v>
      </c>
      <c r="P14" s="188">
        <v>72736</v>
      </c>
      <c r="Q14" s="188">
        <v>64924</v>
      </c>
      <c r="R14" s="188">
        <v>58691</v>
      </c>
      <c r="S14" s="188">
        <v>53088</v>
      </c>
      <c r="T14" s="188">
        <v>52422</v>
      </c>
      <c r="U14" s="188">
        <v>46827</v>
      </c>
      <c r="V14" s="188">
        <v>39223</v>
      </c>
      <c r="W14" s="188">
        <v>38502</v>
      </c>
      <c r="X14" s="188"/>
      <c r="Y14" s="188"/>
      <c r="Z14" s="188"/>
      <c r="AA14" s="188"/>
      <c r="AB14" s="188"/>
      <c r="AC14" s="189"/>
      <c r="AD14" s="189"/>
      <c r="AE14" s="189"/>
      <c r="AF14" s="189"/>
      <c r="AG14" s="189"/>
      <c r="AK14" s="186">
        <v>45292</v>
      </c>
      <c r="AL14" s="41">
        <f t="shared" si="1"/>
        <v>1</v>
      </c>
      <c r="AM14" s="41">
        <f t="shared" ref="AM14:AM22" si="15">J14/$H14</f>
        <v>0.2438316174408095</v>
      </c>
      <c r="AN14" s="41">
        <f t="shared" ref="AN14:AN22" si="16">K14/$H14</f>
        <v>0.15966942663910158</v>
      </c>
      <c r="AO14" s="41">
        <f t="shared" si="2"/>
        <v>0.12804679140218372</v>
      </c>
      <c r="AP14" s="41">
        <f t="shared" si="3"/>
        <v>0.10822797303053285</v>
      </c>
      <c r="AQ14" s="41">
        <f t="shared" si="4"/>
        <v>9.5214893462293657E-2</v>
      </c>
      <c r="AR14" s="41">
        <f t="shared" si="5"/>
        <v>8.4692022398371022E-2</v>
      </c>
      <c r="AS14" s="41">
        <f t="shared" si="6"/>
        <v>7.5564374538994561E-2</v>
      </c>
      <c r="AT14" s="41">
        <f t="shared" si="7"/>
        <v>6.7448601140696257E-2</v>
      </c>
      <c r="AU14" s="41">
        <f t="shared" si="8"/>
        <v>6.0973227921086261E-2</v>
      </c>
      <c r="AV14" s="41">
        <f t="shared" si="9"/>
        <v>5.5152352556177731E-2</v>
      </c>
      <c r="AW14" s="41">
        <f t="shared" si="10"/>
        <v>5.4460454824064745E-2</v>
      </c>
      <c r="AX14" s="41">
        <f t="shared" si="11"/>
        <v>4.8647890543025443E-2</v>
      </c>
      <c r="AY14" s="41">
        <f t="shared" si="12"/>
        <v>4.074820532532699E-2</v>
      </c>
      <c r="AZ14" s="41">
        <f t="shared" si="13"/>
        <v>3.9999168891613077E-2</v>
      </c>
      <c r="BA14" s="41"/>
      <c r="BB14" s="41"/>
      <c r="BC14" s="41"/>
      <c r="BD14" s="41"/>
      <c r="BE14" s="41"/>
      <c r="BF14" s="41"/>
      <c r="BG14" s="41"/>
      <c r="BH14" s="41"/>
      <c r="BI14" s="41"/>
    </row>
    <row r="15" spans="2:61">
      <c r="B15" s="2" t="s">
        <v>240</v>
      </c>
      <c r="D15" s="2" t="s">
        <v>240</v>
      </c>
      <c r="G15" s="186">
        <v>45323</v>
      </c>
      <c r="H15" s="118">
        <v>857411</v>
      </c>
      <c r="I15" s="118">
        <v>857411</v>
      </c>
      <c r="J15" s="118">
        <v>209378</v>
      </c>
      <c r="K15" s="118">
        <v>134269</v>
      </c>
      <c r="L15" s="118">
        <v>107020</v>
      </c>
      <c r="M15" s="118">
        <v>90122</v>
      </c>
      <c r="N15" s="118">
        <v>78377</v>
      </c>
      <c r="O15" s="118">
        <v>69098</v>
      </c>
      <c r="P15" s="188">
        <v>60821</v>
      </c>
      <c r="Q15" s="188">
        <v>54805</v>
      </c>
      <c r="R15" s="188">
        <v>49077</v>
      </c>
      <c r="S15" s="188">
        <v>48404</v>
      </c>
      <c r="T15" s="188">
        <v>42445</v>
      </c>
      <c r="U15" s="188">
        <v>36450</v>
      </c>
      <c r="V15" s="188">
        <v>35414</v>
      </c>
      <c r="W15" s="188"/>
      <c r="X15" s="188"/>
      <c r="Y15" s="188"/>
      <c r="Z15" s="188"/>
      <c r="AA15" s="188"/>
      <c r="AB15" s="188"/>
      <c r="AC15" s="189"/>
      <c r="AD15" s="189"/>
      <c r="AE15" s="189"/>
      <c r="AF15" s="189"/>
      <c r="AG15" s="189"/>
      <c r="AK15" s="186">
        <v>45323</v>
      </c>
      <c r="AL15" s="41">
        <f t="shared" si="1"/>
        <v>1</v>
      </c>
      <c r="AM15" s="41">
        <f t="shared" si="15"/>
        <v>0.24419794007774567</v>
      </c>
      <c r="AN15" s="41">
        <f t="shared" si="16"/>
        <v>0.15659817753679392</v>
      </c>
      <c r="AO15" s="41">
        <f t="shared" si="2"/>
        <v>0.12481761955468264</v>
      </c>
      <c r="AP15" s="41">
        <f t="shared" si="3"/>
        <v>0.10510945159322659</v>
      </c>
      <c r="AQ15" s="41">
        <f t="shared" si="4"/>
        <v>9.1411236851404981E-2</v>
      </c>
      <c r="AR15" s="41">
        <f t="shared" si="5"/>
        <v>8.0589122369552055E-2</v>
      </c>
      <c r="AS15" s="41">
        <f t="shared" si="6"/>
        <v>7.0935642299900514E-2</v>
      </c>
      <c r="AT15" s="41">
        <f t="shared" si="7"/>
        <v>6.3919170619457885E-2</v>
      </c>
      <c r="AU15" s="41">
        <f t="shared" si="8"/>
        <v>5.7238593859887499E-2</v>
      </c>
      <c r="AV15" s="41">
        <f t="shared" si="9"/>
        <v>5.645367274271032E-2</v>
      </c>
      <c r="AW15" s="41">
        <f t="shared" si="10"/>
        <v>4.9503680265356988E-2</v>
      </c>
      <c r="AX15" s="41">
        <f t="shared" si="11"/>
        <v>4.2511700922894621E-2</v>
      </c>
      <c r="AY15" s="41">
        <f t="shared" si="12"/>
        <v>4.1303412249201372E-2</v>
      </c>
      <c r="AZ15" s="41"/>
      <c r="BA15" s="41"/>
      <c r="BB15" s="41"/>
      <c r="BC15" s="41"/>
      <c r="BD15" s="41"/>
      <c r="BE15" s="41"/>
      <c r="BF15" s="41"/>
      <c r="BG15" s="41"/>
      <c r="BH15" s="41"/>
      <c r="BI15" s="41"/>
    </row>
    <row r="16" spans="2:61">
      <c r="B16" s="2" t="s">
        <v>37</v>
      </c>
      <c r="D16" s="2" t="s">
        <v>37</v>
      </c>
      <c r="G16" s="186">
        <v>45352</v>
      </c>
      <c r="H16" s="118">
        <v>849801</v>
      </c>
      <c r="I16" s="118">
        <v>849801</v>
      </c>
      <c r="J16" s="118">
        <v>199875</v>
      </c>
      <c r="K16" s="118">
        <v>137254</v>
      </c>
      <c r="L16" s="118">
        <v>110744</v>
      </c>
      <c r="M16" s="118">
        <v>94604</v>
      </c>
      <c r="N16" s="118">
        <v>82035</v>
      </c>
      <c r="O16" s="118">
        <v>71046</v>
      </c>
      <c r="P16" s="188">
        <v>63760</v>
      </c>
      <c r="Q16" s="188">
        <v>56696</v>
      </c>
      <c r="R16" s="188">
        <v>56398</v>
      </c>
      <c r="S16" s="188">
        <v>49034</v>
      </c>
      <c r="T16" s="188">
        <v>41597</v>
      </c>
      <c r="U16" s="188">
        <v>40743</v>
      </c>
      <c r="V16" s="188"/>
      <c r="W16" s="188"/>
      <c r="X16" s="188"/>
      <c r="Y16" s="188"/>
      <c r="Z16" s="188"/>
      <c r="AA16" s="188"/>
      <c r="AB16" s="188"/>
      <c r="AC16" s="189"/>
      <c r="AD16" s="189"/>
      <c r="AE16" s="189"/>
      <c r="AF16" s="189"/>
      <c r="AG16" s="189"/>
      <c r="AK16" s="186">
        <v>45352</v>
      </c>
      <c r="AL16" s="41">
        <f t="shared" si="1"/>
        <v>1</v>
      </c>
      <c r="AM16" s="41">
        <f t="shared" si="15"/>
        <v>0.23520212379133468</v>
      </c>
      <c r="AN16" s="41">
        <f t="shared" si="16"/>
        <v>0.16151310718627065</v>
      </c>
      <c r="AO16" s="41">
        <f t="shared" si="2"/>
        <v>0.1303175684660291</v>
      </c>
      <c r="AP16" s="41">
        <f t="shared" si="3"/>
        <v>0.11132488664993334</v>
      </c>
      <c r="AQ16" s="41">
        <f t="shared" si="4"/>
        <v>9.6534365104300884E-2</v>
      </c>
      <c r="AR16" s="41">
        <f t="shared" si="5"/>
        <v>8.3603102373379173E-2</v>
      </c>
      <c r="AS16" s="41">
        <f t="shared" si="6"/>
        <v>7.5029330396175098E-2</v>
      </c>
      <c r="AT16" s="41">
        <f t="shared" si="7"/>
        <v>6.6716796049898747E-2</v>
      </c>
      <c r="AU16" s="41">
        <f t="shared" si="8"/>
        <v>6.6366125716491267E-2</v>
      </c>
      <c r="AV16" s="41">
        <f t="shared" si="9"/>
        <v>5.770056754463692E-2</v>
      </c>
      <c r="AW16" s="41">
        <f t="shared" si="10"/>
        <v>4.8949106908558589E-2</v>
      </c>
      <c r="AX16" s="41">
        <f t="shared" si="11"/>
        <v>4.7944165751746586E-2</v>
      </c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</row>
    <row r="17" spans="2:61">
      <c r="B17" s="4" t="s">
        <v>241</v>
      </c>
      <c r="D17" s="4" t="s">
        <v>241</v>
      </c>
      <c r="G17" s="183">
        <v>45536</v>
      </c>
      <c r="H17" s="94">
        <v>564048</v>
      </c>
      <c r="I17" s="94">
        <v>564048</v>
      </c>
      <c r="J17" s="94">
        <v>167101</v>
      </c>
      <c r="K17" s="94">
        <v>109216</v>
      </c>
      <c r="L17" s="94">
        <v>95592</v>
      </c>
      <c r="M17" s="94">
        <v>77612</v>
      </c>
      <c r="N17" s="94">
        <v>63318</v>
      </c>
      <c r="O17" s="94">
        <v>59924</v>
      </c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89"/>
      <c r="AD17" s="189"/>
      <c r="AE17" s="189"/>
      <c r="AF17" s="189"/>
      <c r="AG17" s="189"/>
      <c r="AK17" s="183">
        <v>45536</v>
      </c>
      <c r="AL17" s="41">
        <f t="shared" si="1"/>
        <v>1</v>
      </c>
      <c r="AM17" s="41">
        <f t="shared" si="15"/>
        <v>0.2962531557597935</v>
      </c>
      <c r="AN17" s="41">
        <f t="shared" si="16"/>
        <v>0.19362891101466542</v>
      </c>
      <c r="AO17" s="41">
        <f t="shared" si="2"/>
        <v>0.16947493830312313</v>
      </c>
      <c r="AP17" s="41">
        <f t="shared" si="3"/>
        <v>0.13759821859132557</v>
      </c>
      <c r="AQ17" s="41">
        <f t="shared" si="4"/>
        <v>0.11225640371032253</v>
      </c>
      <c r="AR17" s="41">
        <f t="shared" si="5"/>
        <v>0.10623918531756163</v>
      </c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</row>
    <row r="18" spans="2:61">
      <c r="B18" s="2" t="s">
        <v>242</v>
      </c>
      <c r="D18" s="2" t="s">
        <v>242</v>
      </c>
      <c r="G18" s="183">
        <v>45566</v>
      </c>
      <c r="H18" s="94">
        <v>549759</v>
      </c>
      <c r="I18" s="94">
        <v>549759</v>
      </c>
      <c r="J18" s="94">
        <v>156118</v>
      </c>
      <c r="K18" s="94">
        <v>115745</v>
      </c>
      <c r="L18" s="94">
        <v>89994</v>
      </c>
      <c r="M18" s="94">
        <v>72326</v>
      </c>
      <c r="N18" s="94">
        <v>67238</v>
      </c>
      <c r="O18" s="94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89"/>
      <c r="AD18" s="189"/>
      <c r="AE18" s="189"/>
      <c r="AF18" s="189"/>
      <c r="AG18" s="189"/>
      <c r="AK18" s="183">
        <v>45566</v>
      </c>
      <c r="AL18" s="41">
        <f t="shared" si="1"/>
        <v>1</v>
      </c>
      <c r="AM18" s="41">
        <f t="shared" si="15"/>
        <v>0.28397534192255153</v>
      </c>
      <c r="AN18" s="41">
        <f t="shared" si="16"/>
        <v>0.21053770834129137</v>
      </c>
      <c r="AO18" s="41">
        <f t="shared" si="2"/>
        <v>0.1636971836750285</v>
      </c>
      <c r="AP18" s="41">
        <f t="shared" si="3"/>
        <v>0.13155946514745553</v>
      </c>
      <c r="AQ18" s="41">
        <f t="shared" si="4"/>
        <v>0.12230450069939737</v>
      </c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</row>
    <row r="19" spans="2:61">
      <c r="B19" s="2" t="s">
        <v>361</v>
      </c>
      <c r="D19" s="2" t="s">
        <v>361</v>
      </c>
      <c r="G19" s="183">
        <v>45597</v>
      </c>
      <c r="H19" s="94">
        <v>574664</v>
      </c>
      <c r="I19" s="94">
        <v>574664</v>
      </c>
      <c r="J19" s="94">
        <v>167146</v>
      </c>
      <c r="K19" s="94">
        <v>106487</v>
      </c>
      <c r="L19" s="94">
        <v>80873</v>
      </c>
      <c r="M19" s="94">
        <v>73486</v>
      </c>
      <c r="N19" s="94"/>
      <c r="O19" s="94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89"/>
      <c r="AD19" s="189"/>
      <c r="AE19" s="189"/>
      <c r="AF19" s="189"/>
      <c r="AG19" s="189"/>
      <c r="AK19" s="183">
        <v>45597</v>
      </c>
      <c r="AL19" s="41">
        <f t="shared" si="1"/>
        <v>1</v>
      </c>
      <c r="AM19" s="41">
        <f t="shared" si="15"/>
        <v>0.29085865827683655</v>
      </c>
      <c r="AN19" s="41">
        <f t="shared" si="16"/>
        <v>0.18530306405134131</v>
      </c>
      <c r="AO19" s="41">
        <f t="shared" si="2"/>
        <v>0.14073093146603929</v>
      </c>
      <c r="AP19" s="41">
        <f t="shared" si="3"/>
        <v>0.12787646346386758</v>
      </c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</row>
    <row r="20" spans="2:61">
      <c r="B20" s="2" t="s">
        <v>362</v>
      </c>
      <c r="D20" s="2" t="s">
        <v>362</v>
      </c>
      <c r="G20" s="183">
        <v>45658</v>
      </c>
      <c r="H20" s="94">
        <v>594349</v>
      </c>
      <c r="I20" s="94">
        <v>594349</v>
      </c>
      <c r="J20" s="94">
        <v>154993</v>
      </c>
      <c r="K20" s="94">
        <v>112758</v>
      </c>
      <c r="L20" s="94"/>
      <c r="M20" s="94"/>
      <c r="N20" s="94"/>
      <c r="O20" s="94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89"/>
      <c r="AD20" s="189"/>
      <c r="AE20" s="189"/>
      <c r="AF20" s="189"/>
      <c r="AG20" s="189"/>
      <c r="AK20" s="183">
        <v>45658</v>
      </c>
      <c r="AL20" s="41">
        <f t="shared" si="1"/>
        <v>1</v>
      </c>
      <c r="AM20" s="41">
        <f t="shared" si="15"/>
        <v>0.26077775852234969</v>
      </c>
      <c r="AN20" s="41">
        <f t="shared" si="16"/>
        <v>0.1897168162140426</v>
      </c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</row>
    <row r="21" spans="2:61">
      <c r="B21" s="5" t="s">
        <v>28</v>
      </c>
      <c r="D21" s="5" t="s">
        <v>28</v>
      </c>
      <c r="G21" s="183">
        <v>45689</v>
      </c>
      <c r="H21" s="94">
        <v>505021</v>
      </c>
      <c r="I21" s="94">
        <v>505021</v>
      </c>
      <c r="J21" s="94">
        <v>142625</v>
      </c>
      <c r="K21" s="94"/>
      <c r="L21" s="94"/>
      <c r="M21" s="94"/>
      <c r="N21" s="94"/>
      <c r="O21" s="94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89"/>
      <c r="AD21" s="189"/>
      <c r="AE21" s="189"/>
      <c r="AF21" s="189"/>
      <c r="AG21" s="189"/>
      <c r="AK21" s="183">
        <v>45689</v>
      </c>
      <c r="AL21" s="41">
        <f t="shared" si="1"/>
        <v>1</v>
      </c>
      <c r="AM21" s="41">
        <f t="shared" si="15"/>
        <v>0.28241399862579974</v>
      </c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</row>
    <row r="22" spans="2:61">
      <c r="G22" s="183">
        <v>45717</v>
      </c>
      <c r="H22" s="94">
        <v>820307</v>
      </c>
      <c r="I22" s="94">
        <v>820307</v>
      </c>
      <c r="J22" s="94"/>
      <c r="K22" s="94"/>
      <c r="L22" s="94"/>
      <c r="M22" s="94"/>
      <c r="N22" s="94"/>
      <c r="O22" s="94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89"/>
      <c r="AD22" s="189"/>
      <c r="AE22" s="189"/>
      <c r="AF22" s="189"/>
      <c r="AG22" s="189"/>
      <c r="AK22" s="183">
        <v>45717</v>
      </c>
      <c r="AL22" s="41">
        <f t="shared" si="1"/>
        <v>1</v>
      </c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</row>
    <row r="23" spans="2:61">
      <c r="B23" s="2" t="s">
        <v>51</v>
      </c>
      <c r="D23" s="2" t="s">
        <v>51</v>
      </c>
      <c r="I23" s="94"/>
      <c r="J23" s="94"/>
      <c r="K23" s="94"/>
      <c r="L23" s="94"/>
      <c r="M23" s="94"/>
      <c r="N23" s="94"/>
      <c r="O23" s="94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89"/>
      <c r="AD23" s="189"/>
      <c r="AE23" s="189"/>
      <c r="AF23" s="189"/>
      <c r="AG23" s="189"/>
    </row>
    <row r="24" spans="2:61">
      <c r="B24" s="4" t="s">
        <v>363</v>
      </c>
      <c r="D24" s="4" t="s">
        <v>363</v>
      </c>
      <c r="I24" s="94"/>
      <c r="J24" s="94"/>
      <c r="K24" s="94"/>
      <c r="L24" s="94"/>
      <c r="M24" s="94"/>
      <c r="N24" s="94"/>
      <c r="O24" s="94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89"/>
      <c r="AD24" s="189"/>
      <c r="AE24" s="189"/>
      <c r="AF24" s="189"/>
      <c r="AG24" s="189"/>
    </row>
    <row r="25" spans="2:61">
      <c r="B25" s="3" t="s">
        <v>245</v>
      </c>
      <c r="D25" s="3" t="s">
        <v>245</v>
      </c>
      <c r="H25" t="s">
        <v>357</v>
      </c>
      <c r="I25" s="94">
        <f>AVERAGE(I17:I22)</f>
        <v>601358</v>
      </c>
      <c r="J25" s="94">
        <f t="shared" ref="J25:O25" si="17">AVERAGE(J17:J22)</f>
        <v>157596.6</v>
      </c>
      <c r="K25" s="94">
        <f t="shared" si="17"/>
        <v>111051.5</v>
      </c>
      <c r="L25" s="94">
        <f t="shared" si="17"/>
        <v>88819.666666666672</v>
      </c>
      <c r="M25" s="94">
        <f t="shared" si="17"/>
        <v>74474.666666666672</v>
      </c>
      <c r="N25" s="94">
        <f t="shared" si="17"/>
        <v>65278</v>
      </c>
      <c r="O25" s="94">
        <f t="shared" si="17"/>
        <v>59924</v>
      </c>
      <c r="P25" s="190">
        <f>AVERAGE(P9:P16)</f>
        <v>72322.875</v>
      </c>
      <c r="Q25" s="190">
        <f t="shared" ref="Q25:AA25" si="18">AVERAGE(Q9:Q16)</f>
        <v>65060.75</v>
      </c>
      <c r="R25" s="190">
        <f t="shared" si="18"/>
        <v>59491</v>
      </c>
      <c r="S25" s="190">
        <f t="shared" si="18"/>
        <v>54304.125</v>
      </c>
      <c r="T25" s="190">
        <f t="shared" si="18"/>
        <v>49307.875</v>
      </c>
      <c r="U25" s="190">
        <f t="shared" si="18"/>
        <v>45663.5</v>
      </c>
      <c r="V25" s="190">
        <f t="shared" si="18"/>
        <v>41827.857142857145</v>
      </c>
      <c r="W25" s="190">
        <f t="shared" si="18"/>
        <v>39403.166666666664</v>
      </c>
      <c r="X25" s="190">
        <f t="shared" si="18"/>
        <v>36542.400000000001</v>
      </c>
      <c r="Y25" s="190">
        <f t="shared" si="18"/>
        <v>33256.5</v>
      </c>
      <c r="Z25" s="190">
        <f t="shared" si="18"/>
        <v>31033.333333333332</v>
      </c>
      <c r="AA25" s="190">
        <f t="shared" si="18"/>
        <v>28936</v>
      </c>
      <c r="AB25" s="190">
        <f>AVERAGE(AB9:AB16)</f>
        <v>28896</v>
      </c>
      <c r="AC25" s="189">
        <f>AVERAGE(AC2:AC9)</f>
        <v>31968.285714285714</v>
      </c>
      <c r="AD25" s="189">
        <f t="shared" ref="AD25:AG25" si="19">AVERAGE(AD2:AD9)</f>
        <v>29694.166666666668</v>
      </c>
      <c r="AE25" s="189">
        <f t="shared" si="19"/>
        <v>27968</v>
      </c>
      <c r="AF25" s="189">
        <f t="shared" si="19"/>
        <v>26900.5</v>
      </c>
      <c r="AG25" s="189">
        <f t="shared" si="19"/>
        <v>25315.333333333332</v>
      </c>
      <c r="AK25" t="s">
        <v>485</v>
      </c>
      <c r="AL25" s="198">
        <f>AVERAGE(AL2:AL22)</f>
        <v>1</v>
      </c>
      <c r="AM25" s="198">
        <f t="shared" ref="AM25:BI25" si="20">AVERAGE(AM2:AM22)</f>
        <v>0.28043665775747739</v>
      </c>
      <c r="AN25" s="198">
        <f t="shared" si="20"/>
        <v>0.19151163269608995</v>
      </c>
      <c r="AO25" s="198">
        <f t="shared" si="20"/>
        <v>0.15417433736984548</v>
      </c>
      <c r="AP25" s="198">
        <f t="shared" si="20"/>
        <v>0.12977648660844812</v>
      </c>
      <c r="AQ25" s="198">
        <f t="shared" si="20"/>
        <v>0.11261991222128744</v>
      </c>
      <c r="AR25" s="198">
        <f t="shared" si="20"/>
        <v>9.8918674971255824E-2</v>
      </c>
      <c r="AS25" s="198">
        <f t="shared" si="20"/>
        <v>8.7390032839713E-2</v>
      </c>
      <c r="AT25" s="198">
        <f t="shared" si="20"/>
        <v>7.8085658831204538E-2</v>
      </c>
      <c r="AU25" s="198">
        <f t="shared" si="20"/>
        <v>7.0834715097369785E-2</v>
      </c>
      <c r="AV25" s="198">
        <f t="shared" si="20"/>
        <v>6.4350340070649714E-2</v>
      </c>
      <c r="AW25" s="198">
        <f t="shared" si="20"/>
        <v>5.8651773065199773E-2</v>
      </c>
      <c r="AX25" s="198">
        <f t="shared" si="20"/>
        <v>5.3717455302021204E-2</v>
      </c>
      <c r="AY25" s="198">
        <f t="shared" si="20"/>
        <v>4.8682666348995832E-2</v>
      </c>
      <c r="AZ25" s="198">
        <f t="shared" si="20"/>
        <v>4.5105370242035633E-2</v>
      </c>
      <c r="BA25" s="198">
        <f t="shared" si="20"/>
        <v>4.1891114818854762E-2</v>
      </c>
      <c r="BB25" s="198">
        <f t="shared" si="20"/>
        <v>3.8810945294285852E-2</v>
      </c>
      <c r="BC25" s="198">
        <f t="shared" si="20"/>
        <v>3.5988713196119404E-2</v>
      </c>
      <c r="BD25" s="198">
        <f t="shared" si="20"/>
        <v>3.3680370663666852E-2</v>
      </c>
      <c r="BE25" s="198">
        <f t="shared" si="20"/>
        <v>3.1331465944095228E-2</v>
      </c>
      <c r="BF25" s="198">
        <f t="shared" si="20"/>
        <v>2.9133619595326447E-2</v>
      </c>
      <c r="BG25" s="198">
        <f t="shared" si="20"/>
        <v>2.7050577193039872E-2</v>
      </c>
      <c r="BH25" s="198">
        <f t="shared" si="20"/>
        <v>2.5370140324679026E-2</v>
      </c>
      <c r="BI25" s="198">
        <f t="shared" si="20"/>
        <v>2.3925262996138917E-2</v>
      </c>
    </row>
    <row r="26" spans="2:61">
      <c r="B26" s="3" t="s">
        <v>364</v>
      </c>
      <c r="D26" s="3" t="s">
        <v>440</v>
      </c>
      <c r="I26" s="94"/>
      <c r="J26" s="94"/>
      <c r="K26" s="94"/>
      <c r="L26" s="94"/>
      <c r="M26" s="94"/>
      <c r="N26" s="94"/>
      <c r="O26" s="94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89"/>
      <c r="AD26" s="189"/>
      <c r="AE26" s="189"/>
      <c r="AF26" s="189"/>
      <c r="AG26" s="189"/>
    </row>
    <row r="27" spans="2:61">
      <c r="B27" s="3" t="s">
        <v>365</v>
      </c>
      <c r="D27" s="3" t="s">
        <v>441</v>
      </c>
      <c r="I27" s="94"/>
      <c r="J27" s="94"/>
      <c r="K27" s="94"/>
      <c r="L27" s="94"/>
      <c r="M27" s="94"/>
      <c r="N27" s="94"/>
      <c r="O27" s="94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89"/>
      <c r="AD27" s="189"/>
      <c r="AE27" s="189"/>
      <c r="AF27" s="189"/>
      <c r="AG27" s="189"/>
    </row>
    <row r="28" spans="2:61">
      <c r="B28" s="3" t="s">
        <v>366</v>
      </c>
      <c r="D28" s="3" t="s">
        <v>442</v>
      </c>
    </row>
    <row r="29" spans="2:61">
      <c r="B29" s="3" t="s">
        <v>367</v>
      </c>
      <c r="D29" s="3" t="s">
        <v>443</v>
      </c>
    </row>
    <row r="30" spans="2:61">
      <c r="B30" s="3" t="s">
        <v>368</v>
      </c>
      <c r="D30" s="3" t="s">
        <v>444</v>
      </c>
    </row>
    <row r="31" spans="2:61">
      <c r="B31" s="3" t="s">
        <v>369</v>
      </c>
      <c r="D31" s="3" t="s">
        <v>445</v>
      </c>
    </row>
    <row r="32" spans="2:61">
      <c r="B32" s="3" t="s">
        <v>370</v>
      </c>
      <c r="D32" s="3" t="s">
        <v>446</v>
      </c>
    </row>
    <row r="33" spans="2:33">
      <c r="B33" s="3" t="s">
        <v>371</v>
      </c>
      <c r="D33" s="3" t="s">
        <v>447</v>
      </c>
    </row>
    <row r="34" spans="2:33">
      <c r="B34" s="3" t="s">
        <v>372</v>
      </c>
      <c r="D34" s="3" t="s">
        <v>448</v>
      </c>
      <c r="I34" t="s">
        <v>465</v>
      </c>
    </row>
    <row r="35" spans="2:33">
      <c r="B35" s="3" t="s">
        <v>373</v>
      </c>
      <c r="D35" s="3" t="s">
        <v>449</v>
      </c>
      <c r="G35" t="s">
        <v>244</v>
      </c>
      <c r="H35" t="s">
        <v>271</v>
      </c>
      <c r="I35" t="s">
        <v>415</v>
      </c>
      <c r="J35" t="s">
        <v>416</v>
      </c>
      <c r="K35" t="s">
        <v>417</v>
      </c>
      <c r="L35" t="s">
        <v>418</v>
      </c>
      <c r="M35" t="s">
        <v>419</v>
      </c>
      <c r="N35" t="s">
        <v>420</v>
      </c>
      <c r="O35" t="s">
        <v>421</v>
      </c>
      <c r="P35" t="s">
        <v>422</v>
      </c>
      <c r="Q35" t="s">
        <v>423</v>
      </c>
      <c r="R35" t="s">
        <v>424</v>
      </c>
      <c r="S35" t="s">
        <v>425</v>
      </c>
      <c r="T35" t="s">
        <v>426</v>
      </c>
      <c r="U35" t="s">
        <v>427</v>
      </c>
      <c r="V35" t="s">
        <v>428</v>
      </c>
      <c r="W35" t="s">
        <v>429</v>
      </c>
      <c r="X35" t="s">
        <v>430</v>
      </c>
      <c r="Y35" t="s">
        <v>431</v>
      </c>
      <c r="Z35" t="s">
        <v>432</v>
      </c>
      <c r="AA35" t="s">
        <v>433</v>
      </c>
      <c r="AB35" t="s">
        <v>434</v>
      </c>
      <c r="AC35" t="s">
        <v>435</v>
      </c>
      <c r="AD35" t="s">
        <v>436</v>
      </c>
      <c r="AE35" t="s">
        <v>437</v>
      </c>
      <c r="AF35" t="s">
        <v>438</v>
      </c>
      <c r="AG35" t="s">
        <v>439</v>
      </c>
    </row>
    <row r="36" spans="2:33">
      <c r="B36" s="3" t="s">
        <v>374</v>
      </c>
      <c r="D36" s="3" t="s">
        <v>450</v>
      </c>
      <c r="G36" s="7">
        <v>44927</v>
      </c>
      <c r="H36">
        <v>1239076</v>
      </c>
      <c r="I36">
        <v>2485301</v>
      </c>
      <c r="J36">
        <v>1284398</v>
      </c>
      <c r="K36">
        <v>1021834</v>
      </c>
      <c r="L36">
        <v>852773</v>
      </c>
      <c r="M36">
        <v>773252</v>
      </c>
      <c r="N36">
        <v>659015</v>
      </c>
      <c r="O36">
        <v>634980</v>
      </c>
      <c r="P36">
        <v>549764</v>
      </c>
      <c r="Q36">
        <v>458576</v>
      </c>
      <c r="R36">
        <v>418587</v>
      </c>
      <c r="S36">
        <v>354534</v>
      </c>
      <c r="T36">
        <v>375898</v>
      </c>
      <c r="U36">
        <v>325391</v>
      </c>
      <c r="V36">
        <v>254867</v>
      </c>
      <c r="W36">
        <v>240313</v>
      </c>
      <c r="X36">
        <v>217505</v>
      </c>
      <c r="Y36">
        <v>204798</v>
      </c>
      <c r="Z36">
        <v>187642</v>
      </c>
      <c r="AA36">
        <v>177224</v>
      </c>
      <c r="AB36">
        <v>160133</v>
      </c>
      <c r="AC36">
        <v>140608</v>
      </c>
      <c r="AD36">
        <v>129839</v>
      </c>
      <c r="AE36">
        <v>117574</v>
      </c>
      <c r="AF36">
        <v>124440</v>
      </c>
      <c r="AG36">
        <v>111337</v>
      </c>
    </row>
    <row r="37" spans="2:33">
      <c r="B37" s="3" t="s">
        <v>375</v>
      </c>
      <c r="D37" s="3" t="s">
        <v>451</v>
      </c>
      <c r="G37" s="7">
        <v>44958</v>
      </c>
      <c r="H37">
        <v>1004707</v>
      </c>
      <c r="I37">
        <v>1931805</v>
      </c>
      <c r="J37">
        <v>1201934</v>
      </c>
      <c r="K37">
        <v>858324</v>
      </c>
      <c r="L37">
        <v>742497</v>
      </c>
      <c r="M37">
        <v>611911</v>
      </c>
      <c r="N37">
        <v>579053</v>
      </c>
      <c r="O37">
        <v>495991</v>
      </c>
      <c r="P37">
        <v>411552</v>
      </c>
      <c r="Q37">
        <v>372337</v>
      </c>
      <c r="R37">
        <v>310914</v>
      </c>
      <c r="S37">
        <v>327377</v>
      </c>
      <c r="T37">
        <v>279698</v>
      </c>
      <c r="U37">
        <v>225024</v>
      </c>
      <c r="V37">
        <v>211171</v>
      </c>
      <c r="W37">
        <v>189600</v>
      </c>
      <c r="X37">
        <v>177407</v>
      </c>
      <c r="Y37">
        <v>161899</v>
      </c>
      <c r="Z37">
        <v>151434</v>
      </c>
      <c r="AA37">
        <v>136881</v>
      </c>
      <c r="AB37">
        <v>120300</v>
      </c>
      <c r="AC37">
        <v>112036</v>
      </c>
      <c r="AD37">
        <v>101036</v>
      </c>
      <c r="AE37">
        <v>105751</v>
      </c>
      <c r="AF37">
        <v>93564</v>
      </c>
      <c r="AG37">
        <v>75336</v>
      </c>
    </row>
    <row r="38" spans="2:33">
      <c r="B38" s="3" t="s">
        <v>376</v>
      </c>
      <c r="D38" s="3" t="s">
        <v>452</v>
      </c>
      <c r="G38" s="7">
        <v>44986</v>
      </c>
      <c r="H38">
        <v>1134542</v>
      </c>
      <c r="I38">
        <v>2226285</v>
      </c>
      <c r="J38">
        <v>1270356</v>
      </c>
      <c r="K38">
        <v>943793</v>
      </c>
      <c r="L38">
        <v>744270</v>
      </c>
      <c r="M38">
        <v>682858</v>
      </c>
      <c r="N38">
        <v>573834</v>
      </c>
      <c r="O38">
        <v>474333</v>
      </c>
      <c r="P38">
        <v>427848</v>
      </c>
      <c r="Q38">
        <v>356048</v>
      </c>
      <c r="R38">
        <v>373283</v>
      </c>
      <c r="S38">
        <v>315973</v>
      </c>
      <c r="T38">
        <v>252338</v>
      </c>
      <c r="U38">
        <v>237827</v>
      </c>
      <c r="V38">
        <v>213869</v>
      </c>
      <c r="W38">
        <v>198079</v>
      </c>
      <c r="X38">
        <v>180432</v>
      </c>
      <c r="Y38">
        <v>168840</v>
      </c>
      <c r="Z38">
        <v>151775</v>
      </c>
      <c r="AA38">
        <v>133951</v>
      </c>
      <c r="AB38">
        <v>124462</v>
      </c>
      <c r="AC38">
        <v>111768</v>
      </c>
      <c r="AD38">
        <v>117385</v>
      </c>
      <c r="AE38">
        <v>103467</v>
      </c>
      <c r="AF38">
        <v>83552</v>
      </c>
      <c r="AG38">
        <v>89097</v>
      </c>
    </row>
    <row r="39" spans="2:33">
      <c r="B39" s="3" t="s">
        <v>377</v>
      </c>
      <c r="D39" s="3" t="s">
        <v>453</v>
      </c>
      <c r="G39" s="7">
        <v>45017</v>
      </c>
      <c r="H39">
        <v>1112613</v>
      </c>
      <c r="I39">
        <v>2188749</v>
      </c>
      <c r="J39">
        <v>1323587</v>
      </c>
      <c r="K39">
        <v>897258</v>
      </c>
      <c r="L39">
        <v>790267</v>
      </c>
      <c r="M39">
        <v>641541</v>
      </c>
      <c r="N39">
        <v>518754</v>
      </c>
      <c r="O39">
        <v>462597</v>
      </c>
      <c r="P39">
        <v>381045</v>
      </c>
      <c r="Q39">
        <v>399248</v>
      </c>
      <c r="R39">
        <v>335912</v>
      </c>
      <c r="S39">
        <v>266446</v>
      </c>
      <c r="T39">
        <v>250284</v>
      </c>
      <c r="U39">
        <v>229492</v>
      </c>
      <c r="V39">
        <v>208288</v>
      </c>
      <c r="W39">
        <v>190428</v>
      </c>
      <c r="X39">
        <v>178017</v>
      </c>
      <c r="Y39">
        <v>158813</v>
      </c>
      <c r="Z39">
        <v>138786</v>
      </c>
      <c r="AA39">
        <v>129529</v>
      </c>
      <c r="AB39">
        <v>115575</v>
      </c>
      <c r="AC39">
        <v>122457</v>
      </c>
      <c r="AD39">
        <v>106889</v>
      </c>
      <c r="AE39">
        <v>86099</v>
      </c>
      <c r="AF39">
        <v>91980</v>
      </c>
    </row>
    <row r="40" spans="2:33">
      <c r="B40" s="3" t="s">
        <v>378</v>
      </c>
      <c r="D40" s="3" t="s">
        <v>454</v>
      </c>
      <c r="G40" s="7">
        <v>45047</v>
      </c>
      <c r="H40">
        <v>1023596</v>
      </c>
      <c r="I40">
        <v>2151562</v>
      </c>
      <c r="J40">
        <v>1264663</v>
      </c>
      <c r="K40">
        <v>953473</v>
      </c>
      <c r="L40">
        <v>732457</v>
      </c>
      <c r="M40">
        <v>578537</v>
      </c>
      <c r="N40">
        <v>508350</v>
      </c>
      <c r="O40">
        <v>413324</v>
      </c>
      <c r="P40">
        <v>427507</v>
      </c>
      <c r="Q40">
        <v>357426</v>
      </c>
      <c r="R40">
        <v>281733</v>
      </c>
      <c r="S40">
        <v>262271</v>
      </c>
      <c r="T40">
        <v>237510</v>
      </c>
      <c r="U40">
        <v>221065</v>
      </c>
      <c r="V40">
        <v>199357</v>
      </c>
      <c r="W40">
        <v>183959</v>
      </c>
      <c r="X40">
        <v>164579</v>
      </c>
      <c r="Y40">
        <v>143023</v>
      </c>
      <c r="Z40">
        <v>134254</v>
      </c>
      <c r="AA40">
        <v>120378</v>
      </c>
      <c r="AB40">
        <v>126126</v>
      </c>
      <c r="AC40">
        <v>111779</v>
      </c>
      <c r="AD40">
        <v>89169</v>
      </c>
      <c r="AE40">
        <v>94672</v>
      </c>
    </row>
    <row r="41" spans="2:33">
      <c r="B41" s="3" t="s">
        <v>379</v>
      </c>
      <c r="D41" s="3" t="s">
        <v>455</v>
      </c>
      <c r="G41" s="7">
        <v>45078</v>
      </c>
      <c r="H41">
        <v>1056384</v>
      </c>
      <c r="I41">
        <v>2230672</v>
      </c>
      <c r="J41">
        <v>1394993</v>
      </c>
      <c r="K41">
        <v>907862</v>
      </c>
      <c r="L41">
        <v>683985</v>
      </c>
      <c r="M41">
        <v>583497</v>
      </c>
      <c r="N41">
        <v>467004</v>
      </c>
      <c r="O41">
        <v>477867</v>
      </c>
      <c r="P41">
        <v>395730</v>
      </c>
      <c r="Q41">
        <v>310558</v>
      </c>
      <c r="R41">
        <v>285556</v>
      </c>
      <c r="S41">
        <v>257358</v>
      </c>
      <c r="T41">
        <v>235738</v>
      </c>
      <c r="U41">
        <v>217306</v>
      </c>
      <c r="V41">
        <v>196726</v>
      </c>
      <c r="W41">
        <v>176459</v>
      </c>
      <c r="X41">
        <v>154355</v>
      </c>
      <c r="Y41">
        <v>144239</v>
      </c>
      <c r="Z41">
        <v>128617</v>
      </c>
      <c r="AA41">
        <v>135078</v>
      </c>
      <c r="AB41">
        <v>118971</v>
      </c>
      <c r="AC41">
        <v>96161</v>
      </c>
      <c r="AD41">
        <v>101567</v>
      </c>
    </row>
    <row r="42" spans="2:33">
      <c r="B42" s="3" t="s">
        <v>380</v>
      </c>
      <c r="D42" s="3" t="s">
        <v>456</v>
      </c>
      <c r="G42" s="7">
        <v>45108</v>
      </c>
      <c r="H42">
        <v>1101463</v>
      </c>
      <c r="I42">
        <v>2324905</v>
      </c>
      <c r="J42">
        <v>1338964</v>
      </c>
      <c r="K42">
        <v>875520</v>
      </c>
      <c r="L42">
        <v>714380</v>
      </c>
      <c r="M42">
        <v>559707</v>
      </c>
      <c r="N42">
        <v>568576</v>
      </c>
      <c r="O42">
        <v>468145</v>
      </c>
      <c r="P42">
        <v>363506</v>
      </c>
      <c r="Q42">
        <v>334521</v>
      </c>
      <c r="R42">
        <v>300699</v>
      </c>
      <c r="S42">
        <v>274864</v>
      </c>
      <c r="T42">
        <v>250932</v>
      </c>
      <c r="U42">
        <v>233919</v>
      </c>
      <c r="V42">
        <v>206781</v>
      </c>
      <c r="W42">
        <v>179883</v>
      </c>
      <c r="X42">
        <v>166890</v>
      </c>
      <c r="Y42">
        <v>148965</v>
      </c>
      <c r="Z42">
        <v>157106</v>
      </c>
      <c r="AA42">
        <v>139253</v>
      </c>
      <c r="AB42">
        <v>110851</v>
      </c>
      <c r="AC42">
        <v>118356</v>
      </c>
    </row>
    <row r="43" spans="2:33">
      <c r="B43" s="3" t="s">
        <v>381</v>
      </c>
      <c r="D43" s="3" t="s">
        <v>457</v>
      </c>
      <c r="G43" s="7">
        <v>45139</v>
      </c>
      <c r="H43">
        <v>934677</v>
      </c>
      <c r="I43">
        <v>1939476</v>
      </c>
      <c r="J43">
        <v>1079377</v>
      </c>
      <c r="K43">
        <v>762658</v>
      </c>
      <c r="L43">
        <v>573236</v>
      </c>
      <c r="M43">
        <v>560728</v>
      </c>
      <c r="N43">
        <v>454920</v>
      </c>
      <c r="O43">
        <v>351423</v>
      </c>
      <c r="P43">
        <v>320882</v>
      </c>
      <c r="Q43">
        <v>286038</v>
      </c>
      <c r="R43">
        <v>260072</v>
      </c>
      <c r="S43">
        <v>235939</v>
      </c>
      <c r="T43">
        <v>217880</v>
      </c>
      <c r="U43">
        <v>198359</v>
      </c>
      <c r="V43">
        <v>169985</v>
      </c>
      <c r="W43">
        <v>156710</v>
      </c>
      <c r="X43">
        <v>139397</v>
      </c>
      <c r="Y43">
        <v>146083</v>
      </c>
      <c r="Z43">
        <v>130149</v>
      </c>
      <c r="AA43">
        <v>104289</v>
      </c>
      <c r="AB43">
        <v>109961</v>
      </c>
    </row>
    <row r="44" spans="2:33">
      <c r="B44" s="3" t="s">
        <v>382</v>
      </c>
      <c r="D44" s="3" t="s">
        <v>458</v>
      </c>
      <c r="G44" s="7">
        <v>45170</v>
      </c>
      <c r="H44">
        <v>936045</v>
      </c>
      <c r="I44">
        <v>1814226</v>
      </c>
      <c r="J44">
        <v>1015496</v>
      </c>
      <c r="K44">
        <v>649382</v>
      </c>
      <c r="L44">
        <v>609893</v>
      </c>
      <c r="M44">
        <v>478624</v>
      </c>
      <c r="N44">
        <v>363272</v>
      </c>
      <c r="O44">
        <v>325781</v>
      </c>
      <c r="P44">
        <v>288101</v>
      </c>
      <c r="Q44">
        <v>259500</v>
      </c>
      <c r="R44">
        <v>234027</v>
      </c>
      <c r="S44">
        <v>213738</v>
      </c>
      <c r="T44">
        <v>190843</v>
      </c>
      <c r="U44">
        <v>169355</v>
      </c>
      <c r="V44">
        <v>155722</v>
      </c>
      <c r="W44">
        <v>138356</v>
      </c>
      <c r="X44">
        <v>143884</v>
      </c>
      <c r="Y44">
        <v>127200</v>
      </c>
      <c r="Z44">
        <v>101412</v>
      </c>
      <c r="AA44">
        <v>107586</v>
      </c>
    </row>
    <row r="45" spans="2:33">
      <c r="B45" s="3" t="s">
        <v>383</v>
      </c>
      <c r="D45" s="3" t="s">
        <v>459</v>
      </c>
      <c r="G45" s="7">
        <v>45200</v>
      </c>
      <c r="H45">
        <v>939224</v>
      </c>
      <c r="I45">
        <v>1820274</v>
      </c>
      <c r="J45">
        <v>929919</v>
      </c>
      <c r="K45">
        <v>741852</v>
      </c>
      <c r="L45">
        <v>553016</v>
      </c>
      <c r="M45">
        <v>406279</v>
      </c>
      <c r="N45">
        <v>357907</v>
      </c>
      <c r="O45">
        <v>314389</v>
      </c>
      <c r="P45">
        <v>280472</v>
      </c>
      <c r="Q45">
        <v>250409</v>
      </c>
      <c r="R45">
        <v>227598</v>
      </c>
      <c r="S45">
        <v>204923</v>
      </c>
      <c r="T45">
        <v>180136</v>
      </c>
      <c r="U45">
        <v>168785</v>
      </c>
      <c r="V45">
        <v>149851</v>
      </c>
      <c r="W45">
        <v>154133</v>
      </c>
      <c r="X45">
        <v>136481</v>
      </c>
      <c r="Y45">
        <v>109656</v>
      </c>
      <c r="Z45">
        <v>116266</v>
      </c>
    </row>
    <row r="46" spans="2:33">
      <c r="B46" s="3" t="s">
        <v>384</v>
      </c>
      <c r="D46" s="3" t="s">
        <v>460</v>
      </c>
      <c r="G46" s="7">
        <v>45231</v>
      </c>
      <c r="H46">
        <v>825993</v>
      </c>
      <c r="I46">
        <v>1611508</v>
      </c>
      <c r="J46">
        <v>1041538</v>
      </c>
      <c r="K46">
        <v>654481</v>
      </c>
      <c r="L46">
        <v>463877</v>
      </c>
      <c r="M46">
        <v>395288</v>
      </c>
      <c r="N46">
        <v>340683</v>
      </c>
      <c r="O46">
        <v>298714</v>
      </c>
      <c r="P46">
        <v>266948</v>
      </c>
      <c r="Q46">
        <v>239983</v>
      </c>
      <c r="R46">
        <v>214721</v>
      </c>
      <c r="S46">
        <v>188542</v>
      </c>
      <c r="T46">
        <v>176729</v>
      </c>
      <c r="U46">
        <v>159570</v>
      </c>
      <c r="V46">
        <v>164027</v>
      </c>
      <c r="W46">
        <v>144830</v>
      </c>
      <c r="X46">
        <v>115424</v>
      </c>
      <c r="Y46">
        <v>121807</v>
      </c>
    </row>
    <row r="47" spans="2:33">
      <c r="B47" s="3" t="s">
        <v>385</v>
      </c>
      <c r="D47" s="3" t="s">
        <v>461</v>
      </c>
      <c r="G47" s="7">
        <v>45261</v>
      </c>
      <c r="H47">
        <v>990107</v>
      </c>
      <c r="I47">
        <v>2057903</v>
      </c>
      <c r="J47">
        <v>1032684</v>
      </c>
      <c r="K47">
        <v>630894</v>
      </c>
      <c r="L47">
        <v>517178</v>
      </c>
      <c r="M47">
        <v>436481</v>
      </c>
      <c r="N47">
        <v>380864</v>
      </c>
      <c r="O47">
        <v>338259</v>
      </c>
      <c r="P47">
        <v>306005</v>
      </c>
      <c r="Q47">
        <v>272001</v>
      </c>
      <c r="R47">
        <v>237635</v>
      </c>
      <c r="S47">
        <v>222709</v>
      </c>
      <c r="T47">
        <v>199129</v>
      </c>
      <c r="U47">
        <v>212916</v>
      </c>
      <c r="V47">
        <v>183162</v>
      </c>
      <c r="W47">
        <v>145983</v>
      </c>
      <c r="X47">
        <v>156047</v>
      </c>
    </row>
    <row r="48" spans="2:33">
      <c r="B48" s="3" t="s">
        <v>386</v>
      </c>
      <c r="D48" s="3" t="s">
        <v>462</v>
      </c>
      <c r="G48" s="7">
        <v>45292</v>
      </c>
      <c r="H48">
        <v>962570</v>
      </c>
      <c r="I48">
        <v>1785020</v>
      </c>
      <c r="J48">
        <v>831723</v>
      </c>
      <c r="K48">
        <v>573017</v>
      </c>
      <c r="L48">
        <v>458224</v>
      </c>
      <c r="M48">
        <v>386126</v>
      </c>
      <c r="N48">
        <v>338325</v>
      </c>
      <c r="O48">
        <v>302270</v>
      </c>
      <c r="P48">
        <v>266825</v>
      </c>
      <c r="Q48">
        <v>230572</v>
      </c>
      <c r="R48">
        <v>213822</v>
      </c>
      <c r="S48">
        <v>190767</v>
      </c>
      <c r="T48">
        <v>200603</v>
      </c>
      <c r="U48">
        <v>178735</v>
      </c>
      <c r="V48">
        <v>140439</v>
      </c>
      <c r="W48">
        <v>148372</v>
      </c>
    </row>
    <row r="49" spans="2:33">
      <c r="B49" s="3" t="s">
        <v>387</v>
      </c>
      <c r="D49" s="3" t="s">
        <v>463</v>
      </c>
      <c r="G49" s="7">
        <v>45323</v>
      </c>
      <c r="H49">
        <v>857411</v>
      </c>
      <c r="I49">
        <v>1517225</v>
      </c>
      <c r="J49">
        <v>748742</v>
      </c>
      <c r="K49">
        <v>494000</v>
      </c>
      <c r="L49">
        <v>392940</v>
      </c>
      <c r="M49">
        <v>330742</v>
      </c>
      <c r="N49">
        <v>290179</v>
      </c>
      <c r="O49">
        <v>252658</v>
      </c>
      <c r="P49">
        <v>216517</v>
      </c>
      <c r="Q49">
        <v>200501</v>
      </c>
      <c r="R49">
        <v>179159</v>
      </c>
      <c r="S49">
        <v>184553</v>
      </c>
      <c r="T49">
        <v>161765</v>
      </c>
      <c r="U49">
        <v>130787</v>
      </c>
      <c r="V49">
        <v>136745</v>
      </c>
    </row>
    <row r="50" spans="2:33">
      <c r="B50" s="3" t="s">
        <v>388</v>
      </c>
      <c r="D50" s="3" t="s">
        <v>464</v>
      </c>
      <c r="G50" s="7">
        <v>45352</v>
      </c>
      <c r="H50">
        <v>849801</v>
      </c>
      <c r="I50">
        <v>1526898</v>
      </c>
      <c r="J50">
        <v>724406</v>
      </c>
      <c r="K50">
        <v>500435</v>
      </c>
      <c r="L50">
        <v>406383</v>
      </c>
      <c r="M50">
        <v>348965</v>
      </c>
      <c r="N50">
        <v>299763</v>
      </c>
      <c r="O50">
        <v>255082</v>
      </c>
      <c r="P50">
        <v>234329</v>
      </c>
      <c r="Q50">
        <v>209016</v>
      </c>
      <c r="R50">
        <v>217816</v>
      </c>
      <c r="S50">
        <v>189284</v>
      </c>
      <c r="T50">
        <v>151473</v>
      </c>
      <c r="U50">
        <v>160976</v>
      </c>
    </row>
    <row r="51" spans="2:33">
      <c r="G51" s="7">
        <v>45536</v>
      </c>
      <c r="H51">
        <v>564048</v>
      </c>
      <c r="I51">
        <v>1050651</v>
      </c>
      <c r="J51">
        <v>594552</v>
      </c>
      <c r="K51">
        <v>392935</v>
      </c>
      <c r="L51">
        <v>363652</v>
      </c>
      <c r="M51">
        <v>300276</v>
      </c>
      <c r="N51">
        <v>231174</v>
      </c>
      <c r="O51">
        <v>235264</v>
      </c>
    </row>
    <row r="52" spans="2:33">
      <c r="B52" s="2" t="s">
        <v>269</v>
      </c>
      <c r="G52" s="7">
        <v>45566</v>
      </c>
      <c r="H52">
        <v>549759</v>
      </c>
      <c r="I52">
        <v>1061724</v>
      </c>
      <c r="J52">
        <v>563072</v>
      </c>
      <c r="K52">
        <v>448174</v>
      </c>
      <c r="L52">
        <v>352677</v>
      </c>
      <c r="M52">
        <v>268350</v>
      </c>
      <c r="N52">
        <v>268746</v>
      </c>
    </row>
    <row r="53" spans="2:33">
      <c r="B53" s="2" t="s">
        <v>356</v>
      </c>
      <c r="D53" s="2" t="s">
        <v>269</v>
      </c>
      <c r="G53" s="7">
        <v>45597</v>
      </c>
      <c r="H53">
        <v>574664</v>
      </c>
      <c r="I53">
        <v>1039739</v>
      </c>
      <c r="J53">
        <v>618713</v>
      </c>
      <c r="K53">
        <v>407451</v>
      </c>
      <c r="L53">
        <v>297742</v>
      </c>
      <c r="M53">
        <v>292035</v>
      </c>
    </row>
    <row r="54" spans="2:33">
      <c r="B54" s="2" t="s">
        <v>169</v>
      </c>
      <c r="D54" s="2" t="s">
        <v>356</v>
      </c>
      <c r="G54" s="7">
        <v>45658</v>
      </c>
      <c r="H54">
        <v>594349</v>
      </c>
      <c r="I54">
        <v>1117752</v>
      </c>
      <c r="J54">
        <v>528973</v>
      </c>
      <c r="K54">
        <v>421828</v>
      </c>
    </row>
    <row r="55" spans="2:33">
      <c r="B55" s="2" t="s">
        <v>270</v>
      </c>
      <c r="D55" s="2" t="s">
        <v>169</v>
      </c>
      <c r="G55" s="7">
        <v>45689</v>
      </c>
      <c r="H55">
        <v>505021</v>
      </c>
      <c r="I55">
        <v>907290</v>
      </c>
      <c r="J55">
        <v>521647</v>
      </c>
    </row>
    <row r="56" spans="2:33">
      <c r="D56" s="2" t="s">
        <v>270</v>
      </c>
      <c r="G56" s="7">
        <v>45717</v>
      </c>
      <c r="H56">
        <v>820307</v>
      </c>
      <c r="I56">
        <v>1388782</v>
      </c>
    </row>
    <row r="59" spans="2:33">
      <c r="H59" t="s">
        <v>357</v>
      </c>
      <c r="I59" s="94">
        <f>AVERAGE(I51:I56)</f>
        <v>1094323</v>
      </c>
      <c r="J59" s="94">
        <f t="shared" ref="J59:O59" si="21">AVERAGE(J51:J56)</f>
        <v>565391.4</v>
      </c>
      <c r="K59" s="94">
        <f t="shared" si="21"/>
        <v>417597</v>
      </c>
      <c r="L59" s="94">
        <f t="shared" si="21"/>
        <v>338023.66666666669</v>
      </c>
      <c r="M59" s="94">
        <f t="shared" si="21"/>
        <v>286887</v>
      </c>
      <c r="N59" s="94">
        <f t="shared" si="21"/>
        <v>249960</v>
      </c>
      <c r="O59" s="94">
        <f t="shared" si="21"/>
        <v>235264</v>
      </c>
      <c r="P59" s="190">
        <f>AVERAGE(P43:P50)</f>
        <v>272509.875</v>
      </c>
      <c r="Q59" s="190">
        <f t="shared" ref="Q59:AA59" si="22">AVERAGE(Q43:Q50)</f>
        <v>243502.5</v>
      </c>
      <c r="R59" s="190">
        <f t="shared" si="22"/>
        <v>223106.25</v>
      </c>
      <c r="S59" s="190">
        <f t="shared" si="22"/>
        <v>203806.875</v>
      </c>
      <c r="T59" s="190">
        <f t="shared" si="22"/>
        <v>184819.75</v>
      </c>
      <c r="U59" s="190">
        <f t="shared" si="22"/>
        <v>172435.375</v>
      </c>
      <c r="V59" s="190">
        <f t="shared" si="22"/>
        <v>157133</v>
      </c>
      <c r="W59" s="190">
        <f t="shared" si="22"/>
        <v>148064</v>
      </c>
      <c r="X59" s="190">
        <f t="shared" si="22"/>
        <v>138246.6</v>
      </c>
      <c r="Y59" s="190">
        <f t="shared" si="22"/>
        <v>126186.5</v>
      </c>
      <c r="Z59" s="190">
        <f t="shared" si="22"/>
        <v>115942.33333333333</v>
      </c>
      <c r="AA59" s="190">
        <f t="shared" si="22"/>
        <v>105937.5</v>
      </c>
      <c r="AB59" s="190">
        <f>AVERAGE(AB43:AB50)</f>
        <v>109961</v>
      </c>
      <c r="AC59" s="189">
        <f>AVERAGE(AC36:AC43)</f>
        <v>116166.42857142857</v>
      </c>
      <c r="AD59" s="189">
        <f t="shared" ref="AD59:AG59" si="23">AVERAGE(AD36:AD43)</f>
        <v>107647.5</v>
      </c>
      <c r="AE59" s="189">
        <f t="shared" si="23"/>
        <v>101512.6</v>
      </c>
      <c r="AF59" s="189">
        <f t="shared" si="23"/>
        <v>98384</v>
      </c>
      <c r="AG59" s="189">
        <f t="shared" si="23"/>
        <v>91923.333333333328</v>
      </c>
    </row>
  </sheetData>
  <mergeCells count="2">
    <mergeCell ref="E1:E1048576"/>
    <mergeCell ref="C1:C1048576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new paying 续费率</vt:lpstr>
      <vt:lpstr>订阅收入和广告收入日均损失</vt:lpstr>
      <vt:lpstr>新用户次日留存率</vt:lpstr>
      <vt:lpstr>活跃天数 国内做法</vt:lpstr>
      <vt:lpstr>1年2年3年的活跃 价值预估</vt:lpstr>
      <vt:lpstr>新增N个月的付费收入</vt:lpstr>
      <vt:lpstr>新增n个月的广告收入</vt:lpstr>
      <vt:lpstr>新增n个月的活跃人数和活跃天数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2025-04-28T09:02:57Z</dcterms:created>
  <dcterms:modified xsi:type="dcterms:W3CDTF">2025-05-08T10:53:16Z</dcterms:modified>
</cp:coreProperties>
</file>