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houman/Desktop/AirBrush-V7.6.0 - Android&amp;iOS 新用户限免实验分析/"/>
    </mc:Choice>
  </mc:AlternateContent>
  <xr:revisionPtr revIDLastSave="0" documentId="13_ncr:1_{28CBB4D8-BB5B-984F-955C-5AABB20E87EA}" xr6:coauthVersionLast="38" xr6:coauthVersionMax="38" xr10:uidLastSave="{00000000-0000-0000-0000-000000000000}"/>
  <bookViews>
    <workbookView xWindow="0" yWindow="760" windowWidth="28760" windowHeight="18880" xr2:uid="{483683CC-5E73-2A45-92EA-D9FA77492D00}"/>
  </bookViews>
  <sheets>
    <sheet name="新增7天内的收入" sheetId="1" r:id="rId1"/>
  </sheets>
  <definedNames>
    <definedName name="_xlnm._FilterDatabase" localSheetId="0" hidden="1">新增7天内的收入!$C$1:$M$286</definedName>
  </definedNames>
  <calcPr calcId="162913"/>
  <pivotCaches>
    <pivotCache cacheId="112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4" i="1" l="1"/>
  <c r="X35" i="1"/>
  <c r="W34" i="1"/>
  <c r="W35" i="1"/>
  <c r="X33" i="1"/>
  <c r="W33" i="1"/>
  <c r="X31" i="1"/>
  <c r="X32" i="1"/>
  <c r="X30" i="1"/>
  <c r="W32" i="1"/>
  <c r="W31" i="1"/>
  <c r="W30" i="1"/>
  <c r="V34" i="1"/>
  <c r="V35" i="1"/>
  <c r="V33" i="1"/>
  <c r="V31" i="1"/>
  <c r="V32" i="1"/>
  <c r="V30" i="1"/>
  <c r="T26" i="1"/>
  <c r="T27" i="1"/>
</calcChain>
</file>

<file path=xl/sharedStrings.xml><?xml version="1.0" encoding="utf-8"?>
<sst xmlns="http://schemas.openxmlformats.org/spreadsheetml/2006/main" count="790" uniqueCount="147">
  <si>
    <t>new_date</t>
  </si>
  <si>
    <t>platform</t>
  </si>
  <si>
    <t>ab_code</t>
  </si>
  <si>
    <t>is_ua</t>
  </si>
  <si>
    <t>edit_enter_uv</t>
  </si>
  <si>
    <t>sub_success_uv</t>
  </si>
  <si>
    <t>sub_success_to_paid_uv</t>
  </si>
  <si>
    <t>sub_success_to_paid_gmv</t>
  </si>
  <si>
    <t>sub_success_7uv</t>
  </si>
  <si>
    <t>sub_success_to_paid_7uv</t>
  </si>
  <si>
    <t>sub_success_to_paid_7gmv</t>
  </si>
  <si>
    <t>IOS</t>
  </si>
  <si>
    <t>Organic</t>
  </si>
  <si>
    <t>ANDROID</t>
  </si>
  <si>
    <t>non-Organic</t>
  </si>
  <si>
    <t>行标签</t>
  </si>
  <si>
    <t>总计</t>
  </si>
  <si>
    <t>求和项:sub_success_to_paid_7gmv</t>
  </si>
  <si>
    <t>(多项)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</si>
  <si>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</si>
  <si>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</si>
  <si>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</si>
  <si>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</si>
  <si>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event_name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</si>
  <si>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  <r>
      <rPr>
        <sz val="12"/>
        <color rgb="FF202124"/>
        <rFont val="Menlo"/>
        <family val="2"/>
      </rPr>
      <t xml:space="preserve"> </t>
    </r>
  </si>
  <si>
    <t>-- ,event_timestamp</t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</si>
  <si>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'source_module'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source_module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</si>
  <si>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'source_0'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source_0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</si>
  <si>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'source_1'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source_1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</si>
  <si>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'duration'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duration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</si>
  <si>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'SKU'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sku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</si>
  <si>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'order_id'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</si>
  <si>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</si>
  <si>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(*)</t>
    </r>
    <r>
      <rPr>
        <sz val="12"/>
        <color rgb="FF000000"/>
        <rFont val="Menlo"/>
        <family val="2"/>
      </rPr>
      <t>pv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</si>
  <si>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`airbrush-1324.analytics_152810936.events_*`</t>
    </r>
    <r>
      <rPr>
        <sz val="12"/>
        <color rgb="FF202124"/>
        <rFont val="Menlo"/>
        <family val="2"/>
      </rPr>
      <t xml:space="preserve"> </t>
    </r>
  </si>
  <si>
    <t xml:space="preserve">-- `dataintegration-265403.analytics.dwd_dzp_events_function`('2025-02-28','2025-03-16','airbrush',false) -- 这个表跑不动 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</si>
  <si>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</si>
  <si>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'first_open'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</si>
  <si>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</si>
  <si>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</si>
  <si>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6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8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9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13</t>
    </r>
  </si>
  <si>
    <t>)</t>
  </si>
  <si>
    <r>
      <t>,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</si>
  <si>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distinct</t>
    </r>
    <r>
      <rPr>
        <sz val="12"/>
        <color rgb="FF202124"/>
        <rFont val="Menlo"/>
        <family val="2"/>
      </rPr>
      <t xml:space="preserve"> 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</si>
  <si>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</si>
  <si>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,</t>
    </r>
    <r>
      <rPr>
        <sz val="12"/>
        <color rgb="FF000000"/>
        <rFont val="Menlo"/>
        <family val="2"/>
      </rPr>
      <t>geo.country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country</t>
    </r>
  </si>
  <si>
    <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</si>
  <si>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func.getUserprop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user_properties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'device_id'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device_id</t>
    </r>
  </si>
  <si>
    <r>
      <t>,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ab_code</t>
    </r>
  </si>
  <si>
    <t>--- `dataintegration-265403.analytics.dwd_dzp_events_function`('2025-02-28','2025-03-16','airbrush',false)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</si>
  <si>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</si>
  <si>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</si>
  <si>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func.getParams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event_params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'current_abcode'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.</t>
    </r>
    <r>
      <rPr>
        <sz val="12"/>
        <color rgb="FF000000"/>
        <rFont val="Menlo"/>
        <family val="2"/>
      </rPr>
      <t>string_value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'11072'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'11073'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'11074'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'11075'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'11076'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'11077'</t>
    </r>
    <r>
      <rPr>
        <sz val="12"/>
        <color rgb="FF3C4043"/>
        <rFont val="Menlo"/>
        <family val="2"/>
      </rPr>
      <t>)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</si>
  <si>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'20250421'</t>
    </r>
  </si>
  <si>
    <r>
      <t>)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</si>
  <si>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</si>
  <si>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is_ua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 xml:space="preserve">-- 用于观测用户是否渠道用户 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</si>
  <si>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`dataintegration-265403.stat.stat_active_advice_detail_d`</t>
    </r>
    <r>
      <rPr>
        <sz val="12"/>
        <color rgb="FF202124"/>
        <rFont val="Menlo"/>
        <family val="2"/>
      </rPr>
      <t xml:space="preserve"> </t>
    </r>
  </si>
  <si>
    <r>
      <t>app_name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is_new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</si>
  <si>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event_date_hk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'2025-03-20'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'2025-04-20'</t>
    </r>
  </si>
  <si>
    <r>
      <t>,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限制进入实验的人,且实验触发日期在进入实验之后</t>
    </r>
  </si>
  <si>
    <r>
      <t>a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  <r>
      <rPr>
        <sz val="12"/>
        <color rgb="FF1967D2"/>
        <rFont val="Menlo"/>
        <family val="2"/>
      </rPr>
      <t>except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ab_code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b.ab_code</t>
    </r>
  </si>
  <si>
    <r>
      <t>,</t>
    </r>
    <r>
      <rPr>
        <sz val="12"/>
        <color rgb="FF000000"/>
        <rFont val="Menlo"/>
        <family val="2"/>
      </rPr>
      <t>act.is_ua</t>
    </r>
  </si>
  <si>
    <r>
      <t>,</t>
    </r>
    <r>
      <rPr>
        <sz val="12"/>
        <color rgb="FF000000"/>
        <rFont val="Menlo"/>
        <family val="2"/>
      </rPr>
      <t>act.new_date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</si>
  <si>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date_add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act.new_date</t>
    </r>
    <r>
      <rPr>
        <sz val="12"/>
        <color rgb="FF202124"/>
        <rFont val="Menlo"/>
        <family val="2"/>
      </rPr>
      <t xml:space="preserve"> ,</t>
    </r>
    <r>
      <rPr>
        <sz val="12"/>
        <color rgb="FF1967D2"/>
        <rFont val="Menlo"/>
        <family val="2"/>
      </rPr>
      <t>interval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</si>
  <si>
    <t>from</t>
  </si>
  <si>
    <r>
      <t>(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*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eves</t>
    </r>
    <r>
      <rPr>
        <sz val="12"/>
        <color rgb="FF202124"/>
        <rFont val="Menlo"/>
        <family val="2"/>
      </rPr>
      <t xml:space="preserve"> 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</si>
  <si>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&lt;&gt; </t>
    </r>
    <r>
      <rPr>
        <sz val="12"/>
        <color rgb="FF188038"/>
        <rFont val="Menlo"/>
        <family val="2"/>
      </rPr>
      <t>'abcode_enter_test'</t>
    </r>
    <r>
      <rPr>
        <sz val="12"/>
        <color rgb="FF202124"/>
        <rFont val="Menlo"/>
        <family val="2"/>
      </rPr>
      <t xml:space="preserve"> </t>
    </r>
  </si>
  <si>
    <r>
      <t>)</t>
    </r>
    <r>
      <rPr>
        <sz val="12"/>
        <color rgb="FF000000"/>
        <rFont val="Menlo"/>
        <family val="2"/>
      </rPr>
      <t>a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</si>
  <si>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enter_test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b.user_pseudo_id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</si>
  <si>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act.user_pseudo_id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--新增用户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</si>
  <si>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b.date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事件发生的日期均 &gt;= 进入实验日期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</si>
  <si>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act.new_date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date_add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act.new_date</t>
    </r>
    <r>
      <rPr>
        <sz val="12"/>
        <color rgb="FF202124"/>
        <rFont val="Menlo"/>
        <family val="2"/>
      </rPr>
      <t xml:space="preserve"> ,</t>
    </r>
    <r>
      <rPr>
        <sz val="12"/>
        <color rgb="FF1967D2"/>
        <rFont val="Menlo"/>
        <family val="2"/>
      </rPr>
      <t>interval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7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day</t>
    </r>
    <r>
      <rPr>
        <sz val="12"/>
        <color rgb="FF3C4043"/>
        <rFont val="Menlo"/>
        <family val="2"/>
      </rPr>
      <t>)</t>
    </r>
  </si>
  <si>
    <r>
      <t>,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</si>
  <si>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t>select</t>
  </si>
  <si>
    <r>
      <t>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payment_price_usd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</si>
  <si>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next_standard_order_date</t>
    </r>
  </si>
  <si>
    <r>
      <t>,</t>
    </r>
    <r>
      <rPr>
        <sz val="12"/>
        <color rgb="FF1967D2"/>
        <rFont val="Menlo"/>
        <family val="2"/>
      </rPr>
      <t>lead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payment_price_usd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original_order_id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sku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next_payment_price_usd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</si>
  <si>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`dataintegration-265403.subscription.dwd_trial_subscription_retention_daily_temp`</t>
    </r>
    <r>
      <rPr>
        <sz val="12"/>
        <color rgb="FF202124"/>
        <rFont val="Menlo"/>
        <family val="2"/>
      </rPr>
      <t xml:space="preserve"> </t>
    </r>
  </si>
  <si>
    <r>
      <t>app_id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'AirBrush'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</si>
  <si>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'2025-04-02'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</si>
  <si>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</si>
  <si>
    <r>
      <t>a.new_date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a.platform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a.ab_code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is_ua</t>
    </r>
  </si>
  <si>
    <t>-- ,count(distinct case when a.event_name ='first_open' then a.device_id end) first_open_uv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</si>
  <si>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edit_enter_uv</t>
    </r>
  </si>
  <si>
    <t>-- 付费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</si>
  <si>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</si>
  <si>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</si>
  <si>
    <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</si>
  <si>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</si>
  <si>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</si>
  <si>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</si>
  <si>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</si>
  <si>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</si>
  <si>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sub_success_to_paid_gmv</t>
    </r>
  </si>
  <si>
    <t>-- 限制新增7天内的数据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</si>
  <si>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sub_success_date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sub_success_7uv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</si>
  <si>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</si>
  <si>
    <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</si>
  <si>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</si>
  <si>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sub_success_to_paid_7uv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</si>
  <si>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c.payment_price_usd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</si>
  <si>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c.order_status</t>
    </r>
    <r>
      <rPr>
        <sz val="12"/>
        <color rgb="FF202124"/>
        <rFont val="Menlo"/>
        <family val="2"/>
      </rPr>
      <t xml:space="preserve">=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c.next_standard_order_date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&lt;=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new7_date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c.next_payment_price_usd</t>
    </r>
    <r>
      <rPr>
        <sz val="12"/>
        <color rgb="FF202124"/>
        <rFont val="Menlo"/>
        <family val="2"/>
      </rPr>
      <t xml:space="preserve"> 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</si>
  <si>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sub_success_to_paid_7gmv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</si>
  <si>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</si>
  <si>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left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join</t>
    </r>
    <r>
      <rPr>
        <sz val="12"/>
        <color rgb="FF202124"/>
        <rFont val="Menlo"/>
        <family val="2"/>
      </rPr>
      <t xml:space="preserve"> </t>
    </r>
  </si>
  <si>
    <r>
      <t>(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</si>
  <si>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b.standard_order_date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b.original_order_id</t>
    </r>
    <r>
      <rPr>
        <sz val="12"/>
        <color rgb="FF202124"/>
        <rFont val="Menlo"/>
        <family val="2"/>
      </rPr>
      <t xml:space="preserve"> ,</t>
    </r>
    <r>
      <rPr>
        <sz val="12"/>
        <color rgb="FF000000"/>
        <rFont val="Menlo"/>
        <family val="2"/>
      </rPr>
      <t>b.sku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b.order_status</t>
    </r>
    <r>
      <rPr>
        <sz val="12"/>
        <color rgb="FF202124"/>
        <rFont val="Menlo"/>
        <family val="2"/>
      </rPr>
      <t xml:space="preserve"> </t>
    </r>
  </si>
  <si>
    <r>
      <t>,</t>
    </r>
    <r>
      <rPr>
        <sz val="12"/>
        <color rgb="FF000000"/>
        <rFont val="Menlo"/>
        <family val="2"/>
      </rPr>
      <t>b.payment_price_usd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next_standard_order_date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next_payment_price_usd</t>
    </r>
    <r>
      <rPr>
        <sz val="12"/>
        <color rgb="FF202124"/>
        <rFont val="Menlo"/>
        <family val="2"/>
      </rPr>
      <t>,</t>
    </r>
    <r>
      <rPr>
        <sz val="12"/>
        <color rgb="FF000000"/>
        <rFont val="Menlo"/>
        <family val="2"/>
      </rPr>
      <t>a.date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sub_success_date</t>
    </r>
  </si>
  <si>
    <r>
      <t>from</t>
    </r>
    <r>
      <rPr>
        <sz val="12"/>
        <color rgb="FF202124"/>
        <rFont val="Menlo"/>
        <family val="2"/>
      </rPr>
      <t xml:space="preserve"> </t>
    </r>
  </si>
  <si>
    <t>(</t>
  </si>
  <si>
    <t>*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</si>
  <si>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fe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</si>
  <si>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'w_subscription_success'</t>
    </r>
  </si>
  <si>
    <r>
      <t>)</t>
    </r>
    <r>
      <rPr>
        <sz val="12"/>
        <color rgb="FF000000"/>
        <rFont val="Menlo"/>
        <family val="2"/>
      </rPr>
      <t>a</t>
    </r>
    <r>
      <rPr>
        <sz val="12"/>
        <color rgb="FF202124"/>
        <rFont val="Menlo"/>
        <family val="2"/>
      </rPr>
      <t xml:space="preserve"> 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</si>
  <si>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paid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b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a.order_id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b.order_id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b.sku</t>
    </r>
  </si>
  <si>
    <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c.device_id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a.device_id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c.sku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a.sku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</si>
  <si>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3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4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</si>
  <si>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>,</t>
    </r>
    <r>
      <rPr>
        <sz val="12"/>
        <color rgb="FFB06000"/>
        <rFont val="Menlo"/>
        <family val="2"/>
      </rPr>
      <t>2</t>
    </r>
  </si>
  <si>
    <t>来自roas 看板</t>
    <phoneticPr fontId="4" type="noConversion"/>
  </si>
  <si>
    <t>4.3～4.20</t>
    <phoneticPr fontId="4" type="noConversion"/>
  </si>
  <si>
    <t xml:space="preserve">ua cpi </t>
    <phoneticPr fontId="4" type="noConversion"/>
  </si>
  <si>
    <t>cost 总计</t>
    <phoneticPr fontId="4" type="noConversion"/>
  </si>
  <si>
    <t>dnu 总计</t>
    <phoneticPr fontId="4" type="noConversion"/>
  </si>
  <si>
    <t>non-organic 新用户进入edit 渗透率</t>
    <phoneticPr fontId="4" type="noConversion"/>
  </si>
  <si>
    <t>Android</t>
    <phoneticPr fontId="4" type="noConversion"/>
  </si>
  <si>
    <t>iOS</t>
    <phoneticPr fontId="4" type="noConversion"/>
  </si>
  <si>
    <t>edit enter uv</t>
    <phoneticPr fontId="4" type="noConversion"/>
  </si>
  <si>
    <t>新增人数</t>
    <phoneticPr fontId="4" type="noConversion"/>
  </si>
  <si>
    <t>f0_</t>
  </si>
  <si>
    <r>
      <t>,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</si>
  <si>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'camera_enter'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'video_start_edit'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'enter'</t>
    </r>
  </si>
  <si>
    <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'edit_save'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'camera_save'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'video_save'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'save'</t>
    </r>
  </si>
  <si>
    <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</si>
  <si>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</si>
  <si>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'edit_enter'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)</t>
    </r>
  </si>
  <si>
    <r>
      <t>app_name</t>
    </r>
    <r>
      <rPr>
        <sz val="12"/>
        <color rgb="FF202124"/>
        <rFont val="Menlo"/>
        <family val="2"/>
      </rPr>
      <t>=</t>
    </r>
    <r>
      <rPr>
        <sz val="12"/>
        <color rgb="FF188038"/>
        <rFont val="Menlo"/>
        <family val="2"/>
      </rPr>
      <t>'AirBrush'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is_new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is_ua</t>
    </r>
    <r>
      <rPr>
        <sz val="12"/>
        <color rgb="FF202124"/>
        <rFont val="Menlo"/>
        <family val="2"/>
      </rPr>
      <t xml:space="preserve"> =</t>
    </r>
    <r>
      <rPr>
        <sz val="12"/>
        <color rgb="FF188038"/>
        <rFont val="Menlo"/>
        <family val="2"/>
      </rPr>
      <t>'non-Organic'</t>
    </r>
  </si>
  <si>
    <t>-- 限制进入实验的人,且实验触发日期在进入实验之后</t>
  </si>
  <si>
    <t>b.ab_code</t>
  </si>
  <si>
    <r>
      <t>,</t>
    </r>
    <r>
      <rPr>
        <sz val="12"/>
        <color rgb="FF1967D2"/>
        <rFont val="Menlo"/>
        <family val="2"/>
      </rP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a.device_id</t>
    </r>
    <r>
      <rPr>
        <sz val="12"/>
        <color rgb="FF3C4043"/>
        <rFont val="Menlo"/>
        <family val="2"/>
      </rPr>
      <t>)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</si>
  <si>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a.user_pseudo_id</t>
    </r>
    <r>
      <rPr>
        <sz val="12"/>
        <color rgb="FF202124"/>
        <rFont val="Menlo"/>
        <family val="2"/>
      </rPr>
      <t xml:space="preserve">= </t>
    </r>
    <r>
      <rPr>
        <sz val="12"/>
        <color rgb="FF000000"/>
        <rFont val="Menlo"/>
        <family val="2"/>
      </rPr>
      <t>act.user_pseudo_id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new_date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a.date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</si>
  <si>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</si>
  <si>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</si>
  <si>
    <t>roas=收入/cost</t>
    <phoneticPr fontId="4" type="noConversion"/>
  </si>
  <si>
    <t>sub_success_to_paid_7gmv</t>
    <phoneticPr fontId="4" type="noConversion"/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</si>
  <si>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_table_suffix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188038"/>
        <rFont val="Menlo"/>
        <family val="2"/>
      </rPr>
      <t>'20250402'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'20250428'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</si>
  <si>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  <r>
      <rPr>
        <sz val="12"/>
        <color rgb="FF188038"/>
        <rFont val="Menlo"/>
        <family val="2"/>
      </rPr>
      <t>'Asia/Singapore'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'2025-04-03'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188038"/>
        <rFont val="Menlo"/>
        <family val="2"/>
      </rPr>
      <t>'2025-04-28'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</si>
</sst>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24" formatCode="\$#,##0_);[Red]\(\$#,##0\)"/>
    <numFmt numFmtId="26" formatCode="\$#,##0.00_);[Red]\(\$#,##0.00\)"/>
    <numFmt numFmtId="181" formatCode="_(* #,##0_);_(* \(#,##0\);_(* &quot;-&quot;??_);_(@_)"/>
  </numFmts>
  <fonts count="1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202124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80672"/>
      <name val="Menlo"/>
      <family val="2"/>
    </font>
    <font>
      <sz val="12"/>
      <color rgb="FFB06000"/>
      <name val="Menlo"/>
      <family val="2"/>
    </font>
    <font>
      <b/>
      <sz val="12"/>
      <color rgb="FF000000"/>
      <name val="Roboto"/>
    </font>
    <font>
      <sz val="12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NumberFormat="1">
      <alignment vertical="center"/>
    </xf>
    <xf numFmtId="0" fontId="3" fillId="2" borderId="1" xfId="0" applyFont="1" applyFill="1" applyBorder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26" fontId="0" fillId="0" borderId="0" xfId="0" applyNumberFormat="1">
      <alignment vertical="center"/>
    </xf>
    <xf numFmtId="24" fontId="12" fillId="0" borderId="0" xfId="0" applyNumberFormat="1" applyFont="1">
      <alignment vertical="center"/>
    </xf>
    <xf numFmtId="3" fontId="12" fillId="0" borderId="0" xfId="0" applyNumberFormat="1" applyFont="1">
      <alignment vertical="center"/>
    </xf>
    <xf numFmtId="10" fontId="13" fillId="0" borderId="0" xfId="0" applyNumberFormat="1" applyFont="1">
      <alignment vertical="center"/>
    </xf>
    <xf numFmtId="181" fontId="3" fillId="2" borderId="1" xfId="1" applyNumberFormat="1" applyFont="1" applyFill="1" applyBorder="1" applyAlignment="1">
      <alignment vertical="center" wrapText="1"/>
    </xf>
    <xf numFmtId="181" fontId="0" fillId="0" borderId="0" xfId="1" applyNumberFormat="1" applyFont="1">
      <alignment vertical="center"/>
    </xf>
    <xf numFmtId="181" fontId="2" fillId="0" borderId="0" xfId="1" applyNumberFormat="1" applyFont="1">
      <alignment vertical="center"/>
    </xf>
    <xf numFmtId="0" fontId="0" fillId="0" borderId="0" xfId="0" applyAlignment="1">
      <alignment vertical="center" wrapText="1"/>
    </xf>
    <xf numFmtId="43" fontId="0" fillId="0" borderId="0" xfId="0" applyNumberFormat="1">
      <alignment vertical="center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76.781450115741" createdVersion="6" refreshedVersion="6" minRefreshableVersion="3" recordCount="286" xr:uid="{509919C9-CCB4-E449-AFB4-0575CF133AEE}">
  <cacheSource type="worksheet">
    <worksheetSource ref="C1:M1048576" sheet="新增7天内的收入"/>
  </cacheSource>
  <cacheFields count="11">
    <cacheField name="new_date" numFmtId="0">
      <sharedItems containsNonDate="0" containsDate="1" containsString="0" containsBlank="1" minDate="2025-03-27T00:00:00" maxDate="2025-04-21T00:00:00" count="26"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1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0T00:00:00"/>
        <m/>
      </sharedItems>
    </cacheField>
    <cacheField name="platform" numFmtId="0">
      <sharedItems containsBlank="1"/>
    </cacheField>
    <cacheField name="ab_code" numFmtId="0">
      <sharedItems containsString="0" containsBlank="1" containsNumber="1" containsInteger="1" minValue="11072" maxValue="11077" count="7">
        <n v="11074"/>
        <n v="11077"/>
        <n v="11076"/>
        <n v="11073"/>
        <n v="11072"/>
        <n v="11075"/>
        <m/>
      </sharedItems>
    </cacheField>
    <cacheField name="is_ua" numFmtId="0">
      <sharedItems containsBlank="1" count="3">
        <s v="Organic"/>
        <s v="non-Organic"/>
        <m/>
      </sharedItems>
    </cacheField>
    <cacheField name="edit_enter_uv" numFmtId="0">
      <sharedItems containsString="0" containsBlank="1" containsNumber="1" containsInteger="1" minValue="1" maxValue="2889"/>
    </cacheField>
    <cacheField name="sub_success_uv" numFmtId="0">
      <sharedItems containsString="0" containsBlank="1" containsNumber="1" containsInteger="1" minValue="0" maxValue="421"/>
    </cacheField>
    <cacheField name="sub_success_to_paid_uv" numFmtId="0">
      <sharedItems containsString="0" containsBlank="1" containsNumber="1" containsInteger="1" minValue="0" maxValue="101"/>
    </cacheField>
    <cacheField name="sub_success_to_paid_gmv" numFmtId="0">
      <sharedItems containsString="0" containsBlank="1" containsNumber="1" minValue="0" maxValue="3724.97394847531"/>
    </cacheField>
    <cacheField name="sub_success_7uv" numFmtId="0">
      <sharedItems containsString="0" containsBlank="1" containsNumber="1" containsInteger="1" minValue="0" maxValue="421"/>
    </cacheField>
    <cacheField name="sub_success_to_paid_7uv" numFmtId="0">
      <sharedItems containsString="0" containsBlank="1" containsNumber="1" containsInteger="1" minValue="0" maxValue="97"/>
    </cacheField>
    <cacheField name="sub_success_to_paid_7gmv" numFmtId="0">
      <sharedItems containsString="0" containsBlank="1" containsNumber="1" minValue="0" maxValue="3505.02768867698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6">
  <r>
    <x v="0"/>
    <s v="IOS"/>
    <x v="0"/>
    <x v="0"/>
    <n v="1"/>
    <n v="0"/>
    <n v="0"/>
    <n v="0"/>
    <n v="0"/>
    <n v="0"/>
    <n v="0"/>
  </r>
  <r>
    <x v="1"/>
    <s v="ANDROID"/>
    <x v="1"/>
    <x v="0"/>
    <n v="1"/>
    <n v="0"/>
    <n v="0"/>
    <n v="0"/>
    <n v="0"/>
    <n v="0"/>
    <n v="0"/>
  </r>
  <r>
    <x v="1"/>
    <s v="ANDROID"/>
    <x v="2"/>
    <x v="0"/>
    <n v="2"/>
    <n v="0"/>
    <n v="0"/>
    <n v="0"/>
    <n v="0"/>
    <n v="0"/>
    <n v="0"/>
  </r>
  <r>
    <x v="1"/>
    <s v="ANDROID"/>
    <x v="1"/>
    <x v="1"/>
    <n v="1"/>
    <n v="0"/>
    <n v="0"/>
    <n v="0"/>
    <n v="0"/>
    <n v="0"/>
    <n v="0"/>
  </r>
  <r>
    <x v="1"/>
    <s v="IOS"/>
    <x v="0"/>
    <x v="1"/>
    <n v="5"/>
    <n v="0"/>
    <n v="0"/>
    <n v="0"/>
    <n v="0"/>
    <n v="0"/>
    <n v="0"/>
  </r>
  <r>
    <x v="1"/>
    <s v="IOS"/>
    <x v="3"/>
    <x v="1"/>
    <n v="3"/>
    <n v="0"/>
    <n v="0"/>
    <n v="0"/>
    <n v="0"/>
    <n v="0"/>
    <n v="0"/>
  </r>
  <r>
    <x v="1"/>
    <s v="IOS"/>
    <x v="0"/>
    <x v="0"/>
    <n v="3"/>
    <n v="0"/>
    <n v="0"/>
    <n v="0"/>
    <n v="0"/>
    <n v="0"/>
    <n v="0"/>
  </r>
  <r>
    <x v="1"/>
    <s v="IOS"/>
    <x v="4"/>
    <x v="1"/>
    <n v="3"/>
    <n v="0"/>
    <n v="0"/>
    <n v="0"/>
    <n v="0"/>
    <n v="0"/>
    <n v="0"/>
  </r>
  <r>
    <x v="1"/>
    <s v="IOS"/>
    <x v="4"/>
    <x v="0"/>
    <n v="1"/>
    <n v="0"/>
    <n v="0"/>
    <n v="0"/>
    <n v="0"/>
    <n v="0"/>
    <n v="0"/>
  </r>
  <r>
    <x v="1"/>
    <s v="IOS"/>
    <x v="3"/>
    <x v="0"/>
    <n v="3"/>
    <n v="0"/>
    <n v="0"/>
    <n v="0"/>
    <n v="0"/>
    <n v="0"/>
    <n v="0"/>
  </r>
  <r>
    <x v="2"/>
    <s v="ANDROID"/>
    <x v="5"/>
    <x v="0"/>
    <n v="2"/>
    <n v="0"/>
    <n v="0"/>
    <n v="0"/>
    <n v="0"/>
    <n v="0"/>
    <n v="0"/>
  </r>
  <r>
    <x v="2"/>
    <s v="ANDROID"/>
    <x v="1"/>
    <x v="1"/>
    <n v="2"/>
    <n v="0"/>
    <n v="0"/>
    <n v="0"/>
    <n v="0"/>
    <n v="0"/>
    <n v="0"/>
  </r>
  <r>
    <x v="2"/>
    <s v="ANDROID"/>
    <x v="5"/>
    <x v="1"/>
    <n v="12"/>
    <n v="0"/>
    <n v="0"/>
    <n v="0"/>
    <n v="0"/>
    <n v="0"/>
    <n v="0"/>
  </r>
  <r>
    <x v="2"/>
    <s v="ANDROID"/>
    <x v="2"/>
    <x v="1"/>
    <n v="8"/>
    <n v="0"/>
    <n v="0"/>
    <n v="0"/>
    <n v="0"/>
    <n v="0"/>
    <n v="0"/>
  </r>
  <r>
    <x v="2"/>
    <s v="ANDROID"/>
    <x v="1"/>
    <x v="0"/>
    <n v="6"/>
    <n v="0"/>
    <n v="0"/>
    <n v="0"/>
    <n v="0"/>
    <n v="0"/>
    <n v="0"/>
  </r>
  <r>
    <x v="2"/>
    <s v="IOS"/>
    <x v="0"/>
    <x v="1"/>
    <n v="11"/>
    <n v="0"/>
    <n v="0"/>
    <n v="0"/>
    <n v="0"/>
    <n v="0"/>
    <n v="0"/>
  </r>
  <r>
    <x v="2"/>
    <s v="IOS"/>
    <x v="4"/>
    <x v="0"/>
    <n v="8"/>
    <n v="1"/>
    <n v="1"/>
    <n v="38.49"/>
    <n v="1"/>
    <n v="1"/>
    <n v="38.49"/>
  </r>
  <r>
    <x v="2"/>
    <s v="IOS"/>
    <x v="3"/>
    <x v="1"/>
    <n v="9"/>
    <n v="0"/>
    <n v="0"/>
    <n v="0"/>
    <n v="0"/>
    <n v="0"/>
    <n v="0"/>
  </r>
  <r>
    <x v="2"/>
    <s v="IOS"/>
    <x v="4"/>
    <x v="1"/>
    <n v="7"/>
    <n v="0"/>
    <n v="0"/>
    <n v="0"/>
    <n v="0"/>
    <n v="0"/>
    <n v="0"/>
  </r>
  <r>
    <x v="2"/>
    <s v="IOS"/>
    <x v="3"/>
    <x v="0"/>
    <n v="2"/>
    <n v="0"/>
    <n v="0"/>
    <n v="0"/>
    <n v="0"/>
    <n v="0"/>
    <n v="0"/>
  </r>
  <r>
    <x v="2"/>
    <s v="IOS"/>
    <x v="0"/>
    <x v="0"/>
    <n v="4"/>
    <n v="0"/>
    <n v="0"/>
    <n v="0"/>
    <n v="0"/>
    <n v="0"/>
    <n v="0"/>
  </r>
  <r>
    <x v="3"/>
    <s v="ANDROID"/>
    <x v="2"/>
    <x v="0"/>
    <n v="13"/>
    <n v="0"/>
    <n v="0"/>
    <n v="0"/>
    <n v="0"/>
    <n v="0"/>
    <n v="0"/>
  </r>
  <r>
    <x v="3"/>
    <s v="ANDROID"/>
    <x v="1"/>
    <x v="0"/>
    <n v="16"/>
    <n v="1"/>
    <n v="1"/>
    <n v="2.5653751369112801"/>
    <n v="1"/>
    <n v="1"/>
    <n v="2.5653751369112801"/>
  </r>
  <r>
    <x v="3"/>
    <s v="ANDROID"/>
    <x v="2"/>
    <x v="1"/>
    <n v="18"/>
    <n v="0"/>
    <n v="0"/>
    <n v="0"/>
    <n v="0"/>
    <n v="0"/>
    <n v="0"/>
  </r>
  <r>
    <x v="3"/>
    <s v="ANDROID"/>
    <x v="5"/>
    <x v="1"/>
    <n v="22"/>
    <n v="0"/>
    <n v="0"/>
    <n v="0"/>
    <n v="0"/>
    <n v="0"/>
    <n v="0"/>
  </r>
  <r>
    <x v="3"/>
    <s v="ANDROID"/>
    <x v="5"/>
    <x v="0"/>
    <n v="16"/>
    <n v="0"/>
    <n v="0"/>
    <n v="0"/>
    <n v="0"/>
    <n v="0"/>
    <n v="0"/>
  </r>
  <r>
    <x v="3"/>
    <s v="ANDROID"/>
    <x v="1"/>
    <x v="1"/>
    <n v="22"/>
    <n v="0"/>
    <n v="0"/>
    <n v="0"/>
    <n v="0"/>
    <n v="0"/>
    <n v="0"/>
  </r>
  <r>
    <x v="3"/>
    <s v="IOS"/>
    <x v="0"/>
    <x v="0"/>
    <n v="10"/>
    <n v="0"/>
    <n v="0"/>
    <n v="0"/>
    <n v="0"/>
    <n v="0"/>
    <n v="0"/>
  </r>
  <r>
    <x v="3"/>
    <s v="IOS"/>
    <x v="4"/>
    <x v="1"/>
    <n v="14"/>
    <n v="0"/>
    <n v="0"/>
    <n v="0"/>
    <n v="0"/>
    <n v="0"/>
    <n v="0"/>
  </r>
  <r>
    <x v="3"/>
    <s v="IOS"/>
    <x v="3"/>
    <x v="1"/>
    <n v="19"/>
    <n v="0"/>
    <n v="0"/>
    <n v="0"/>
    <n v="0"/>
    <n v="0"/>
    <n v="0"/>
  </r>
  <r>
    <x v="3"/>
    <s v="IOS"/>
    <x v="3"/>
    <x v="0"/>
    <n v="16"/>
    <n v="0"/>
    <n v="0"/>
    <n v="0"/>
    <n v="0"/>
    <n v="0"/>
    <n v="0"/>
  </r>
  <r>
    <x v="3"/>
    <s v="IOS"/>
    <x v="0"/>
    <x v="1"/>
    <n v="19"/>
    <n v="0"/>
    <n v="0"/>
    <n v="0"/>
    <n v="0"/>
    <n v="0"/>
    <n v="0"/>
  </r>
  <r>
    <x v="3"/>
    <s v="IOS"/>
    <x v="4"/>
    <x v="0"/>
    <n v="10"/>
    <n v="0"/>
    <n v="0"/>
    <n v="0"/>
    <n v="0"/>
    <n v="0"/>
    <n v="0"/>
  </r>
  <r>
    <x v="4"/>
    <s v="ANDROID"/>
    <x v="1"/>
    <x v="1"/>
    <n v="38"/>
    <n v="1"/>
    <n v="1"/>
    <n v="7.49953117275005"/>
    <n v="1"/>
    <n v="0"/>
    <n v="0"/>
  </r>
  <r>
    <x v="4"/>
    <s v="ANDROID"/>
    <x v="1"/>
    <x v="0"/>
    <n v="35"/>
    <n v="1"/>
    <n v="1"/>
    <n v="10.043596790743299"/>
    <n v="1"/>
    <n v="0"/>
    <n v="0"/>
  </r>
  <r>
    <x v="4"/>
    <s v="ANDROID"/>
    <x v="2"/>
    <x v="0"/>
    <n v="26"/>
    <n v="1"/>
    <n v="1"/>
    <n v="3.99"/>
    <n v="1"/>
    <n v="1"/>
    <n v="3.99"/>
  </r>
  <r>
    <x v="4"/>
    <s v="ANDROID"/>
    <x v="5"/>
    <x v="0"/>
    <n v="23"/>
    <n v="0"/>
    <n v="0"/>
    <n v="0"/>
    <n v="0"/>
    <n v="0"/>
    <n v="0"/>
  </r>
  <r>
    <x v="4"/>
    <s v="ANDROID"/>
    <x v="5"/>
    <x v="1"/>
    <n v="48"/>
    <n v="0"/>
    <n v="0"/>
    <n v="0"/>
    <n v="0"/>
    <n v="0"/>
    <n v="0"/>
  </r>
  <r>
    <x v="4"/>
    <s v="ANDROID"/>
    <x v="2"/>
    <x v="1"/>
    <n v="43"/>
    <n v="0"/>
    <n v="0"/>
    <n v="0"/>
    <n v="0"/>
    <n v="0"/>
    <n v="0"/>
  </r>
  <r>
    <x v="4"/>
    <s v="IOS"/>
    <x v="4"/>
    <x v="0"/>
    <n v="46"/>
    <n v="0"/>
    <n v="0"/>
    <n v="0"/>
    <n v="0"/>
    <n v="0"/>
    <n v="0"/>
  </r>
  <r>
    <x v="4"/>
    <s v="IOS"/>
    <x v="3"/>
    <x v="1"/>
    <n v="31"/>
    <n v="0"/>
    <n v="0"/>
    <n v="0"/>
    <n v="0"/>
    <n v="0"/>
    <n v="0"/>
  </r>
  <r>
    <x v="4"/>
    <s v="IOS"/>
    <x v="0"/>
    <x v="1"/>
    <n v="27"/>
    <n v="0"/>
    <n v="0"/>
    <n v="0"/>
    <n v="0"/>
    <n v="0"/>
    <n v="0"/>
  </r>
  <r>
    <x v="4"/>
    <s v="IOS"/>
    <x v="3"/>
    <x v="0"/>
    <n v="45"/>
    <n v="0"/>
    <n v="0"/>
    <n v="0"/>
    <n v="0"/>
    <n v="0"/>
    <n v="0"/>
  </r>
  <r>
    <x v="4"/>
    <s v="IOS"/>
    <x v="0"/>
    <x v="0"/>
    <n v="29"/>
    <n v="0"/>
    <n v="0"/>
    <n v="0"/>
    <n v="0"/>
    <n v="0"/>
    <n v="0"/>
  </r>
  <r>
    <x v="4"/>
    <s v="IOS"/>
    <x v="4"/>
    <x v="1"/>
    <n v="17"/>
    <n v="0"/>
    <n v="0"/>
    <n v="0"/>
    <n v="0"/>
    <n v="0"/>
    <n v="0"/>
  </r>
  <r>
    <x v="5"/>
    <s v="ANDROID"/>
    <x v="5"/>
    <x v="0"/>
    <n v="51"/>
    <n v="0"/>
    <n v="0"/>
    <n v="0"/>
    <n v="0"/>
    <n v="0"/>
    <n v="0"/>
  </r>
  <r>
    <x v="5"/>
    <s v="ANDROID"/>
    <x v="5"/>
    <x v="1"/>
    <n v="30"/>
    <n v="1"/>
    <n v="1"/>
    <n v="2.5348345280650402"/>
    <n v="1"/>
    <n v="1"/>
    <n v="2.5348345280650402"/>
  </r>
  <r>
    <x v="5"/>
    <s v="ANDROID"/>
    <x v="1"/>
    <x v="1"/>
    <n v="53"/>
    <n v="0"/>
    <n v="0"/>
    <n v="0"/>
    <n v="0"/>
    <n v="0"/>
    <n v="0"/>
  </r>
  <r>
    <x v="5"/>
    <s v="ANDROID"/>
    <x v="2"/>
    <x v="0"/>
    <n v="55"/>
    <n v="0"/>
    <n v="0"/>
    <n v="0"/>
    <n v="0"/>
    <n v="0"/>
    <n v="0"/>
  </r>
  <r>
    <x v="5"/>
    <s v="ANDROID"/>
    <x v="1"/>
    <x v="0"/>
    <n v="47"/>
    <n v="0"/>
    <n v="0"/>
    <n v="0"/>
    <n v="0"/>
    <n v="0"/>
    <n v="0"/>
  </r>
  <r>
    <x v="5"/>
    <s v="ANDROID"/>
    <x v="2"/>
    <x v="1"/>
    <n v="43"/>
    <n v="0"/>
    <n v="0"/>
    <n v="0"/>
    <n v="0"/>
    <n v="0"/>
    <n v="0"/>
  </r>
  <r>
    <x v="5"/>
    <s v="IOS"/>
    <x v="0"/>
    <x v="0"/>
    <n v="48"/>
    <n v="0"/>
    <n v="0"/>
    <n v="0"/>
    <n v="0"/>
    <n v="0"/>
    <n v="0"/>
  </r>
  <r>
    <x v="5"/>
    <s v="IOS"/>
    <x v="0"/>
    <x v="1"/>
    <n v="31"/>
    <n v="1"/>
    <n v="1"/>
    <n v="38.49"/>
    <n v="1"/>
    <n v="1"/>
    <n v="38.49"/>
  </r>
  <r>
    <x v="5"/>
    <s v="IOS"/>
    <x v="4"/>
    <x v="1"/>
    <n v="34"/>
    <n v="0"/>
    <n v="0"/>
    <n v="0"/>
    <n v="0"/>
    <n v="0"/>
    <n v="0"/>
  </r>
  <r>
    <x v="5"/>
    <s v="IOS"/>
    <x v="3"/>
    <x v="1"/>
    <n v="19"/>
    <n v="0"/>
    <n v="0"/>
    <n v="0"/>
    <n v="0"/>
    <n v="0"/>
    <n v="0"/>
  </r>
  <r>
    <x v="5"/>
    <s v="IOS"/>
    <x v="3"/>
    <x v="0"/>
    <n v="50"/>
    <n v="0"/>
    <n v="0"/>
    <n v="0"/>
    <n v="0"/>
    <n v="0"/>
    <n v="0"/>
  </r>
  <r>
    <x v="5"/>
    <s v="IOS"/>
    <x v="4"/>
    <x v="0"/>
    <n v="42"/>
    <n v="0"/>
    <n v="0"/>
    <n v="0"/>
    <n v="0"/>
    <n v="0"/>
    <n v="0"/>
  </r>
  <r>
    <x v="6"/>
    <s v="ANDROID"/>
    <x v="2"/>
    <x v="1"/>
    <n v="97"/>
    <n v="1"/>
    <n v="1"/>
    <n v="3.7941343067833202"/>
    <n v="1"/>
    <n v="1"/>
    <n v="3.7941343067833202"/>
  </r>
  <r>
    <x v="6"/>
    <s v="ANDROID"/>
    <x v="2"/>
    <x v="0"/>
    <n v="83"/>
    <n v="0"/>
    <n v="0"/>
    <n v="0"/>
    <n v="0"/>
    <n v="0"/>
    <n v="0"/>
  </r>
  <r>
    <x v="6"/>
    <s v="ANDROID"/>
    <x v="1"/>
    <x v="0"/>
    <n v="85"/>
    <n v="1"/>
    <n v="0"/>
    <n v="0"/>
    <n v="1"/>
    <n v="0"/>
    <n v="0"/>
  </r>
  <r>
    <x v="6"/>
    <s v="ANDROID"/>
    <x v="5"/>
    <x v="0"/>
    <n v="90"/>
    <n v="0"/>
    <n v="0"/>
    <n v="0"/>
    <n v="0"/>
    <n v="0"/>
    <n v="0"/>
  </r>
  <r>
    <x v="6"/>
    <s v="ANDROID"/>
    <x v="5"/>
    <x v="1"/>
    <n v="76"/>
    <n v="1"/>
    <n v="1"/>
    <n v="2.5348345280650402"/>
    <n v="1"/>
    <n v="1"/>
    <n v="2.5348345280650402"/>
  </r>
  <r>
    <x v="6"/>
    <s v="ANDROID"/>
    <x v="1"/>
    <x v="1"/>
    <n v="89"/>
    <n v="1"/>
    <n v="1"/>
    <n v="2.5653751369112801"/>
    <n v="1"/>
    <n v="1"/>
    <n v="2.5653751369112801"/>
  </r>
  <r>
    <x v="6"/>
    <s v="IOS"/>
    <x v="3"/>
    <x v="0"/>
    <n v="60"/>
    <n v="0"/>
    <n v="0"/>
    <n v="0"/>
    <n v="0"/>
    <n v="0"/>
    <n v="0"/>
  </r>
  <r>
    <x v="6"/>
    <s v="IOS"/>
    <x v="4"/>
    <x v="0"/>
    <n v="55"/>
    <n v="1"/>
    <n v="1"/>
    <n v="38.49"/>
    <n v="1"/>
    <n v="1"/>
    <n v="38.49"/>
  </r>
  <r>
    <x v="6"/>
    <s v="IOS"/>
    <x v="0"/>
    <x v="1"/>
    <n v="22"/>
    <n v="0"/>
    <n v="0"/>
    <n v="0"/>
    <n v="0"/>
    <n v="0"/>
    <n v="0"/>
  </r>
  <r>
    <x v="6"/>
    <s v="IOS"/>
    <x v="3"/>
    <x v="1"/>
    <n v="19"/>
    <n v="0"/>
    <n v="0"/>
    <n v="0"/>
    <n v="0"/>
    <n v="0"/>
    <n v="0"/>
  </r>
  <r>
    <x v="6"/>
    <s v="IOS"/>
    <x v="0"/>
    <x v="0"/>
    <n v="50"/>
    <n v="0"/>
    <n v="0"/>
    <n v="0"/>
    <n v="0"/>
    <n v="0"/>
    <n v="0"/>
  </r>
  <r>
    <x v="6"/>
    <s v="IOS"/>
    <x v="4"/>
    <x v="1"/>
    <n v="23"/>
    <n v="0"/>
    <n v="0"/>
    <n v="0"/>
    <n v="0"/>
    <n v="0"/>
    <n v="0"/>
  </r>
  <r>
    <x v="7"/>
    <s v="ANDROID"/>
    <x v="2"/>
    <x v="1"/>
    <n v="263"/>
    <n v="3"/>
    <n v="0"/>
    <n v="0"/>
    <n v="3"/>
    <n v="0"/>
    <n v="0"/>
  </r>
  <r>
    <x v="7"/>
    <s v="ANDROID"/>
    <x v="1"/>
    <x v="1"/>
    <n v="258"/>
    <n v="0"/>
    <n v="0"/>
    <n v="0"/>
    <n v="0"/>
    <n v="0"/>
    <n v="0"/>
  </r>
  <r>
    <x v="7"/>
    <s v="ANDROID"/>
    <x v="2"/>
    <x v="0"/>
    <n v="138"/>
    <n v="0"/>
    <n v="0"/>
    <n v="0"/>
    <n v="0"/>
    <n v="0"/>
    <n v="0"/>
  </r>
  <r>
    <x v="7"/>
    <s v="ANDROID"/>
    <x v="1"/>
    <x v="0"/>
    <n v="135"/>
    <n v="1"/>
    <n v="0"/>
    <n v="0"/>
    <n v="1"/>
    <n v="0"/>
    <n v="0"/>
  </r>
  <r>
    <x v="7"/>
    <s v="ANDROID"/>
    <x v="5"/>
    <x v="0"/>
    <n v="127"/>
    <n v="1"/>
    <n v="1"/>
    <n v="11.650730721393"/>
    <n v="1"/>
    <n v="0"/>
    <n v="0"/>
  </r>
  <r>
    <x v="7"/>
    <s v="ANDROID"/>
    <x v="5"/>
    <x v="1"/>
    <n v="243"/>
    <n v="2"/>
    <n v="0"/>
    <n v="0"/>
    <n v="2"/>
    <n v="0"/>
    <n v="0"/>
  </r>
  <r>
    <x v="7"/>
    <s v="IOS"/>
    <x v="4"/>
    <x v="1"/>
    <n v="534"/>
    <n v="126"/>
    <n v="37"/>
    <n v="1721.55192415695"/>
    <n v="126"/>
    <n v="36"/>
    <n v="1656.15499659592"/>
  </r>
  <r>
    <x v="7"/>
    <s v="IOS"/>
    <x v="0"/>
    <x v="1"/>
    <n v="524"/>
    <n v="108"/>
    <n v="28"/>
    <n v="1187.38428616441"/>
    <n v="108"/>
    <n v="28"/>
    <n v="1187.38428616441"/>
  </r>
  <r>
    <x v="7"/>
    <s v="IOS"/>
    <x v="3"/>
    <x v="0"/>
    <n v="1675"/>
    <n v="194"/>
    <n v="54"/>
    <n v="2073.9732945434098"/>
    <n v="194"/>
    <n v="52"/>
    <n v="2002.7738747957301"/>
  </r>
  <r>
    <x v="7"/>
    <s v="IOS"/>
    <x v="3"/>
    <x v="1"/>
    <n v="494"/>
    <n v="88"/>
    <n v="17"/>
    <n v="860.26761120809397"/>
    <n v="88"/>
    <n v="17"/>
    <n v="860.26761120809397"/>
  </r>
  <r>
    <x v="7"/>
    <s v="IOS"/>
    <x v="4"/>
    <x v="0"/>
    <n v="1707"/>
    <n v="235"/>
    <n v="66"/>
    <n v="2158.2862946863202"/>
    <n v="235"/>
    <n v="65"/>
    <n v="2090.23338607392"/>
  </r>
  <r>
    <x v="7"/>
    <s v="IOS"/>
    <x v="0"/>
    <x v="0"/>
    <n v="1717"/>
    <n v="178"/>
    <n v="55"/>
    <n v="2159.7353102366201"/>
    <n v="178"/>
    <n v="51"/>
    <n v="2020.7153282393101"/>
  </r>
  <r>
    <x v="8"/>
    <s v="ANDROID"/>
    <x v="1"/>
    <x v="0"/>
    <n v="300"/>
    <n v="4"/>
    <n v="1"/>
    <n v="1.9340990097296999"/>
    <n v="4"/>
    <n v="1"/>
    <n v="1.9340990097296999"/>
  </r>
  <r>
    <x v="8"/>
    <s v="ANDROID"/>
    <x v="1"/>
    <x v="1"/>
    <n v="824"/>
    <n v="13"/>
    <n v="5"/>
    <n v="33.513378114780103"/>
    <n v="13"/>
    <n v="4"/>
    <n v="25.999884912621201"/>
  </r>
  <r>
    <x v="8"/>
    <s v="ANDROID"/>
    <x v="2"/>
    <x v="1"/>
    <n v="867"/>
    <n v="10"/>
    <n v="7"/>
    <n v="39.359718885981501"/>
    <n v="10"/>
    <n v="7"/>
    <n v="39.359718885981501"/>
  </r>
  <r>
    <x v="8"/>
    <s v="ANDROID"/>
    <x v="5"/>
    <x v="0"/>
    <n v="328"/>
    <n v="6"/>
    <n v="3"/>
    <n v="26.016511723265701"/>
    <n v="6"/>
    <n v="3"/>
    <n v="26.016511723265701"/>
  </r>
  <r>
    <x v="8"/>
    <s v="ANDROID"/>
    <x v="2"/>
    <x v="0"/>
    <n v="319"/>
    <n v="4"/>
    <n v="1"/>
    <n v="27.71"/>
    <n v="4"/>
    <n v="1"/>
    <n v="27.71"/>
  </r>
  <r>
    <x v="8"/>
    <s v="ANDROID"/>
    <x v="5"/>
    <x v="1"/>
    <n v="798"/>
    <n v="23"/>
    <n v="4"/>
    <n v="19.504229583984198"/>
    <n v="23"/>
    <n v="4"/>
    <n v="19.504229583984198"/>
  </r>
  <r>
    <x v="8"/>
    <s v="IOS"/>
    <x v="3"/>
    <x v="0"/>
    <n v="1854"/>
    <n v="208"/>
    <n v="46"/>
    <n v="1773.67011938529"/>
    <n v="208"/>
    <n v="45"/>
    <n v="1742.68011938529"/>
  </r>
  <r>
    <x v="8"/>
    <s v="IOS"/>
    <x v="4"/>
    <x v="1"/>
    <n v="542"/>
    <n v="102"/>
    <n v="26"/>
    <n v="1236.8069018411099"/>
    <n v="102"/>
    <n v="26"/>
    <n v="1236.8069018411099"/>
  </r>
  <r>
    <x v="8"/>
    <s v="IOS"/>
    <x v="4"/>
    <x v="0"/>
    <n v="1867"/>
    <n v="248"/>
    <n v="68"/>
    <n v="2844.2666185169801"/>
    <n v="248"/>
    <n v="66"/>
    <n v="2773.9533643282198"/>
  </r>
  <r>
    <x v="8"/>
    <s v="IOS"/>
    <x v="0"/>
    <x v="1"/>
    <n v="544"/>
    <n v="95"/>
    <n v="17"/>
    <n v="709.49923944296597"/>
    <n v="95"/>
    <n v="16"/>
    <n v="654.50923944296596"/>
  </r>
  <r>
    <x v="8"/>
    <s v="IOS"/>
    <x v="0"/>
    <x v="0"/>
    <n v="1809"/>
    <n v="199"/>
    <n v="54"/>
    <n v="1927.5060160015901"/>
    <n v="199"/>
    <n v="54"/>
    <n v="1927.5060160015901"/>
  </r>
  <r>
    <x v="8"/>
    <s v="IOS"/>
    <x v="3"/>
    <x v="1"/>
    <n v="599"/>
    <n v="100"/>
    <n v="31"/>
    <n v="1425.8517769493001"/>
    <n v="100"/>
    <n v="31"/>
    <n v="1425.8517769493001"/>
  </r>
  <r>
    <x v="9"/>
    <s v="ANDROID"/>
    <x v="2"/>
    <x v="1"/>
    <n v="996"/>
    <n v="8"/>
    <n v="4"/>
    <n v="80.858463769215504"/>
    <n v="8"/>
    <n v="4"/>
    <n v="80.858463769215504"/>
  </r>
  <r>
    <x v="9"/>
    <s v="ANDROID"/>
    <x v="5"/>
    <x v="0"/>
    <n v="427"/>
    <n v="10"/>
    <n v="6"/>
    <n v="116.289042879617"/>
    <n v="10"/>
    <n v="6"/>
    <n v="116.289042879617"/>
  </r>
  <r>
    <x v="9"/>
    <s v="ANDROID"/>
    <x v="1"/>
    <x v="1"/>
    <n v="1049"/>
    <n v="21"/>
    <n v="10"/>
    <n v="53.3005747441523"/>
    <n v="21"/>
    <n v="7"/>
    <n v="30.7150484905751"/>
  </r>
  <r>
    <x v="9"/>
    <s v="ANDROID"/>
    <x v="1"/>
    <x v="0"/>
    <n v="407"/>
    <n v="4"/>
    <n v="3"/>
    <n v="18.707126002288899"/>
    <n v="4"/>
    <n v="3"/>
    <n v="18.707126002288899"/>
  </r>
  <r>
    <x v="9"/>
    <s v="ANDROID"/>
    <x v="5"/>
    <x v="1"/>
    <n v="1068"/>
    <n v="21"/>
    <n v="7"/>
    <n v="46.116579246548604"/>
    <n v="21"/>
    <n v="6"/>
    <n v="38.618582007802402"/>
  </r>
  <r>
    <x v="9"/>
    <s v="ANDROID"/>
    <x v="2"/>
    <x v="0"/>
    <n v="426"/>
    <n v="4"/>
    <n v="2"/>
    <n v="33.4681351573238"/>
    <n v="4"/>
    <n v="2"/>
    <n v="33.4681351573238"/>
  </r>
  <r>
    <x v="9"/>
    <s v="IOS"/>
    <x v="3"/>
    <x v="0"/>
    <n v="1988"/>
    <n v="214"/>
    <n v="64"/>
    <n v="2301.12187747589"/>
    <n v="214"/>
    <n v="61"/>
    <n v="2197.5166088180299"/>
  </r>
  <r>
    <x v="9"/>
    <s v="IOS"/>
    <x v="0"/>
    <x v="0"/>
    <n v="1984"/>
    <n v="226"/>
    <n v="58"/>
    <n v="1902.25190476327"/>
    <n v="226"/>
    <n v="56"/>
    <n v="1814.20899615088"/>
  </r>
  <r>
    <x v="9"/>
    <s v="IOS"/>
    <x v="4"/>
    <x v="0"/>
    <n v="2018"/>
    <n v="254"/>
    <n v="72"/>
    <n v="2112.4400590441801"/>
    <n v="254"/>
    <n v="71"/>
    <n v="2057.4500590441799"/>
  </r>
  <r>
    <x v="9"/>
    <s v="IOS"/>
    <x v="3"/>
    <x v="1"/>
    <n v="656"/>
    <n v="119"/>
    <n v="37"/>
    <n v="1783.0506019916299"/>
    <n v="119"/>
    <n v="36"/>
    <n v="1728.0606019916299"/>
  </r>
  <r>
    <x v="9"/>
    <s v="IOS"/>
    <x v="4"/>
    <x v="1"/>
    <n v="610"/>
    <n v="111"/>
    <n v="21"/>
    <n v="1016.16746222623"/>
    <n v="111"/>
    <n v="21"/>
    <n v="1016.16746222623"/>
  </r>
  <r>
    <x v="9"/>
    <s v="IOS"/>
    <x v="0"/>
    <x v="1"/>
    <n v="623"/>
    <n v="94"/>
    <n v="19"/>
    <n v="898.04512808910602"/>
    <n v="94"/>
    <n v="18"/>
    <n v="843.05512808910601"/>
  </r>
  <r>
    <x v="10"/>
    <s v="ANDROID"/>
    <x v="2"/>
    <x v="0"/>
    <n v="499"/>
    <n v="5"/>
    <n v="4"/>
    <n v="14.0962715132695"/>
    <n v="5"/>
    <n v="4"/>
    <n v="14.0962715132695"/>
  </r>
  <r>
    <x v="10"/>
    <s v="ANDROID"/>
    <x v="2"/>
    <x v="1"/>
    <n v="1401"/>
    <n v="15"/>
    <n v="5"/>
    <n v="28.288228286398599"/>
    <n v="15"/>
    <n v="5"/>
    <n v="28.288228286398599"/>
  </r>
  <r>
    <x v="10"/>
    <s v="ANDROID"/>
    <x v="1"/>
    <x v="0"/>
    <n v="570"/>
    <n v="10"/>
    <n v="5"/>
    <n v="71.499357727636294"/>
    <n v="10"/>
    <n v="5"/>
    <n v="71.499357727636294"/>
  </r>
  <r>
    <x v="10"/>
    <s v="ANDROID"/>
    <x v="5"/>
    <x v="0"/>
    <n v="529"/>
    <n v="11"/>
    <n v="5"/>
    <n v="60.076678589506798"/>
    <n v="11"/>
    <n v="5"/>
    <n v="60.076678589506798"/>
  </r>
  <r>
    <x v="10"/>
    <s v="ANDROID"/>
    <x v="1"/>
    <x v="1"/>
    <n v="1388"/>
    <n v="19"/>
    <n v="7"/>
    <n v="85.407182470154495"/>
    <n v="19"/>
    <n v="5"/>
    <n v="51.919185231408299"/>
  </r>
  <r>
    <x v="10"/>
    <s v="ANDROID"/>
    <x v="5"/>
    <x v="1"/>
    <n v="1404"/>
    <n v="42"/>
    <n v="20"/>
    <n v="141.44889100571501"/>
    <n v="42"/>
    <n v="20"/>
    <n v="141.44889100571501"/>
  </r>
  <r>
    <x v="10"/>
    <s v="IOS"/>
    <x v="3"/>
    <x v="1"/>
    <n v="776"/>
    <n v="143"/>
    <n v="35"/>
    <n v="1654.43736422036"/>
    <n v="143"/>
    <n v="34"/>
    <n v="1588.1256687421301"/>
  </r>
  <r>
    <x v="10"/>
    <s v="IOS"/>
    <x v="0"/>
    <x v="0"/>
    <n v="2506"/>
    <n v="296"/>
    <n v="87"/>
    <n v="3203.0728315377401"/>
    <n v="296"/>
    <n v="82"/>
    <n v="3055.3937017691701"/>
  </r>
  <r>
    <x v="10"/>
    <s v="IOS"/>
    <x v="4"/>
    <x v="0"/>
    <n v="2516"/>
    <n v="323"/>
    <n v="80"/>
    <n v="2845.4583744459301"/>
    <n v="323"/>
    <n v="78"/>
    <n v="2779.8291912222799"/>
  </r>
  <r>
    <x v="10"/>
    <s v="IOS"/>
    <x v="4"/>
    <x v="1"/>
    <n v="850"/>
    <n v="182"/>
    <n v="51"/>
    <n v="2310.7906141570002"/>
    <n v="182"/>
    <n v="51"/>
    <n v="2310.7906141570002"/>
  </r>
  <r>
    <x v="10"/>
    <s v="IOS"/>
    <x v="0"/>
    <x v="1"/>
    <n v="820"/>
    <n v="158"/>
    <n v="34"/>
    <n v="1496.4219505482699"/>
    <n v="158"/>
    <n v="34"/>
    <n v="1496.4219505482699"/>
  </r>
  <r>
    <x v="10"/>
    <s v="IOS"/>
    <x v="3"/>
    <x v="0"/>
    <n v="2609"/>
    <n v="293"/>
    <n v="73"/>
    <n v="2752.9811221331702"/>
    <n v="293"/>
    <n v="68"/>
    <n v="2609.69010812035"/>
  </r>
  <r>
    <x v="11"/>
    <s v="ANDROID"/>
    <x v="1"/>
    <x v="1"/>
    <n v="2023"/>
    <n v="28"/>
    <n v="8"/>
    <n v="50.8275893890983"/>
    <n v="28"/>
    <n v="8"/>
    <n v="50.8275893890983"/>
  </r>
  <r>
    <x v="11"/>
    <s v="ANDROID"/>
    <x v="1"/>
    <x v="0"/>
    <n v="881"/>
    <n v="13"/>
    <n v="6"/>
    <n v="63.769331356555803"/>
    <n v="13"/>
    <n v="5"/>
    <n v="56.255838154396898"/>
  </r>
  <r>
    <x v="11"/>
    <s v="ANDROID"/>
    <x v="2"/>
    <x v="0"/>
    <n v="891"/>
    <n v="12"/>
    <n v="4"/>
    <n v="42.831264601008797"/>
    <n v="12"/>
    <n v="2"/>
    <n v="7.8586794002490796"/>
  </r>
  <r>
    <x v="11"/>
    <s v="ANDROID"/>
    <x v="5"/>
    <x v="1"/>
    <n v="2021"/>
    <n v="35"/>
    <n v="11"/>
    <n v="70.492119194731202"/>
    <n v="35"/>
    <n v="11"/>
    <n v="70.492119194731202"/>
  </r>
  <r>
    <x v="11"/>
    <s v="ANDROID"/>
    <x v="2"/>
    <x v="1"/>
    <n v="2071"/>
    <n v="30"/>
    <n v="17"/>
    <n v="125.762266980365"/>
    <n v="30"/>
    <n v="17"/>
    <n v="125.762266980365"/>
  </r>
  <r>
    <x v="11"/>
    <s v="ANDROID"/>
    <x v="5"/>
    <x v="0"/>
    <n v="844"/>
    <n v="18"/>
    <n v="5"/>
    <n v="46.259961290751598"/>
    <n v="18"/>
    <n v="5"/>
    <n v="46.259961290751598"/>
  </r>
  <r>
    <x v="11"/>
    <s v="IOS"/>
    <x v="4"/>
    <x v="0"/>
    <n v="2537"/>
    <n v="321"/>
    <n v="83"/>
    <n v="2793.9137672080101"/>
    <n v="321"/>
    <n v="83"/>
    <n v="2793.9137672080101"/>
  </r>
  <r>
    <x v="11"/>
    <s v="IOS"/>
    <x v="4"/>
    <x v="1"/>
    <n v="691"/>
    <n v="147"/>
    <n v="43"/>
    <n v="2005.0178369963501"/>
    <n v="147"/>
    <n v="43"/>
    <n v="2005.0178369963501"/>
  </r>
  <r>
    <x v="11"/>
    <s v="IOS"/>
    <x v="0"/>
    <x v="0"/>
    <n v="2537"/>
    <n v="295"/>
    <n v="55"/>
    <n v="1744.88535145675"/>
    <n v="295"/>
    <n v="51"/>
    <n v="1562.3590475307001"/>
  </r>
  <r>
    <x v="11"/>
    <s v="IOS"/>
    <x v="3"/>
    <x v="0"/>
    <n v="2522"/>
    <n v="307"/>
    <n v="64"/>
    <n v="2481.0841658089698"/>
    <n v="307"/>
    <n v="62"/>
    <n v="2447.0302170724499"/>
  </r>
  <r>
    <x v="11"/>
    <s v="IOS"/>
    <x v="3"/>
    <x v="1"/>
    <n v="732"/>
    <n v="118"/>
    <n v="33"/>
    <n v="1599.87584180197"/>
    <n v="118"/>
    <n v="29"/>
    <n v="1368.9282944932099"/>
  </r>
  <r>
    <x v="11"/>
    <s v="IOS"/>
    <x v="0"/>
    <x v="1"/>
    <n v="702"/>
    <n v="149"/>
    <n v="43"/>
    <n v="2100.6284979228499"/>
    <n v="149"/>
    <n v="43"/>
    <n v="2100.6284979228499"/>
  </r>
  <r>
    <x v="12"/>
    <s v="ANDROID"/>
    <x v="2"/>
    <x v="1"/>
    <n v="2314"/>
    <n v="26"/>
    <n v="9"/>
    <n v="96.6309885358191"/>
    <n v="26"/>
    <n v="7"/>
    <n v="63.159950475889097"/>
  </r>
  <r>
    <x v="12"/>
    <s v="ANDROID"/>
    <x v="1"/>
    <x v="1"/>
    <n v="2293"/>
    <n v="38"/>
    <n v="12"/>
    <n v="101.311973314426"/>
    <n v="38"/>
    <n v="10"/>
    <n v="86.554685247064299"/>
  </r>
  <r>
    <x v="12"/>
    <s v="ANDROID"/>
    <x v="1"/>
    <x v="0"/>
    <n v="976"/>
    <n v="18"/>
    <n v="10"/>
    <n v="113.913619079366"/>
    <n v="18"/>
    <n v="9"/>
    <n v="87.923619079366603"/>
  </r>
  <r>
    <x v="12"/>
    <s v="ANDROID"/>
    <x v="5"/>
    <x v="0"/>
    <n v="994"/>
    <n v="17"/>
    <n v="3"/>
    <n v="19.737835696216099"/>
    <n v="17"/>
    <n v="2"/>
    <n v="12.359191662535"/>
  </r>
  <r>
    <x v="12"/>
    <s v="ANDROID"/>
    <x v="5"/>
    <x v="1"/>
    <n v="2278"/>
    <n v="49"/>
    <n v="12"/>
    <n v="102.081186485633"/>
    <n v="49"/>
    <n v="12"/>
    <n v="102.081186485633"/>
  </r>
  <r>
    <x v="12"/>
    <s v="ANDROID"/>
    <x v="2"/>
    <x v="0"/>
    <n v="1003"/>
    <n v="9"/>
    <n v="4"/>
    <n v="17.498452971378999"/>
    <n v="9"/>
    <n v="4"/>
    <n v="17.498452971378999"/>
  </r>
  <r>
    <x v="12"/>
    <s v="IOS"/>
    <x v="0"/>
    <x v="1"/>
    <n v="637"/>
    <n v="124"/>
    <n v="28"/>
    <n v="1389.4935566153399"/>
    <n v="124"/>
    <n v="25"/>
    <n v="1224.5235566153401"/>
  </r>
  <r>
    <x v="12"/>
    <s v="IOS"/>
    <x v="3"/>
    <x v="1"/>
    <n v="658"/>
    <n v="139"/>
    <n v="29"/>
    <n v="1311.2694870161699"/>
    <n v="139"/>
    <n v="27"/>
    <n v="1201.2894870161699"/>
  </r>
  <r>
    <x v="12"/>
    <s v="IOS"/>
    <x v="0"/>
    <x v="0"/>
    <n v="2039"/>
    <n v="244"/>
    <n v="55"/>
    <n v="1866.6131225822501"/>
    <n v="244"/>
    <n v="53"/>
    <n v="1784.9446573851301"/>
  </r>
  <r>
    <x v="12"/>
    <s v="IOS"/>
    <x v="3"/>
    <x v="0"/>
    <n v="2051"/>
    <n v="222"/>
    <n v="65"/>
    <n v="2289.0796616689699"/>
    <n v="222"/>
    <n v="62"/>
    <n v="2165.8665668037202"/>
  </r>
  <r>
    <x v="12"/>
    <s v="IOS"/>
    <x v="4"/>
    <x v="1"/>
    <n v="591"/>
    <n v="117"/>
    <n v="27"/>
    <n v="1220.33632439145"/>
    <n v="117"/>
    <n v="27"/>
    <n v="1220.33632439145"/>
  </r>
  <r>
    <x v="12"/>
    <s v="IOS"/>
    <x v="4"/>
    <x v="0"/>
    <n v="1844"/>
    <n v="233"/>
    <n v="62"/>
    <n v="2098.2958881928198"/>
    <n v="233"/>
    <n v="62"/>
    <n v="2098.2958881928198"/>
  </r>
  <r>
    <x v="13"/>
    <s v="ANDROID"/>
    <x v="2"/>
    <x v="1"/>
    <n v="2113"/>
    <n v="23"/>
    <n v="9"/>
    <n v="57.269059728482397"/>
    <n v="23"/>
    <n v="8"/>
    <n v="49.890415694801398"/>
  </r>
  <r>
    <x v="13"/>
    <s v="ANDROID"/>
    <x v="2"/>
    <x v="0"/>
    <n v="893"/>
    <n v="11"/>
    <n v="5"/>
    <n v="41.801094198197397"/>
    <n v="11"/>
    <n v="5"/>
    <n v="41.801094198197397"/>
  </r>
  <r>
    <x v="13"/>
    <s v="ANDROID"/>
    <x v="5"/>
    <x v="0"/>
    <n v="1002"/>
    <n v="15"/>
    <n v="5"/>
    <n v="47.746174710964297"/>
    <n v="15"/>
    <n v="5"/>
    <n v="47.746174710964297"/>
  </r>
  <r>
    <x v="13"/>
    <s v="ANDROID"/>
    <x v="5"/>
    <x v="1"/>
    <n v="2118"/>
    <n v="55"/>
    <n v="19"/>
    <n v="109.107952332574"/>
    <n v="55"/>
    <n v="19"/>
    <n v="109.107952332574"/>
  </r>
  <r>
    <x v="13"/>
    <s v="ANDROID"/>
    <x v="1"/>
    <x v="1"/>
    <n v="2016"/>
    <n v="44"/>
    <n v="14"/>
    <n v="112.091136159201"/>
    <n v="44"/>
    <n v="14"/>
    <n v="112.091136159201"/>
  </r>
  <r>
    <x v="13"/>
    <s v="ANDROID"/>
    <x v="1"/>
    <x v="0"/>
    <n v="943"/>
    <n v="13"/>
    <n v="6"/>
    <n v="53.519733368948003"/>
    <n v="13"/>
    <n v="5"/>
    <n v="46.141089335266898"/>
  </r>
  <r>
    <x v="13"/>
    <s v="IOS"/>
    <x v="0"/>
    <x v="1"/>
    <n v="655"/>
    <n v="118"/>
    <n v="25"/>
    <n v="1241.42875316249"/>
    <n v="118"/>
    <n v="25"/>
    <n v="1241.42875316249"/>
  </r>
  <r>
    <x v="13"/>
    <s v="IOS"/>
    <x v="0"/>
    <x v="0"/>
    <n v="1823"/>
    <n v="236"/>
    <n v="50"/>
    <n v="1670.6724705379099"/>
    <n v="236"/>
    <n v="46"/>
    <n v="1490.2198217821999"/>
  </r>
  <r>
    <x v="13"/>
    <s v="IOS"/>
    <x v="3"/>
    <x v="0"/>
    <n v="1821"/>
    <n v="208"/>
    <n v="56"/>
    <n v="2185.4826561920499"/>
    <n v="208"/>
    <n v="53"/>
    <n v="2059.8639638296399"/>
  </r>
  <r>
    <x v="13"/>
    <s v="IOS"/>
    <x v="3"/>
    <x v="1"/>
    <n v="718"/>
    <n v="111"/>
    <n v="26"/>
    <n v="1175.4232794608799"/>
    <n v="111"/>
    <n v="26"/>
    <n v="1175.4232794608799"/>
  </r>
  <r>
    <x v="13"/>
    <s v="IOS"/>
    <x v="4"/>
    <x v="0"/>
    <n v="1832"/>
    <n v="240"/>
    <n v="69"/>
    <n v="2319.4547213545402"/>
    <n v="240"/>
    <n v="68"/>
    <n v="2264.46472135454"/>
  </r>
  <r>
    <x v="13"/>
    <s v="IOS"/>
    <x v="4"/>
    <x v="1"/>
    <n v="623"/>
    <n v="110"/>
    <n v="17"/>
    <n v="809.73151034100295"/>
    <n v="110"/>
    <n v="17"/>
    <n v="809.73151034100295"/>
  </r>
  <r>
    <x v="14"/>
    <s v="ANDROID"/>
    <x v="2"/>
    <x v="1"/>
    <n v="2288"/>
    <n v="31"/>
    <n v="17"/>
    <n v="113.46351781488499"/>
    <n v="31"/>
    <n v="17"/>
    <n v="113.46351781488499"/>
  </r>
  <r>
    <x v="14"/>
    <s v="ANDROID"/>
    <x v="5"/>
    <x v="0"/>
    <n v="949"/>
    <n v="19"/>
    <n v="4"/>
    <n v="31.051910904374498"/>
    <n v="19"/>
    <n v="4"/>
    <n v="31.051910904374498"/>
  </r>
  <r>
    <x v="14"/>
    <s v="ANDROID"/>
    <x v="1"/>
    <x v="0"/>
    <n v="930"/>
    <n v="14"/>
    <n v="6"/>
    <n v="70.422613519902896"/>
    <n v="14"/>
    <n v="5"/>
    <n v="48.850250681620601"/>
  </r>
  <r>
    <x v="14"/>
    <s v="ANDROID"/>
    <x v="1"/>
    <x v="1"/>
    <n v="2436"/>
    <n v="39"/>
    <n v="13"/>
    <n v="113.253605894139"/>
    <n v="39"/>
    <n v="13"/>
    <n v="113.253605894139"/>
  </r>
  <r>
    <x v="14"/>
    <s v="ANDROID"/>
    <x v="5"/>
    <x v="1"/>
    <n v="2400"/>
    <n v="58"/>
    <n v="19"/>
    <n v="135.28923725394"/>
    <n v="58"/>
    <n v="18"/>
    <n v="127.135927143912"/>
  </r>
  <r>
    <x v="14"/>
    <s v="ANDROID"/>
    <x v="2"/>
    <x v="0"/>
    <n v="939"/>
    <n v="9"/>
    <n v="3"/>
    <n v="48.046667335505603"/>
    <n v="9"/>
    <n v="3"/>
    <n v="48.046667335505603"/>
  </r>
  <r>
    <x v="14"/>
    <s v="IOS"/>
    <x v="4"/>
    <x v="0"/>
    <n v="1774"/>
    <n v="243"/>
    <n v="69"/>
    <n v="2578.7067530310001"/>
    <n v="243"/>
    <n v="68"/>
    <n v="2558.7167530309998"/>
  </r>
  <r>
    <x v="14"/>
    <s v="IOS"/>
    <x v="4"/>
    <x v="1"/>
    <n v="667"/>
    <n v="122"/>
    <n v="26"/>
    <n v="1196.6894799630199"/>
    <n v="122"/>
    <n v="26"/>
    <n v="1196.6894799630199"/>
  </r>
  <r>
    <x v="14"/>
    <s v="IOS"/>
    <x v="3"/>
    <x v="0"/>
    <n v="1801"/>
    <n v="203"/>
    <n v="46"/>
    <n v="1722.1972480970701"/>
    <n v="203"/>
    <n v="42"/>
    <n v="1570.32351910997"/>
  </r>
  <r>
    <x v="14"/>
    <s v="IOS"/>
    <x v="3"/>
    <x v="1"/>
    <n v="668"/>
    <n v="106"/>
    <n v="29"/>
    <n v="1434.5040564758301"/>
    <n v="106"/>
    <n v="29"/>
    <n v="1434.5040564758301"/>
  </r>
  <r>
    <x v="14"/>
    <s v="IOS"/>
    <x v="0"/>
    <x v="1"/>
    <n v="671"/>
    <n v="109"/>
    <n v="22"/>
    <n v="937.28120287233799"/>
    <n v="109"/>
    <n v="21"/>
    <n v="882.29120287233798"/>
  </r>
  <r>
    <x v="14"/>
    <s v="IOS"/>
    <x v="0"/>
    <x v="0"/>
    <n v="1813"/>
    <n v="215"/>
    <n v="58"/>
    <n v="2009.22405446069"/>
    <n v="215"/>
    <n v="58"/>
    <n v="2009.22405446069"/>
  </r>
  <r>
    <x v="15"/>
    <s v="ANDROID"/>
    <x v="2"/>
    <x v="0"/>
    <n v="992"/>
    <n v="12"/>
    <n v="6"/>
    <n v="35.632694821812699"/>
    <n v="12"/>
    <n v="6"/>
    <n v="35.632694821812699"/>
  </r>
  <r>
    <x v="15"/>
    <s v="ANDROID"/>
    <x v="5"/>
    <x v="0"/>
    <n v="1025"/>
    <n v="21"/>
    <n v="13"/>
    <n v="88.239401815983598"/>
    <n v="21"/>
    <n v="13"/>
    <n v="88.239401815983598"/>
  </r>
  <r>
    <x v="15"/>
    <s v="ANDROID"/>
    <x v="1"/>
    <x v="0"/>
    <n v="1003"/>
    <n v="15"/>
    <n v="11"/>
    <n v="106.155783346215"/>
    <n v="15"/>
    <n v="10"/>
    <n v="78.404181897823193"/>
  </r>
  <r>
    <x v="15"/>
    <s v="ANDROID"/>
    <x v="5"/>
    <x v="1"/>
    <n v="2256"/>
    <n v="72"/>
    <n v="23"/>
    <n v="219.979013284339"/>
    <n v="72"/>
    <n v="22"/>
    <n v="212.404977471666"/>
  </r>
  <r>
    <x v="15"/>
    <s v="ANDROID"/>
    <x v="1"/>
    <x v="1"/>
    <n v="2119"/>
    <n v="35"/>
    <n v="10"/>
    <n v="43.837379191707299"/>
    <n v="35"/>
    <n v="10"/>
    <n v="43.837379191707299"/>
  </r>
  <r>
    <x v="15"/>
    <s v="ANDROID"/>
    <x v="2"/>
    <x v="1"/>
    <n v="2124"/>
    <n v="23"/>
    <n v="6"/>
    <n v="21.247220830014101"/>
    <n v="23"/>
    <n v="6"/>
    <n v="21.247220830014101"/>
  </r>
  <r>
    <x v="15"/>
    <s v="IOS"/>
    <x v="4"/>
    <x v="0"/>
    <n v="1937"/>
    <n v="258"/>
    <n v="77"/>
    <n v="2442.6190950330001"/>
    <n v="258"/>
    <n v="75"/>
    <n v="2358.8370281996099"/>
  </r>
  <r>
    <x v="15"/>
    <s v="IOS"/>
    <x v="3"/>
    <x v="0"/>
    <n v="1827"/>
    <n v="214"/>
    <n v="59"/>
    <n v="1957.10553721223"/>
    <n v="214"/>
    <n v="58"/>
    <n v="1921.6581321347001"/>
  </r>
  <r>
    <x v="15"/>
    <s v="IOS"/>
    <x v="0"/>
    <x v="0"/>
    <n v="1907"/>
    <n v="221"/>
    <n v="50"/>
    <n v="1723.1679661917001"/>
    <n v="221"/>
    <n v="48"/>
    <n v="1652.69931605396"/>
  </r>
  <r>
    <x v="15"/>
    <s v="IOS"/>
    <x v="0"/>
    <x v="1"/>
    <n v="618"/>
    <n v="129"/>
    <n v="36"/>
    <n v="1720.4999919065101"/>
    <n v="129"/>
    <n v="36"/>
    <n v="1720.4999919065101"/>
  </r>
  <r>
    <x v="15"/>
    <s v="IOS"/>
    <x v="3"/>
    <x v="1"/>
    <n v="655"/>
    <n v="87"/>
    <n v="23"/>
    <n v="1047.47678505627"/>
    <n v="87"/>
    <n v="21"/>
    <n v="981.43229456758502"/>
  </r>
  <r>
    <x v="15"/>
    <s v="IOS"/>
    <x v="4"/>
    <x v="1"/>
    <n v="630"/>
    <n v="123"/>
    <n v="31"/>
    <n v="1415.4481734020201"/>
    <n v="123"/>
    <n v="31"/>
    <n v="1415.4481734020201"/>
  </r>
  <r>
    <x v="16"/>
    <s v="ANDROID"/>
    <x v="2"/>
    <x v="0"/>
    <n v="1093"/>
    <n v="14"/>
    <n v="8"/>
    <n v="66.155310253792805"/>
    <n v="14"/>
    <n v="8"/>
    <n v="66.155310253792805"/>
  </r>
  <r>
    <x v="16"/>
    <s v="ANDROID"/>
    <x v="5"/>
    <x v="1"/>
    <n v="1863"/>
    <n v="48"/>
    <n v="19"/>
    <n v="167.737968465206"/>
    <n v="48"/>
    <n v="18"/>
    <n v="160.16393265253399"/>
  </r>
  <r>
    <x v="16"/>
    <s v="ANDROID"/>
    <x v="5"/>
    <x v="0"/>
    <n v="1102"/>
    <n v="23"/>
    <n v="7"/>
    <n v="119.55077964095899"/>
    <n v="23"/>
    <n v="7"/>
    <n v="119.55077964095899"/>
  </r>
  <r>
    <x v="16"/>
    <s v="ANDROID"/>
    <x v="1"/>
    <x v="0"/>
    <n v="1094"/>
    <n v="13"/>
    <n v="9"/>
    <n v="89.749299433440598"/>
    <n v="13"/>
    <n v="8"/>
    <n v="82.007717282125498"/>
  </r>
  <r>
    <x v="16"/>
    <s v="ANDROID"/>
    <x v="2"/>
    <x v="1"/>
    <n v="1897"/>
    <n v="18"/>
    <n v="9"/>
    <n v="41.020373965004403"/>
    <n v="18"/>
    <n v="9"/>
    <n v="41.020373965004403"/>
  </r>
  <r>
    <x v="16"/>
    <s v="ANDROID"/>
    <x v="1"/>
    <x v="1"/>
    <n v="1820"/>
    <n v="35"/>
    <n v="15"/>
    <n v="173.58661575270901"/>
    <n v="35"/>
    <n v="14"/>
    <n v="166.01257994003601"/>
  </r>
  <r>
    <x v="16"/>
    <s v="IOS"/>
    <x v="0"/>
    <x v="0"/>
    <n v="1993"/>
    <n v="211"/>
    <n v="41"/>
    <n v="1446.11167941914"/>
    <n v="211"/>
    <n v="40"/>
    <n v="1430.63302928139"/>
  </r>
  <r>
    <x v="16"/>
    <s v="IOS"/>
    <x v="4"/>
    <x v="0"/>
    <n v="1963"/>
    <n v="226"/>
    <n v="54"/>
    <n v="1841.1897199739201"/>
    <n v="226"/>
    <n v="52"/>
    <n v="1772.30131669653"/>
  </r>
  <r>
    <x v="16"/>
    <s v="IOS"/>
    <x v="3"/>
    <x v="0"/>
    <n v="2088"/>
    <n v="227"/>
    <n v="60"/>
    <n v="2327.47381538532"/>
    <n v="227"/>
    <n v="58"/>
    <n v="2268.00516524758"/>
  </r>
  <r>
    <x v="16"/>
    <s v="IOS"/>
    <x v="3"/>
    <x v="1"/>
    <n v="611"/>
    <n v="86"/>
    <n v="21"/>
    <n v="923.66311218388398"/>
    <n v="86"/>
    <n v="21"/>
    <n v="923.66311218388398"/>
  </r>
  <r>
    <x v="16"/>
    <s v="IOS"/>
    <x v="4"/>
    <x v="1"/>
    <n v="593"/>
    <n v="106"/>
    <n v="25"/>
    <n v="1286.5704898890201"/>
    <n v="106"/>
    <n v="25"/>
    <n v="1286.5704898890201"/>
  </r>
  <r>
    <x v="16"/>
    <s v="IOS"/>
    <x v="0"/>
    <x v="1"/>
    <n v="613"/>
    <n v="86"/>
    <n v="25"/>
    <n v="1126.7455006615"/>
    <n v="86"/>
    <n v="24"/>
    <n v="1071.7555006615"/>
  </r>
  <r>
    <x v="17"/>
    <s v="ANDROID"/>
    <x v="1"/>
    <x v="1"/>
    <n v="2392"/>
    <n v="47"/>
    <n v="16"/>
    <n v="146.87991874745899"/>
    <n v="47"/>
    <n v="16"/>
    <n v="146.87991874745899"/>
  </r>
  <r>
    <x v="17"/>
    <s v="ANDROID"/>
    <x v="5"/>
    <x v="0"/>
    <n v="1229"/>
    <n v="34"/>
    <n v="18"/>
    <n v="225.63339169724799"/>
    <n v="34"/>
    <n v="17"/>
    <n v="217.94471410085501"/>
  </r>
  <r>
    <x v="17"/>
    <s v="ANDROID"/>
    <x v="2"/>
    <x v="1"/>
    <n v="2269"/>
    <n v="27"/>
    <n v="9"/>
    <n v="48.165489612331903"/>
    <n v="27"/>
    <n v="9"/>
    <n v="48.165489612331903"/>
  </r>
  <r>
    <x v="17"/>
    <s v="ANDROID"/>
    <x v="5"/>
    <x v="1"/>
    <n v="2348"/>
    <n v="67"/>
    <n v="10"/>
    <n v="48.959132101808301"/>
    <n v="67"/>
    <n v="10"/>
    <n v="48.959132101808301"/>
  </r>
  <r>
    <x v="17"/>
    <s v="ANDROID"/>
    <x v="1"/>
    <x v="0"/>
    <n v="1210"/>
    <n v="13"/>
    <n v="6"/>
    <n v="78.341711292607101"/>
    <n v="13"/>
    <n v="6"/>
    <n v="78.341711292607101"/>
  </r>
  <r>
    <x v="17"/>
    <s v="ANDROID"/>
    <x v="2"/>
    <x v="0"/>
    <n v="1126"/>
    <n v="17"/>
    <n v="12"/>
    <n v="157.95078209675"/>
    <n v="17"/>
    <n v="12"/>
    <n v="157.95078209675"/>
  </r>
  <r>
    <x v="17"/>
    <s v="IOS"/>
    <x v="3"/>
    <x v="0"/>
    <n v="2659"/>
    <n v="298"/>
    <n v="75"/>
    <n v="2848.5540259968202"/>
    <n v="298"/>
    <n v="74"/>
    <n v="2791.7845595434901"/>
  </r>
  <r>
    <x v="17"/>
    <s v="IOS"/>
    <x v="4"/>
    <x v="1"/>
    <n v="776"/>
    <n v="150"/>
    <n v="45"/>
    <n v="1808.9087439180801"/>
    <n v="150"/>
    <n v="44"/>
    <n v="1753.9187439180801"/>
  </r>
  <r>
    <x v="17"/>
    <s v="IOS"/>
    <x v="0"/>
    <x v="1"/>
    <n v="757"/>
    <n v="131"/>
    <n v="35"/>
    <n v="1617.91097732205"/>
    <n v="131"/>
    <n v="34"/>
    <n v="1573.92097732205"/>
  </r>
  <r>
    <x v="17"/>
    <s v="IOS"/>
    <x v="3"/>
    <x v="1"/>
    <n v="793"/>
    <n v="150"/>
    <n v="31"/>
    <n v="1313.1223329305001"/>
    <n v="150"/>
    <n v="31"/>
    <n v="1313.1223329305001"/>
  </r>
  <r>
    <x v="17"/>
    <s v="IOS"/>
    <x v="0"/>
    <x v="0"/>
    <n v="2640"/>
    <n v="340"/>
    <n v="86"/>
    <n v="3345.1796757889902"/>
    <n v="340"/>
    <n v="81"/>
    <n v="3245.73644620599"/>
  </r>
  <r>
    <x v="17"/>
    <s v="IOS"/>
    <x v="4"/>
    <x v="0"/>
    <n v="2602"/>
    <n v="361"/>
    <n v="91"/>
    <n v="3140.9620450126499"/>
    <n v="361"/>
    <n v="85"/>
    <n v="2946.42833677814"/>
  </r>
  <r>
    <x v="18"/>
    <s v="ANDROID"/>
    <x v="1"/>
    <x v="1"/>
    <n v="2369"/>
    <n v="39"/>
    <n v="17"/>
    <n v="116.392024489306"/>
    <n v="39"/>
    <n v="15"/>
    <n v="100.609794650609"/>
  </r>
  <r>
    <x v="18"/>
    <s v="ANDROID"/>
    <x v="2"/>
    <x v="0"/>
    <n v="1237"/>
    <n v="16"/>
    <n v="8"/>
    <n v="93.623147506559306"/>
    <n v="16"/>
    <n v="8"/>
    <n v="93.623147506559306"/>
  </r>
  <r>
    <x v="18"/>
    <s v="ANDROID"/>
    <x v="5"/>
    <x v="0"/>
    <n v="1207"/>
    <n v="24"/>
    <n v="7"/>
    <n v="126.57408493292201"/>
    <n v="24"/>
    <n v="5"/>
    <n v="67.662563979095907"/>
  </r>
  <r>
    <x v="18"/>
    <s v="ANDROID"/>
    <x v="1"/>
    <x v="0"/>
    <n v="1217"/>
    <n v="17"/>
    <n v="10"/>
    <n v="123.120700009595"/>
    <n v="17"/>
    <n v="10"/>
    <n v="123.120700009595"/>
  </r>
  <r>
    <x v="18"/>
    <s v="ANDROID"/>
    <x v="2"/>
    <x v="1"/>
    <n v="2448"/>
    <n v="30"/>
    <n v="16"/>
    <n v="130.11215857396499"/>
    <n v="30"/>
    <n v="12"/>
    <n v="79.2580378645184"/>
  </r>
  <r>
    <x v="18"/>
    <s v="ANDROID"/>
    <x v="5"/>
    <x v="1"/>
    <n v="2355"/>
    <n v="68"/>
    <n v="23"/>
    <n v="151.39812279431101"/>
    <n v="68"/>
    <n v="23"/>
    <n v="151.39812279431101"/>
  </r>
  <r>
    <x v="18"/>
    <s v="IOS"/>
    <x v="0"/>
    <x v="0"/>
    <n v="2505"/>
    <n v="298"/>
    <n v="67"/>
    <n v="2765.0436109012799"/>
    <n v="298"/>
    <n v="63"/>
    <n v="2569.5982067199802"/>
  </r>
  <r>
    <x v="18"/>
    <s v="IOS"/>
    <x v="0"/>
    <x v="1"/>
    <n v="746"/>
    <n v="146"/>
    <n v="42"/>
    <n v="1956.68905248596"/>
    <n v="146"/>
    <n v="41"/>
    <n v="1912.69905248596"/>
  </r>
  <r>
    <x v="18"/>
    <s v="IOS"/>
    <x v="4"/>
    <x v="1"/>
    <n v="768"/>
    <n v="153"/>
    <n v="44"/>
    <n v="1996.45586806595"/>
    <n v="153"/>
    <n v="43"/>
    <n v="1941.46586806595"/>
  </r>
  <r>
    <x v="18"/>
    <s v="IOS"/>
    <x v="3"/>
    <x v="1"/>
    <n v="755"/>
    <n v="146"/>
    <n v="36"/>
    <n v="1683.8433744947099"/>
    <n v="146"/>
    <n v="36"/>
    <n v="1683.8433744947099"/>
  </r>
  <r>
    <x v="18"/>
    <s v="IOS"/>
    <x v="3"/>
    <x v="0"/>
    <n v="2625"/>
    <n v="287"/>
    <n v="75"/>
    <n v="2590.0136256148498"/>
    <n v="287"/>
    <n v="69"/>
    <n v="2425.1966910337401"/>
  </r>
  <r>
    <x v="18"/>
    <s v="IOS"/>
    <x v="4"/>
    <x v="0"/>
    <n v="2691"/>
    <n v="387"/>
    <n v="93"/>
    <n v="3724.97394847531"/>
    <n v="387"/>
    <n v="88"/>
    <n v="3505.0276886769898"/>
  </r>
  <r>
    <x v="19"/>
    <s v="ANDROID"/>
    <x v="1"/>
    <x v="1"/>
    <n v="1991"/>
    <n v="40"/>
    <n v="13"/>
    <n v="60.913329716545299"/>
    <n v="40"/>
    <n v="12"/>
    <n v="53.2555701204098"/>
  </r>
  <r>
    <x v="19"/>
    <s v="ANDROID"/>
    <x v="2"/>
    <x v="1"/>
    <n v="1977"/>
    <n v="26"/>
    <n v="10"/>
    <n v="59.386020996104499"/>
    <n v="26"/>
    <n v="9"/>
    <n v="51.728261399969099"/>
  </r>
  <r>
    <x v="19"/>
    <s v="ANDROID"/>
    <x v="2"/>
    <x v="0"/>
    <n v="1055"/>
    <n v="11"/>
    <n v="6"/>
    <n v="63.972604918442102"/>
    <n v="11"/>
    <n v="6"/>
    <n v="63.972604918442102"/>
  </r>
  <r>
    <x v="19"/>
    <s v="ANDROID"/>
    <x v="1"/>
    <x v="0"/>
    <n v="1025"/>
    <n v="16"/>
    <n v="7"/>
    <n v="68.849415197323196"/>
    <n v="16"/>
    <n v="6"/>
    <n v="37.934497831536298"/>
  </r>
  <r>
    <x v="19"/>
    <s v="ANDROID"/>
    <x v="5"/>
    <x v="0"/>
    <n v="1031"/>
    <n v="22"/>
    <n v="9"/>
    <n v="97.296653388316599"/>
    <n v="22"/>
    <n v="9"/>
    <n v="97.296653388316599"/>
  </r>
  <r>
    <x v="19"/>
    <s v="ANDROID"/>
    <x v="5"/>
    <x v="1"/>
    <n v="2011"/>
    <n v="68"/>
    <n v="26"/>
    <n v="212.380584995823"/>
    <n v="68"/>
    <n v="25"/>
    <n v="204.63900284450801"/>
  </r>
  <r>
    <x v="19"/>
    <s v="IOS"/>
    <x v="0"/>
    <x v="1"/>
    <n v="658"/>
    <n v="107"/>
    <n v="29"/>
    <n v="1448.59383092126"/>
    <n v="107"/>
    <n v="29"/>
    <n v="1448.59383092126"/>
  </r>
  <r>
    <x v="19"/>
    <s v="IOS"/>
    <x v="3"/>
    <x v="1"/>
    <n v="654"/>
    <n v="118"/>
    <n v="35"/>
    <n v="1745.9766430007301"/>
    <n v="118"/>
    <n v="35"/>
    <n v="1745.9766430007301"/>
  </r>
  <r>
    <x v="19"/>
    <s v="IOS"/>
    <x v="4"/>
    <x v="1"/>
    <n v="689"/>
    <n v="124"/>
    <n v="37"/>
    <n v="1833.38538342936"/>
    <n v="124"/>
    <n v="37"/>
    <n v="1833.38538342936"/>
  </r>
  <r>
    <x v="19"/>
    <s v="IOS"/>
    <x v="4"/>
    <x v="0"/>
    <n v="2047"/>
    <n v="300"/>
    <n v="74"/>
    <n v="2795.1289718942999"/>
    <n v="300"/>
    <n v="67"/>
    <n v="2596.6261972921802"/>
  </r>
  <r>
    <x v="19"/>
    <s v="IOS"/>
    <x v="3"/>
    <x v="0"/>
    <n v="2075"/>
    <n v="214"/>
    <n v="56"/>
    <n v="2010.56499955546"/>
    <n v="214"/>
    <n v="55"/>
    <n v="1941.51168662386"/>
  </r>
  <r>
    <x v="19"/>
    <s v="IOS"/>
    <x v="0"/>
    <x v="0"/>
    <n v="1996"/>
    <n v="230"/>
    <n v="44"/>
    <n v="1663.0940654507301"/>
    <n v="230"/>
    <n v="44"/>
    <n v="1663.0940654507301"/>
  </r>
  <r>
    <x v="20"/>
    <s v="ANDROID"/>
    <x v="1"/>
    <x v="0"/>
    <n v="955"/>
    <n v="16"/>
    <n v="6"/>
    <n v="72.744574858357694"/>
    <n v="16"/>
    <n v="5"/>
    <n v="63.754574858357699"/>
  </r>
  <r>
    <x v="20"/>
    <s v="ANDROID"/>
    <x v="2"/>
    <x v="0"/>
    <n v="1045"/>
    <n v="14"/>
    <n v="6"/>
    <n v="101.269885757062"/>
    <n v="14"/>
    <n v="5"/>
    <n v="72.049885757062299"/>
  </r>
  <r>
    <x v="20"/>
    <s v="ANDROID"/>
    <x v="2"/>
    <x v="1"/>
    <n v="1872"/>
    <n v="19"/>
    <n v="11"/>
    <n v="55.158596208545298"/>
    <n v="19"/>
    <n v="11"/>
    <n v="55.158596208545298"/>
  </r>
  <r>
    <x v="20"/>
    <s v="ANDROID"/>
    <x v="5"/>
    <x v="1"/>
    <n v="1877"/>
    <n v="53"/>
    <n v="18"/>
    <n v="150.610949691927"/>
    <n v="53"/>
    <n v="17"/>
    <n v="142.953190095792"/>
  </r>
  <r>
    <x v="20"/>
    <s v="ANDROID"/>
    <x v="5"/>
    <x v="0"/>
    <n v="958"/>
    <n v="19"/>
    <n v="10"/>
    <n v="83.805989237539094"/>
    <n v="19"/>
    <n v="9"/>
    <n v="63.230732589849502"/>
  </r>
  <r>
    <x v="20"/>
    <s v="ANDROID"/>
    <x v="1"/>
    <x v="1"/>
    <n v="1840"/>
    <n v="30"/>
    <n v="10"/>
    <n v="65.312903317050498"/>
    <n v="30"/>
    <n v="10"/>
    <n v="65.312903317050498"/>
  </r>
  <r>
    <x v="20"/>
    <s v="IOS"/>
    <x v="0"/>
    <x v="0"/>
    <n v="2007"/>
    <n v="209"/>
    <n v="48"/>
    <n v="1781.85907330235"/>
    <n v="209"/>
    <n v="45"/>
    <n v="1645.6154186095"/>
  </r>
  <r>
    <x v="20"/>
    <s v="IOS"/>
    <x v="3"/>
    <x v="1"/>
    <n v="661"/>
    <n v="104"/>
    <n v="32"/>
    <n v="1601.5663493913901"/>
    <n v="104"/>
    <n v="30"/>
    <n v="1500.7598465784099"/>
  </r>
  <r>
    <x v="20"/>
    <s v="IOS"/>
    <x v="3"/>
    <x v="0"/>
    <n v="1970"/>
    <n v="209"/>
    <n v="46"/>
    <n v="1418.1944378584501"/>
    <n v="209"/>
    <n v="43"/>
    <n v="1331.26586114361"/>
  </r>
  <r>
    <x v="20"/>
    <s v="IOS"/>
    <x v="0"/>
    <x v="1"/>
    <n v="608"/>
    <n v="113"/>
    <n v="30"/>
    <n v="1318.39581377903"/>
    <n v="113"/>
    <n v="28"/>
    <n v="1210.14936647282"/>
  </r>
  <r>
    <x v="20"/>
    <s v="IOS"/>
    <x v="4"/>
    <x v="1"/>
    <n v="621"/>
    <n v="132"/>
    <n v="39"/>
    <n v="1781.72233788054"/>
    <n v="132"/>
    <n v="39"/>
    <n v="1781.72233788054"/>
  </r>
  <r>
    <x v="20"/>
    <s v="IOS"/>
    <x v="4"/>
    <x v="0"/>
    <n v="2012"/>
    <n v="285"/>
    <n v="69"/>
    <n v="2474.62552415547"/>
    <n v="285"/>
    <n v="63"/>
    <n v="2277.14747100554"/>
  </r>
  <r>
    <x v="21"/>
    <s v="ANDROID"/>
    <x v="5"/>
    <x v="1"/>
    <n v="2077"/>
    <n v="45"/>
    <n v="14"/>
    <n v="95.890240821665003"/>
    <n v="45"/>
    <n v="14"/>
    <n v="95.890240821665003"/>
  </r>
  <r>
    <x v="21"/>
    <s v="ANDROID"/>
    <x v="2"/>
    <x v="1"/>
    <n v="2090"/>
    <n v="23"/>
    <n v="9"/>
    <n v="57.393301296402903"/>
    <n v="23"/>
    <n v="9"/>
    <n v="57.393301296402903"/>
  </r>
  <r>
    <x v="21"/>
    <s v="ANDROID"/>
    <x v="1"/>
    <x v="1"/>
    <n v="2108"/>
    <n v="48"/>
    <n v="15"/>
    <n v="114.04359574816699"/>
    <n v="48"/>
    <n v="15"/>
    <n v="114.04359574816699"/>
  </r>
  <r>
    <x v="21"/>
    <s v="ANDROID"/>
    <x v="5"/>
    <x v="0"/>
    <n v="1024"/>
    <n v="19"/>
    <n v="9"/>
    <n v="108.063097544095"/>
    <n v="19"/>
    <n v="8"/>
    <n v="99.969545301790603"/>
  </r>
  <r>
    <x v="21"/>
    <s v="ANDROID"/>
    <x v="2"/>
    <x v="0"/>
    <n v="967"/>
    <n v="13"/>
    <n v="7"/>
    <n v="68.049742480033402"/>
    <n v="13"/>
    <n v="6"/>
    <n v="59.956190237728698"/>
  </r>
  <r>
    <x v="21"/>
    <s v="ANDROID"/>
    <x v="1"/>
    <x v="0"/>
    <n v="974"/>
    <n v="11"/>
    <n v="3"/>
    <n v="43.827347810193501"/>
    <n v="11"/>
    <n v="3"/>
    <n v="43.827347810193501"/>
  </r>
  <r>
    <x v="21"/>
    <s v="IOS"/>
    <x v="0"/>
    <x v="1"/>
    <n v="632"/>
    <n v="105"/>
    <n v="28"/>
    <n v="1282.6964486796001"/>
    <n v="105"/>
    <n v="28"/>
    <n v="1282.6964486796001"/>
  </r>
  <r>
    <x v="21"/>
    <s v="IOS"/>
    <x v="4"/>
    <x v="0"/>
    <n v="1931"/>
    <n v="255"/>
    <n v="69"/>
    <n v="2288.7376883411998"/>
    <n v="255"/>
    <n v="63"/>
    <n v="2134.5524504116902"/>
  </r>
  <r>
    <x v="21"/>
    <s v="IOS"/>
    <x v="3"/>
    <x v="0"/>
    <n v="1928"/>
    <n v="237"/>
    <n v="57"/>
    <n v="2317.1461391552398"/>
    <n v="237"/>
    <n v="51"/>
    <n v="2104.50582676467"/>
  </r>
  <r>
    <x v="21"/>
    <s v="IOS"/>
    <x v="3"/>
    <x v="1"/>
    <n v="600"/>
    <n v="113"/>
    <n v="27"/>
    <n v="1147.43615913855"/>
    <n v="113"/>
    <n v="27"/>
    <n v="1147.43615913855"/>
  </r>
  <r>
    <x v="21"/>
    <s v="IOS"/>
    <x v="0"/>
    <x v="0"/>
    <n v="1942"/>
    <n v="241"/>
    <n v="68"/>
    <n v="2509.1542802218701"/>
    <n v="241"/>
    <n v="63"/>
    <n v="2364.5300056299302"/>
  </r>
  <r>
    <x v="21"/>
    <s v="IOS"/>
    <x v="4"/>
    <x v="1"/>
    <n v="613"/>
    <n v="122"/>
    <n v="36"/>
    <n v="1667.99316375544"/>
    <n v="122"/>
    <n v="36"/>
    <n v="1667.99316375544"/>
  </r>
  <r>
    <x v="22"/>
    <s v="ANDROID"/>
    <x v="2"/>
    <x v="0"/>
    <n v="1119"/>
    <n v="19"/>
    <n v="9"/>
    <n v="73.443067926207107"/>
    <n v="19"/>
    <n v="8"/>
    <n v="65.361035028695497"/>
  </r>
  <r>
    <x v="22"/>
    <s v="ANDROID"/>
    <x v="2"/>
    <x v="1"/>
    <n v="1941"/>
    <n v="22"/>
    <n v="9"/>
    <n v="40.703611763582302"/>
    <n v="22"/>
    <n v="8"/>
    <n v="32.610059521277599"/>
  </r>
  <r>
    <x v="22"/>
    <s v="ANDROID"/>
    <x v="5"/>
    <x v="1"/>
    <n v="2044"/>
    <n v="42"/>
    <n v="13"/>
    <n v="70.355383399854702"/>
    <n v="42"/>
    <n v="12"/>
    <n v="62.613801248539602"/>
  </r>
  <r>
    <x v="22"/>
    <s v="ANDROID"/>
    <x v="1"/>
    <x v="0"/>
    <n v="1148"/>
    <n v="16"/>
    <n v="5"/>
    <n v="42.625376059516803"/>
    <n v="16"/>
    <n v="5"/>
    <n v="42.625376059516803"/>
  </r>
  <r>
    <x v="22"/>
    <s v="ANDROID"/>
    <x v="5"/>
    <x v="0"/>
    <n v="1120"/>
    <n v="22"/>
    <n v="7"/>
    <n v="57.001028336941999"/>
    <n v="22"/>
    <n v="7"/>
    <n v="57.001028336941999"/>
  </r>
  <r>
    <x v="22"/>
    <s v="ANDROID"/>
    <x v="1"/>
    <x v="1"/>
    <n v="1958"/>
    <n v="44"/>
    <n v="11"/>
    <n v="108.489974100323"/>
    <n v="44"/>
    <n v="10"/>
    <n v="100.407941202812"/>
  </r>
  <r>
    <x v="22"/>
    <s v="IOS"/>
    <x v="4"/>
    <x v="1"/>
    <n v="602"/>
    <n v="127"/>
    <n v="31"/>
    <n v="1557.0238856650001"/>
    <n v="127"/>
    <n v="29"/>
    <n v="1469.0438856650001"/>
  </r>
  <r>
    <x v="22"/>
    <s v="IOS"/>
    <x v="3"/>
    <x v="0"/>
    <n v="2157"/>
    <n v="220"/>
    <n v="58"/>
    <n v="2330.5118521309601"/>
    <n v="220"/>
    <n v="52"/>
    <n v="2165.4977691922099"/>
  </r>
  <r>
    <x v="22"/>
    <s v="IOS"/>
    <x v="3"/>
    <x v="1"/>
    <n v="628"/>
    <n v="125"/>
    <n v="30"/>
    <n v="1438.7315515850601"/>
    <n v="125"/>
    <n v="28"/>
    <n v="1350.75155158506"/>
  </r>
  <r>
    <x v="22"/>
    <s v="IOS"/>
    <x v="0"/>
    <x v="0"/>
    <n v="2092"/>
    <n v="251"/>
    <n v="58"/>
    <n v="2000.0853941591699"/>
    <n v="251"/>
    <n v="53"/>
    <n v="1882.17136163858"/>
  </r>
  <r>
    <x v="22"/>
    <s v="IOS"/>
    <x v="0"/>
    <x v="1"/>
    <n v="619"/>
    <n v="132"/>
    <n v="37"/>
    <n v="1570.3205105064001"/>
    <n v="132"/>
    <n v="36"/>
    <n v="1526.3305105064001"/>
  </r>
  <r>
    <x v="22"/>
    <s v="IOS"/>
    <x v="4"/>
    <x v="0"/>
    <n v="1994"/>
    <n v="276"/>
    <n v="71"/>
    <n v="2506.9915502578401"/>
    <n v="276"/>
    <n v="64"/>
    <n v="2248.7715429724499"/>
  </r>
  <r>
    <x v="23"/>
    <s v="ANDROID"/>
    <x v="5"/>
    <x v="1"/>
    <n v="2479"/>
    <n v="45"/>
    <n v="12"/>
    <n v="71.953440718706901"/>
    <n v="45"/>
    <n v="12"/>
    <n v="71.953440718706901"/>
  </r>
  <r>
    <x v="23"/>
    <s v="ANDROID"/>
    <x v="5"/>
    <x v="0"/>
    <n v="1195"/>
    <n v="22"/>
    <n v="9"/>
    <n v="71.237181920832299"/>
    <n v="22"/>
    <n v="9"/>
    <n v="71.237181920832299"/>
  </r>
  <r>
    <x v="23"/>
    <s v="ANDROID"/>
    <x v="1"/>
    <x v="0"/>
    <n v="1154"/>
    <n v="23"/>
    <n v="10"/>
    <n v="120.410025621335"/>
    <n v="23"/>
    <n v="9"/>
    <n v="111.538125739178"/>
  </r>
  <r>
    <x v="23"/>
    <s v="ANDROID"/>
    <x v="2"/>
    <x v="1"/>
    <n v="2450"/>
    <n v="43"/>
    <n v="16"/>
    <n v="95.375110784854897"/>
    <n v="43"/>
    <n v="14"/>
    <n v="58.823077887343302"/>
  </r>
  <r>
    <x v="23"/>
    <s v="ANDROID"/>
    <x v="2"/>
    <x v="0"/>
    <n v="1121"/>
    <n v="12"/>
    <n v="4"/>
    <n v="47.397796324060401"/>
    <n v="12"/>
    <n v="4"/>
    <n v="47.397796324060401"/>
  </r>
  <r>
    <x v="23"/>
    <s v="ANDROID"/>
    <x v="1"/>
    <x v="1"/>
    <n v="2458"/>
    <n v="38"/>
    <n v="11"/>
    <n v="91.958731342987406"/>
    <n v="38"/>
    <n v="9"/>
    <n v="66.886698445475801"/>
  </r>
  <r>
    <x v="23"/>
    <s v="IOS"/>
    <x v="0"/>
    <x v="0"/>
    <n v="2322"/>
    <n v="249"/>
    <n v="50"/>
    <n v="1597.9934625727701"/>
    <n v="249"/>
    <n v="47"/>
    <n v="1561.14235486964"/>
  </r>
  <r>
    <x v="23"/>
    <s v="IOS"/>
    <x v="4"/>
    <x v="1"/>
    <n v="634"/>
    <n v="132"/>
    <n v="25"/>
    <n v="1024.6217933262001"/>
    <n v="132"/>
    <n v="24"/>
    <n v="1012.33794684792"/>
  </r>
  <r>
    <x v="23"/>
    <s v="IOS"/>
    <x v="3"/>
    <x v="1"/>
    <n v="723"/>
    <n v="147"/>
    <n v="46"/>
    <n v="1889.23344460014"/>
    <n v="147"/>
    <n v="45"/>
    <n v="1835.99479325939"/>
  </r>
  <r>
    <x v="23"/>
    <s v="IOS"/>
    <x v="3"/>
    <x v="0"/>
    <n v="2421"/>
    <n v="286"/>
    <n v="58"/>
    <n v="1830.5722853162299"/>
    <n v="286"/>
    <n v="54"/>
    <n v="1735.6432456948401"/>
  </r>
  <r>
    <x v="23"/>
    <s v="IOS"/>
    <x v="4"/>
    <x v="0"/>
    <n v="2361"/>
    <n v="357"/>
    <n v="94"/>
    <n v="2990.1927453691401"/>
    <n v="357"/>
    <n v="92"/>
    <n v="2892.9640940283898"/>
  </r>
  <r>
    <x v="23"/>
    <s v="IOS"/>
    <x v="0"/>
    <x v="1"/>
    <n v="712"/>
    <n v="130"/>
    <n v="28"/>
    <n v="1150.76444043124"/>
    <n v="130"/>
    <n v="26"/>
    <n v="1053.53578909049"/>
  </r>
  <r>
    <x v="24"/>
    <s v="ANDROID"/>
    <x v="2"/>
    <x v="0"/>
    <n v="1409"/>
    <n v="11"/>
    <n v="2"/>
    <n v="6.7537557796084204"/>
    <n v="11"/>
    <n v="2"/>
    <n v="6.7537557796084204"/>
  </r>
  <r>
    <x v="24"/>
    <s v="ANDROID"/>
    <x v="1"/>
    <x v="0"/>
    <n v="1340"/>
    <n v="21"/>
    <n v="6"/>
    <n v="46.587589140468801"/>
    <n v="21"/>
    <n v="6"/>
    <n v="46.587589140468801"/>
  </r>
  <r>
    <x v="24"/>
    <s v="ANDROID"/>
    <x v="5"/>
    <x v="0"/>
    <n v="1293"/>
    <n v="35"/>
    <n v="10"/>
    <n v="72.030901584005704"/>
    <n v="35"/>
    <n v="10"/>
    <n v="72.030901584005704"/>
  </r>
  <r>
    <x v="24"/>
    <s v="ANDROID"/>
    <x v="5"/>
    <x v="1"/>
    <n v="2558"/>
    <n v="65"/>
    <n v="21"/>
    <n v="129.82713360893101"/>
    <n v="65"/>
    <n v="21"/>
    <n v="129.82713360893101"/>
  </r>
  <r>
    <x v="24"/>
    <s v="ANDROID"/>
    <x v="1"/>
    <x v="1"/>
    <n v="2545"/>
    <n v="41"/>
    <n v="12"/>
    <n v="59.584160688321802"/>
    <n v="41"/>
    <n v="12"/>
    <n v="59.584160688321802"/>
  </r>
  <r>
    <x v="24"/>
    <s v="ANDROID"/>
    <x v="2"/>
    <x v="1"/>
    <n v="2583"/>
    <n v="30"/>
    <n v="9"/>
    <n v="38.164445398394498"/>
    <n v="30"/>
    <n v="9"/>
    <n v="38.164445398394498"/>
  </r>
  <r>
    <x v="24"/>
    <s v="IOS"/>
    <x v="0"/>
    <x v="1"/>
    <n v="673"/>
    <n v="153"/>
    <n v="26"/>
    <n v="1112.93788920677"/>
    <n v="153"/>
    <n v="24"/>
    <n v="1025.7476587671399"/>
  </r>
  <r>
    <x v="24"/>
    <s v="IOS"/>
    <x v="3"/>
    <x v="1"/>
    <n v="700"/>
    <n v="141"/>
    <n v="31"/>
    <n v="1289.7958855946999"/>
    <n v="141"/>
    <n v="30"/>
    <n v="1236.5572342539499"/>
  </r>
  <r>
    <x v="24"/>
    <s v="IOS"/>
    <x v="3"/>
    <x v="0"/>
    <n v="2836"/>
    <n v="351"/>
    <n v="80"/>
    <n v="2385.60528404351"/>
    <n v="351"/>
    <n v="75"/>
    <n v="2292.48032986211"/>
  </r>
  <r>
    <x v="24"/>
    <s v="IOS"/>
    <x v="4"/>
    <x v="0"/>
    <n v="2889"/>
    <n v="421"/>
    <n v="101"/>
    <n v="3455.769825155"/>
    <n v="421"/>
    <n v="97"/>
    <n v="3312.3059641029399"/>
  </r>
  <r>
    <x v="24"/>
    <s v="IOS"/>
    <x v="4"/>
    <x v="1"/>
    <n v="708"/>
    <n v="209"/>
    <n v="47"/>
    <n v="1912.03154389832"/>
    <n v="209"/>
    <n v="47"/>
    <n v="1912.03154389832"/>
  </r>
  <r>
    <x v="24"/>
    <s v="IOS"/>
    <x v="0"/>
    <x v="0"/>
    <n v="2787"/>
    <n v="345"/>
    <n v="61"/>
    <n v="1760.57589509887"/>
    <n v="345"/>
    <n v="58"/>
    <n v="1692.0184180081701"/>
  </r>
  <r>
    <x v="25"/>
    <m/>
    <x v="6"/>
    <x v="2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493BDB-3A4C-3D47-B85F-DA57BF0A34E3}" name="数据透视表9" cacheId="112" applyNumberFormats="0" applyBorderFormats="0" applyFontFormats="0" applyPatternFormats="0" applyAlignmentFormats="0" applyWidthHeightFormats="1" dataCaption="值" updatedVersion="6" minRefreshableVersion="3" useAutoFormatting="1" itemPrintTitles="1" createdVersion="6" indent="0" outline="1" outlineData="1" multipleFieldFilters="0">
  <location ref="P4:Q11" firstHeaderRow="1" firstDataRow="1" firstDataCol="1" rowPageCount="2" colPageCount="1"/>
  <pivotFields count="11">
    <pivotField axis="axisPage" numFmtId="14" multipleItemSelectionAllowed="1" showAll="0">
      <items count="27">
        <item h="1" x="0"/>
        <item h="1" x="1"/>
        <item h="1" x="2"/>
        <item h="1" x="3"/>
        <item h="1" x="4"/>
        <item h="1" x="5"/>
        <item h="1"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h="1" x="25"/>
        <item t="default"/>
      </items>
    </pivotField>
    <pivotField showAll="0"/>
    <pivotField axis="axisRow" showAll="0">
      <items count="8">
        <item x="4"/>
        <item x="3"/>
        <item x="0"/>
        <item x="5"/>
        <item x="2"/>
        <item x="1"/>
        <item x="6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2">
    <pageField fld="3" hier="-1"/>
    <pageField fld="0" hier="-1"/>
  </pageFields>
  <dataFields count="1">
    <dataField name="求和项:sub_success_to_paid_7gmv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135C0-7A7F-D944-8490-1775FE2B37D5}">
  <dimension ref="A1:AC286"/>
  <sheetViews>
    <sheetView tabSelected="1" topLeftCell="H4" workbookViewId="0">
      <selection activeCell="N24" sqref="N24"/>
    </sheetView>
  </sheetViews>
  <sheetFormatPr baseColWidth="10" defaultRowHeight="16"/>
  <cols>
    <col min="2" max="2" width="10.83203125" style="11"/>
    <col min="16" max="16" width="10.5" bestFit="1" customWidth="1"/>
    <col min="17" max="17" width="35" bestFit="1" customWidth="1"/>
    <col min="20" max="20" width="11.33203125" bestFit="1" customWidth="1"/>
  </cols>
  <sheetData>
    <row r="1" spans="1:29">
      <c r="A1" s="6" t="s">
        <v>19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P1" s="2" t="s">
        <v>3</v>
      </c>
      <c r="Q1" t="s">
        <v>14</v>
      </c>
    </row>
    <row r="2" spans="1:29">
      <c r="A2" s="6" t="s">
        <v>20</v>
      </c>
      <c r="C2" s="1">
        <v>45743</v>
      </c>
      <c r="D2" t="s">
        <v>11</v>
      </c>
      <c r="E2">
        <v>11074</v>
      </c>
      <c r="F2" t="s">
        <v>12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P2" s="2" t="s">
        <v>0</v>
      </c>
      <c r="Q2" t="s">
        <v>18</v>
      </c>
    </row>
    <row r="3" spans="1:29">
      <c r="A3" s="6" t="s">
        <v>21</v>
      </c>
      <c r="C3" s="1">
        <v>45744</v>
      </c>
      <c r="D3" t="s">
        <v>13</v>
      </c>
      <c r="E3">
        <v>11077</v>
      </c>
      <c r="F3" t="s">
        <v>12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29">
      <c r="A4" s="7" t="s">
        <v>22</v>
      </c>
      <c r="C4" s="1">
        <v>45744</v>
      </c>
      <c r="D4" t="s">
        <v>13</v>
      </c>
      <c r="E4">
        <v>11076</v>
      </c>
      <c r="F4" t="s">
        <v>12</v>
      </c>
      <c r="G4">
        <v>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P4" s="2" t="s">
        <v>15</v>
      </c>
      <c r="Q4" t="s">
        <v>17</v>
      </c>
      <c r="AC4" s="6" t="s">
        <v>19</v>
      </c>
    </row>
    <row r="5" spans="1:29">
      <c r="A5" s="7" t="s">
        <v>23</v>
      </c>
      <c r="C5" s="1">
        <v>45744</v>
      </c>
      <c r="D5" t="s">
        <v>13</v>
      </c>
      <c r="E5">
        <v>11077</v>
      </c>
      <c r="F5" t="s">
        <v>14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P5" s="3">
        <v>11072</v>
      </c>
      <c r="Q5" s="4">
        <v>27525.612663263739</v>
      </c>
      <c r="Y5" t="s">
        <v>2</v>
      </c>
      <c r="Z5" t="s">
        <v>129</v>
      </c>
      <c r="AC5" s="6" t="s">
        <v>20</v>
      </c>
    </row>
    <row r="6" spans="1:29">
      <c r="A6" s="7" t="s">
        <v>24</v>
      </c>
      <c r="C6" s="1">
        <v>45744</v>
      </c>
      <c r="D6" t="s">
        <v>11</v>
      </c>
      <c r="E6">
        <v>11074</v>
      </c>
      <c r="F6" t="s">
        <v>14</v>
      </c>
      <c r="G6">
        <v>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P6" s="3">
        <v>11073</v>
      </c>
      <c r="Q6" s="4">
        <v>24501.988118330013</v>
      </c>
      <c r="Y6">
        <v>11072</v>
      </c>
      <c r="Z6">
        <v>11195</v>
      </c>
      <c r="AC6" s="6" t="s">
        <v>21</v>
      </c>
    </row>
    <row r="7" spans="1:29">
      <c r="A7" s="8" t="s">
        <v>25</v>
      </c>
      <c r="C7" s="1">
        <v>45744</v>
      </c>
      <c r="D7" t="s">
        <v>11</v>
      </c>
      <c r="E7">
        <v>11073</v>
      </c>
      <c r="F7" t="s">
        <v>14</v>
      </c>
      <c r="G7">
        <v>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P7" s="3">
        <v>11074</v>
      </c>
      <c r="Q7" s="4">
        <v>23456.1717416315</v>
      </c>
      <c r="Y7">
        <v>11073</v>
      </c>
      <c r="Z7">
        <v>11534</v>
      </c>
      <c r="AC7" s="7" t="s">
        <v>22</v>
      </c>
    </row>
    <row r="8" spans="1:29">
      <c r="A8" s="7" t="s">
        <v>26</v>
      </c>
      <c r="C8" s="1">
        <v>45744</v>
      </c>
      <c r="D8" t="s">
        <v>11</v>
      </c>
      <c r="E8">
        <v>11074</v>
      </c>
      <c r="F8" t="s">
        <v>12</v>
      </c>
      <c r="G8">
        <v>3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P8" s="3">
        <v>11075</v>
      </c>
      <c r="Q8" s="4">
        <v>1889.1918621128139</v>
      </c>
      <c r="Y8">
        <v>11074</v>
      </c>
      <c r="Z8">
        <v>11254</v>
      </c>
      <c r="AC8" s="7" t="s">
        <v>130</v>
      </c>
    </row>
    <row r="9" spans="1:29">
      <c r="A9" s="7" t="s">
        <v>27</v>
      </c>
      <c r="C9" s="1">
        <v>45744</v>
      </c>
      <c r="D9" t="s">
        <v>11</v>
      </c>
      <c r="E9">
        <v>11072</v>
      </c>
      <c r="F9" t="s">
        <v>14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P9" s="3">
        <v>11076</v>
      </c>
      <c r="Q9" s="4">
        <v>984.35142589133761</v>
      </c>
      <c r="Y9">
        <v>11075</v>
      </c>
      <c r="Z9">
        <v>33013</v>
      </c>
      <c r="AC9" s="6" t="s">
        <v>131</v>
      </c>
    </row>
    <row r="10" spans="1:29">
      <c r="A10" s="7" t="s">
        <v>28</v>
      </c>
      <c r="C10" s="1">
        <v>45744</v>
      </c>
      <c r="D10" t="s">
        <v>11</v>
      </c>
      <c r="E10">
        <v>11072</v>
      </c>
      <c r="F10" t="s">
        <v>12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P10" s="3">
        <v>11077</v>
      </c>
      <c r="Q10" s="4">
        <v>1388.1916773761552</v>
      </c>
      <c r="Y10">
        <v>11076</v>
      </c>
      <c r="Z10">
        <v>32820</v>
      </c>
      <c r="AC10" s="6" t="s">
        <v>132</v>
      </c>
    </row>
    <row r="11" spans="1:29">
      <c r="A11" s="7" t="s">
        <v>29</v>
      </c>
      <c r="C11" s="1">
        <v>45744</v>
      </c>
      <c r="D11" t="s">
        <v>11</v>
      </c>
      <c r="E11">
        <v>11073</v>
      </c>
      <c r="F11" t="s">
        <v>12</v>
      </c>
      <c r="G11">
        <v>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P11" s="3" t="s">
        <v>16</v>
      </c>
      <c r="Q11" s="4">
        <v>79745.507488605566</v>
      </c>
      <c r="Y11">
        <v>11077</v>
      </c>
      <c r="Z11">
        <v>32699</v>
      </c>
      <c r="AC11" s="6" t="s">
        <v>133</v>
      </c>
    </row>
    <row r="12" spans="1:29">
      <c r="A12" s="7" t="s">
        <v>30</v>
      </c>
      <c r="C12" s="1">
        <v>45745</v>
      </c>
      <c r="D12" t="s">
        <v>13</v>
      </c>
      <c r="E12">
        <v>11075</v>
      </c>
      <c r="F12" t="s">
        <v>12</v>
      </c>
      <c r="G12">
        <v>2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AC12" s="6" t="s">
        <v>134</v>
      </c>
    </row>
    <row r="13" spans="1:29">
      <c r="A13" s="7" t="s">
        <v>31</v>
      </c>
      <c r="C13" s="1">
        <v>45745</v>
      </c>
      <c r="D13" t="s">
        <v>13</v>
      </c>
      <c r="E13">
        <v>11077</v>
      </c>
      <c r="F13" t="s">
        <v>14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AC13" s="7" t="s">
        <v>24</v>
      </c>
    </row>
    <row r="14" spans="1:29">
      <c r="A14" s="7" t="s">
        <v>32</v>
      </c>
      <c r="C14" s="1">
        <v>45745</v>
      </c>
      <c r="D14" t="s">
        <v>13</v>
      </c>
      <c r="E14">
        <v>11075</v>
      </c>
      <c r="F14" t="s">
        <v>14</v>
      </c>
      <c r="G14">
        <v>12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AC14" s="8" t="s">
        <v>25</v>
      </c>
    </row>
    <row r="15" spans="1:29">
      <c r="A15" s="7" t="s">
        <v>33</v>
      </c>
      <c r="C15" s="1">
        <v>45745</v>
      </c>
      <c r="D15" t="s">
        <v>13</v>
      </c>
      <c r="E15">
        <v>11076</v>
      </c>
      <c r="F15" t="s">
        <v>14</v>
      </c>
      <c r="G15">
        <v>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AC15" s="7" t="s">
        <v>26</v>
      </c>
    </row>
    <row r="16" spans="1:29">
      <c r="A16" s="6" t="s">
        <v>34</v>
      </c>
      <c r="C16" s="1">
        <v>45745</v>
      </c>
      <c r="D16" t="s">
        <v>13</v>
      </c>
      <c r="E16">
        <v>11077</v>
      </c>
      <c r="F16" t="s">
        <v>12</v>
      </c>
      <c r="G16">
        <v>6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AC16" s="7" t="s">
        <v>27</v>
      </c>
    </row>
    <row r="17" spans="1:29">
      <c r="A17" s="8" t="s">
        <v>35</v>
      </c>
      <c r="C17" s="1">
        <v>45745</v>
      </c>
      <c r="D17" t="s">
        <v>11</v>
      </c>
      <c r="E17">
        <v>11074</v>
      </c>
      <c r="F17" t="s">
        <v>14</v>
      </c>
      <c r="G17">
        <v>11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AC17" s="7" t="s">
        <v>28</v>
      </c>
    </row>
    <row r="18" spans="1:29">
      <c r="A18" s="6" t="s">
        <v>36</v>
      </c>
      <c r="C18" s="1">
        <v>45745</v>
      </c>
      <c r="D18" t="s">
        <v>11</v>
      </c>
      <c r="E18">
        <v>11072</v>
      </c>
      <c r="F18" t="s">
        <v>12</v>
      </c>
      <c r="G18">
        <v>8</v>
      </c>
      <c r="H18">
        <v>1</v>
      </c>
      <c r="I18">
        <v>1</v>
      </c>
      <c r="J18">
        <v>38.49</v>
      </c>
      <c r="K18">
        <v>1</v>
      </c>
      <c r="L18">
        <v>1</v>
      </c>
      <c r="M18">
        <v>38.49</v>
      </c>
      <c r="AC18" s="7" t="s">
        <v>29</v>
      </c>
    </row>
    <row r="19" spans="1:29">
      <c r="A19" s="9" t="s">
        <v>37</v>
      </c>
      <c r="C19" s="1">
        <v>45745</v>
      </c>
      <c r="D19" t="s">
        <v>11</v>
      </c>
      <c r="E19">
        <v>11073</v>
      </c>
      <c r="F19" t="s">
        <v>14</v>
      </c>
      <c r="G19">
        <v>9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AC19" s="7" t="s">
        <v>30</v>
      </c>
    </row>
    <row r="20" spans="1:29">
      <c r="A20" s="6" t="s">
        <v>145</v>
      </c>
      <c r="C20" s="1">
        <v>45745</v>
      </c>
      <c r="D20" t="s">
        <v>11</v>
      </c>
      <c r="E20">
        <v>11072</v>
      </c>
      <c r="F20" t="s">
        <v>14</v>
      </c>
      <c r="G20">
        <v>7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AC20" s="7" t="s">
        <v>31</v>
      </c>
    </row>
    <row r="21" spans="1:29">
      <c r="A21" s="6" t="s">
        <v>146</v>
      </c>
      <c r="C21" s="1">
        <v>45745</v>
      </c>
      <c r="D21" t="s">
        <v>11</v>
      </c>
      <c r="E21">
        <v>11073</v>
      </c>
      <c r="F21" t="s">
        <v>12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AC21" s="7" t="s">
        <v>32</v>
      </c>
    </row>
    <row r="22" spans="1:29">
      <c r="A22" s="6" t="s">
        <v>40</v>
      </c>
      <c r="C22" s="1">
        <v>45745</v>
      </c>
      <c r="D22" t="s">
        <v>11</v>
      </c>
      <c r="E22">
        <v>11074</v>
      </c>
      <c r="F22" t="s">
        <v>12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AC22" s="7" t="s">
        <v>33</v>
      </c>
    </row>
    <row r="23" spans="1:29">
      <c r="A23" s="10" t="s">
        <v>41</v>
      </c>
      <c r="C23" s="1">
        <v>45746</v>
      </c>
      <c r="D23" t="s">
        <v>13</v>
      </c>
      <c r="E23">
        <v>11076</v>
      </c>
      <c r="F23" t="s">
        <v>12</v>
      </c>
      <c r="G23">
        <v>13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AC23" s="6" t="s">
        <v>34</v>
      </c>
    </row>
    <row r="24" spans="1:29">
      <c r="A24" s="7" t="s">
        <v>42</v>
      </c>
      <c r="C24" s="1">
        <v>45746</v>
      </c>
      <c r="D24" t="s">
        <v>13</v>
      </c>
      <c r="E24">
        <v>11077</v>
      </c>
      <c r="F24" t="s">
        <v>12</v>
      </c>
      <c r="G24">
        <v>16</v>
      </c>
      <c r="H24">
        <v>1</v>
      </c>
      <c r="I24">
        <v>1</v>
      </c>
      <c r="J24">
        <v>2.5653751369112801</v>
      </c>
      <c r="K24">
        <v>1</v>
      </c>
      <c r="L24">
        <v>1</v>
      </c>
      <c r="M24">
        <v>2.5653751369112801</v>
      </c>
      <c r="U24" s="12" t="s">
        <v>119</v>
      </c>
      <c r="V24" s="12"/>
      <c r="AC24" s="8" t="s">
        <v>35</v>
      </c>
    </row>
    <row r="25" spans="1:29" ht="68">
      <c r="A25" s="6" t="s">
        <v>20</v>
      </c>
      <c r="C25" s="1">
        <v>45746</v>
      </c>
      <c r="D25" t="s">
        <v>13</v>
      </c>
      <c r="E25">
        <v>11076</v>
      </c>
      <c r="F25" t="s">
        <v>14</v>
      </c>
      <c r="G25">
        <v>18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S25" t="s">
        <v>120</v>
      </c>
      <c r="T25" t="s">
        <v>121</v>
      </c>
      <c r="U25" s="13" t="s">
        <v>122</v>
      </c>
      <c r="V25" s="13" t="s">
        <v>123</v>
      </c>
      <c r="W25" s="14" t="s">
        <v>124</v>
      </c>
      <c r="X25" s="15"/>
      <c r="AC25" s="6" t="s">
        <v>36</v>
      </c>
    </row>
    <row r="26" spans="1:29">
      <c r="A26" s="6" t="s">
        <v>43</v>
      </c>
      <c r="C26" s="1">
        <v>45746</v>
      </c>
      <c r="D26" t="s">
        <v>13</v>
      </c>
      <c r="E26">
        <v>11075</v>
      </c>
      <c r="F26" t="s">
        <v>14</v>
      </c>
      <c r="G26">
        <v>22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S26" t="s">
        <v>125</v>
      </c>
      <c r="T26" s="16">
        <f>U26/V26</f>
        <v>0.39431535968346171</v>
      </c>
      <c r="U26" s="17">
        <v>74942</v>
      </c>
      <c r="V26" s="18">
        <v>190056</v>
      </c>
      <c r="W26" s="19">
        <v>0.84199999999999997</v>
      </c>
      <c r="X26" s="15"/>
      <c r="AC26" s="9" t="s">
        <v>135</v>
      </c>
    </row>
    <row r="27" spans="1:29">
      <c r="A27" s="6" t="s">
        <v>44</v>
      </c>
      <c r="C27" s="1">
        <v>45746</v>
      </c>
      <c r="D27" t="s">
        <v>13</v>
      </c>
      <c r="E27">
        <v>11075</v>
      </c>
      <c r="F27" t="s">
        <v>12</v>
      </c>
      <c r="G27">
        <v>16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S27" t="s">
        <v>126</v>
      </c>
      <c r="T27" s="16">
        <f>U27/V27</f>
        <v>4.6718430034129694</v>
      </c>
      <c r="U27" s="18">
        <v>246393</v>
      </c>
      <c r="V27" s="18">
        <v>52740</v>
      </c>
      <c r="W27" s="19">
        <v>0.67069999999999996</v>
      </c>
      <c r="X27" s="15"/>
      <c r="AC27" s="6" t="s">
        <v>38</v>
      </c>
    </row>
    <row r="28" spans="1:29">
      <c r="A28" s="7" t="s">
        <v>45</v>
      </c>
      <c r="C28" s="1">
        <v>45746</v>
      </c>
      <c r="D28" t="s">
        <v>13</v>
      </c>
      <c r="E28">
        <v>11077</v>
      </c>
      <c r="F28" t="s">
        <v>14</v>
      </c>
      <c r="G28">
        <v>22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U28" s="15"/>
      <c r="V28" s="15"/>
      <c r="W28" s="15"/>
      <c r="X28" s="15"/>
      <c r="AC28" s="6" t="s">
        <v>39</v>
      </c>
    </row>
    <row r="29" spans="1:29" ht="68">
      <c r="A29" s="7" t="s">
        <v>46</v>
      </c>
      <c r="C29" s="1">
        <v>45746</v>
      </c>
      <c r="D29" t="s">
        <v>11</v>
      </c>
      <c r="E29">
        <v>11074</v>
      </c>
      <c r="F29" t="s">
        <v>12</v>
      </c>
      <c r="G29">
        <v>10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S29" s="5" t="s">
        <v>15</v>
      </c>
      <c r="T29" s="20" t="s">
        <v>144</v>
      </c>
      <c r="U29" s="23" t="s">
        <v>127</v>
      </c>
      <c r="V29" t="s">
        <v>128</v>
      </c>
      <c r="X29" t="s">
        <v>143</v>
      </c>
      <c r="AC29" s="6" t="s">
        <v>40</v>
      </c>
    </row>
    <row r="30" spans="1:29">
      <c r="A30" s="7" t="s">
        <v>47</v>
      </c>
      <c r="C30" s="1">
        <v>45746</v>
      </c>
      <c r="D30" t="s">
        <v>11</v>
      </c>
      <c r="E30">
        <v>11072</v>
      </c>
      <c r="F30" t="s">
        <v>14</v>
      </c>
      <c r="G30">
        <v>14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R30" t="s">
        <v>126</v>
      </c>
      <c r="S30" s="3">
        <v>11072</v>
      </c>
      <c r="T30" s="21">
        <v>27525.612663263739</v>
      </c>
      <c r="U30">
        <v>11195</v>
      </c>
      <c r="V30">
        <f>U30/0.6707</f>
        <v>16691.51632622633</v>
      </c>
      <c r="W30">
        <f>V30*4.67</f>
        <v>77949.381243476964</v>
      </c>
      <c r="X30" s="24">
        <f>T30/W30</f>
        <v>0.35312163129668411</v>
      </c>
      <c r="AC30" s="10" t="s">
        <v>41</v>
      </c>
    </row>
    <row r="31" spans="1:29">
      <c r="A31" s="7" t="s">
        <v>48</v>
      </c>
      <c r="C31" s="1">
        <v>45746</v>
      </c>
      <c r="D31" t="s">
        <v>11</v>
      </c>
      <c r="E31">
        <v>11073</v>
      </c>
      <c r="F31" t="s">
        <v>14</v>
      </c>
      <c r="G31">
        <v>19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R31" t="s">
        <v>126</v>
      </c>
      <c r="S31" s="3">
        <v>11073</v>
      </c>
      <c r="T31" s="22">
        <v>24501.988118330013</v>
      </c>
      <c r="U31">
        <v>11534</v>
      </c>
      <c r="V31">
        <f t="shared" ref="V31:V32" si="0">U31/0.6707</f>
        <v>17196.958401669897</v>
      </c>
      <c r="W31">
        <f>V31*4.67</f>
        <v>80309.795735798412</v>
      </c>
      <c r="X31" s="24">
        <f t="shared" ref="X31:X32" si="1">T31/W31</f>
        <v>0.30509339357475357</v>
      </c>
      <c r="AC31" s="7" t="s">
        <v>42</v>
      </c>
    </row>
    <row r="32" spans="1:29">
      <c r="A32" s="8" t="s">
        <v>25</v>
      </c>
      <c r="C32" s="1">
        <v>45746</v>
      </c>
      <c r="D32" t="s">
        <v>11</v>
      </c>
      <c r="E32">
        <v>11073</v>
      </c>
      <c r="F32" t="s">
        <v>12</v>
      </c>
      <c r="G32">
        <v>16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R32" t="s">
        <v>126</v>
      </c>
      <c r="S32" s="3">
        <v>11074</v>
      </c>
      <c r="T32" s="21">
        <v>23456.1717416315</v>
      </c>
      <c r="U32">
        <v>11254</v>
      </c>
      <c r="V32">
        <f t="shared" si="0"/>
        <v>16779.484121067544</v>
      </c>
      <c r="W32">
        <f>V32*4.67</f>
        <v>78360.190845385427</v>
      </c>
      <c r="X32" s="24">
        <f t="shared" si="1"/>
        <v>0.29933785878487068</v>
      </c>
      <c r="AC32" s="6" t="s">
        <v>20</v>
      </c>
    </row>
    <row r="33" spans="1:29">
      <c r="A33" s="6" t="s">
        <v>34</v>
      </c>
      <c r="C33" s="1">
        <v>45746</v>
      </c>
      <c r="D33" t="s">
        <v>11</v>
      </c>
      <c r="E33">
        <v>11074</v>
      </c>
      <c r="F33" t="s">
        <v>14</v>
      </c>
      <c r="G33">
        <v>19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R33" t="s">
        <v>125</v>
      </c>
      <c r="S33" s="3">
        <v>11075</v>
      </c>
      <c r="T33" s="21">
        <v>1889.1918621128139</v>
      </c>
      <c r="U33">
        <v>33013</v>
      </c>
      <c r="V33">
        <f>U33/0.842</f>
        <v>39207.83847980998</v>
      </c>
      <c r="W33">
        <f>V33*0.39</f>
        <v>15291.057007125892</v>
      </c>
      <c r="X33" s="24">
        <f>T33/W33</f>
        <v>0.1235488077267921</v>
      </c>
      <c r="AC33" s="6" t="s">
        <v>43</v>
      </c>
    </row>
    <row r="34" spans="1:29">
      <c r="A34" s="8" t="s">
        <v>49</v>
      </c>
      <c r="C34" s="1">
        <v>45746</v>
      </c>
      <c r="D34" t="s">
        <v>11</v>
      </c>
      <c r="E34">
        <v>11072</v>
      </c>
      <c r="F34" t="s">
        <v>12</v>
      </c>
      <c r="G34">
        <v>10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R34" t="s">
        <v>125</v>
      </c>
      <c r="S34" s="3">
        <v>11076</v>
      </c>
      <c r="T34" s="21">
        <v>984.35142589133761</v>
      </c>
      <c r="U34">
        <v>32820</v>
      </c>
      <c r="V34">
        <f t="shared" ref="V34:V35" si="2">U34/0.842</f>
        <v>38978.622327790974</v>
      </c>
      <c r="W34">
        <f t="shared" ref="W34:W35" si="3">V34*0.39</f>
        <v>15201.662707838481</v>
      </c>
      <c r="X34" s="24">
        <f t="shared" ref="X34:X35" si="4">T34/W34</f>
        <v>6.4752878998148897E-2</v>
      </c>
      <c r="AC34" s="6" t="s">
        <v>44</v>
      </c>
    </row>
    <row r="35" spans="1:29">
      <c r="A35" s="6" t="s">
        <v>50</v>
      </c>
      <c r="C35" s="1">
        <v>45747</v>
      </c>
      <c r="D35" t="s">
        <v>13</v>
      </c>
      <c r="E35">
        <v>11077</v>
      </c>
      <c r="F35" t="s">
        <v>14</v>
      </c>
      <c r="G35">
        <v>38</v>
      </c>
      <c r="H35">
        <v>1</v>
      </c>
      <c r="I35">
        <v>1</v>
      </c>
      <c r="J35">
        <v>7.49953117275005</v>
      </c>
      <c r="K35">
        <v>1</v>
      </c>
      <c r="L35">
        <v>0</v>
      </c>
      <c r="M35">
        <v>0</v>
      </c>
      <c r="R35" t="s">
        <v>125</v>
      </c>
      <c r="S35" s="3">
        <v>11077</v>
      </c>
      <c r="T35" s="21">
        <v>1388.1916773761552</v>
      </c>
      <c r="U35">
        <v>32699</v>
      </c>
      <c r="V35">
        <f t="shared" si="2"/>
        <v>38834.91686460808</v>
      </c>
      <c r="W35">
        <f t="shared" si="3"/>
        <v>15145.617577197152</v>
      </c>
      <c r="X35" s="24">
        <f t="shared" si="4"/>
        <v>9.1656327006841939E-2</v>
      </c>
      <c r="AC35" s="7" t="s">
        <v>45</v>
      </c>
    </row>
    <row r="36" spans="1:29">
      <c r="A36" s="9" t="s">
        <v>51</v>
      </c>
      <c r="C36" s="1">
        <v>45747</v>
      </c>
      <c r="D36" t="s">
        <v>13</v>
      </c>
      <c r="E36">
        <v>11077</v>
      </c>
      <c r="F36" t="s">
        <v>12</v>
      </c>
      <c r="G36">
        <v>35</v>
      </c>
      <c r="H36">
        <v>1</v>
      </c>
      <c r="I36">
        <v>1</v>
      </c>
      <c r="J36">
        <v>10.043596790743299</v>
      </c>
      <c r="K36">
        <v>1</v>
      </c>
      <c r="L36">
        <v>0</v>
      </c>
      <c r="M36">
        <v>0</v>
      </c>
      <c r="AC36" s="7" t="s">
        <v>46</v>
      </c>
    </row>
    <row r="37" spans="1:29">
      <c r="A37" s="6" t="s">
        <v>52</v>
      </c>
      <c r="C37" s="1">
        <v>45747</v>
      </c>
      <c r="D37" t="s">
        <v>13</v>
      </c>
      <c r="E37">
        <v>11076</v>
      </c>
      <c r="F37" t="s">
        <v>12</v>
      </c>
      <c r="G37">
        <v>26</v>
      </c>
      <c r="H37">
        <v>1</v>
      </c>
      <c r="I37">
        <v>1</v>
      </c>
      <c r="J37">
        <v>3.99</v>
      </c>
      <c r="K37">
        <v>1</v>
      </c>
      <c r="L37">
        <v>1</v>
      </c>
      <c r="M37">
        <v>3.99</v>
      </c>
      <c r="AC37" s="7" t="s">
        <v>47</v>
      </c>
    </row>
    <row r="38" spans="1:29">
      <c r="A38" s="6" t="s">
        <v>53</v>
      </c>
      <c r="C38" s="1">
        <v>45747</v>
      </c>
      <c r="D38" t="s">
        <v>13</v>
      </c>
      <c r="E38">
        <v>11075</v>
      </c>
      <c r="F38" t="s">
        <v>12</v>
      </c>
      <c r="G38">
        <v>23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AC38" s="7" t="s">
        <v>48</v>
      </c>
    </row>
    <row r="39" spans="1:29">
      <c r="A39" s="6" t="s">
        <v>39</v>
      </c>
      <c r="C39" s="1">
        <v>45747</v>
      </c>
      <c r="D39" t="s">
        <v>13</v>
      </c>
      <c r="E39">
        <v>11075</v>
      </c>
      <c r="F39" t="s">
        <v>14</v>
      </c>
      <c r="G39">
        <v>48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AC39" s="8" t="s">
        <v>25</v>
      </c>
    </row>
    <row r="40" spans="1:29">
      <c r="A40" s="10" t="s">
        <v>54</v>
      </c>
      <c r="C40" s="1">
        <v>45747</v>
      </c>
      <c r="D40" t="s">
        <v>13</v>
      </c>
      <c r="E40">
        <v>11076</v>
      </c>
      <c r="F40" t="s">
        <v>14</v>
      </c>
      <c r="G40">
        <v>43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AC40" s="6" t="s">
        <v>34</v>
      </c>
    </row>
    <row r="41" spans="1:29">
      <c r="A41" s="7" t="s">
        <v>55</v>
      </c>
      <c r="C41" s="1">
        <v>45747</v>
      </c>
      <c r="D41" t="s">
        <v>11</v>
      </c>
      <c r="E41">
        <v>11072</v>
      </c>
      <c r="F41" t="s">
        <v>12</v>
      </c>
      <c r="G41">
        <v>46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AC41" s="8" t="s">
        <v>49</v>
      </c>
    </row>
    <row r="42" spans="1:29">
      <c r="A42" s="6" t="s">
        <v>20</v>
      </c>
      <c r="C42" s="1">
        <v>45747</v>
      </c>
      <c r="D42" t="s">
        <v>11</v>
      </c>
      <c r="E42">
        <v>11073</v>
      </c>
      <c r="F42" t="s">
        <v>14</v>
      </c>
      <c r="G42">
        <v>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AC42" s="6" t="s">
        <v>50</v>
      </c>
    </row>
    <row r="43" spans="1:29">
      <c r="A43" s="9" t="s">
        <v>56</v>
      </c>
      <c r="C43" s="1">
        <v>45747</v>
      </c>
      <c r="D43" t="s">
        <v>11</v>
      </c>
      <c r="E43">
        <v>11074</v>
      </c>
      <c r="F43" t="s">
        <v>14</v>
      </c>
      <c r="G43">
        <v>27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AC43" s="9" t="s">
        <v>51</v>
      </c>
    </row>
    <row r="44" spans="1:29">
      <c r="A44" s="6" t="s">
        <v>57</v>
      </c>
      <c r="C44" s="1">
        <v>45747</v>
      </c>
      <c r="D44" t="s">
        <v>11</v>
      </c>
      <c r="E44">
        <v>11073</v>
      </c>
      <c r="F44" t="s">
        <v>12</v>
      </c>
      <c r="G44">
        <v>45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AC44" s="6" t="s">
        <v>52</v>
      </c>
    </row>
    <row r="45" spans="1:29">
      <c r="A45" s="6" t="s">
        <v>50</v>
      </c>
      <c r="C45" s="1">
        <v>45747</v>
      </c>
      <c r="D45" t="s">
        <v>11</v>
      </c>
      <c r="E45">
        <v>11074</v>
      </c>
      <c r="F45" t="s">
        <v>12</v>
      </c>
      <c r="G45">
        <v>29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AC45" s="6" t="s">
        <v>53</v>
      </c>
    </row>
    <row r="46" spans="1:29">
      <c r="A46" s="9" t="s">
        <v>58</v>
      </c>
      <c r="C46" s="1">
        <v>45747</v>
      </c>
      <c r="D46" t="s">
        <v>11</v>
      </c>
      <c r="E46">
        <v>11072</v>
      </c>
      <c r="F46" t="s">
        <v>14</v>
      </c>
      <c r="G46">
        <v>17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AC46" s="6" t="s">
        <v>39</v>
      </c>
    </row>
    <row r="47" spans="1:29">
      <c r="A47" s="6" t="s">
        <v>59</v>
      </c>
      <c r="C47" s="1">
        <v>45748</v>
      </c>
      <c r="D47" t="s">
        <v>13</v>
      </c>
      <c r="E47">
        <v>11075</v>
      </c>
      <c r="F47" t="s">
        <v>12</v>
      </c>
      <c r="G47">
        <v>51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AC47" s="10" t="s">
        <v>54</v>
      </c>
    </row>
    <row r="48" spans="1:29">
      <c r="A48" s="10" t="s">
        <v>41</v>
      </c>
      <c r="C48" s="1">
        <v>45748</v>
      </c>
      <c r="D48" t="s">
        <v>13</v>
      </c>
      <c r="E48">
        <v>11075</v>
      </c>
      <c r="F48" t="s">
        <v>14</v>
      </c>
      <c r="G48">
        <v>30</v>
      </c>
      <c r="H48">
        <v>1</v>
      </c>
      <c r="I48">
        <v>1</v>
      </c>
      <c r="J48">
        <v>2.5348345280650402</v>
      </c>
      <c r="K48">
        <v>1</v>
      </c>
      <c r="L48">
        <v>1</v>
      </c>
      <c r="M48">
        <v>2.5348345280650402</v>
      </c>
      <c r="AC48" s="7" t="s">
        <v>55</v>
      </c>
    </row>
    <row r="49" spans="1:29">
      <c r="A49" s="7" t="s">
        <v>60</v>
      </c>
      <c r="C49" s="1">
        <v>45748</v>
      </c>
      <c r="D49" t="s">
        <v>13</v>
      </c>
      <c r="E49">
        <v>11077</v>
      </c>
      <c r="F49" t="s">
        <v>14</v>
      </c>
      <c r="G49">
        <v>53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AC49" s="6" t="s">
        <v>20</v>
      </c>
    </row>
    <row r="50" spans="1:29">
      <c r="A50" s="6" t="s">
        <v>20</v>
      </c>
      <c r="C50" s="1">
        <v>45748</v>
      </c>
      <c r="D50" t="s">
        <v>13</v>
      </c>
      <c r="E50">
        <v>11076</v>
      </c>
      <c r="F50" t="s">
        <v>12</v>
      </c>
      <c r="G50">
        <v>55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AC50" s="9" t="s">
        <v>56</v>
      </c>
    </row>
    <row r="51" spans="1:29">
      <c r="A51" s="6" t="s">
        <v>43</v>
      </c>
      <c r="C51" s="1">
        <v>45748</v>
      </c>
      <c r="D51" t="s">
        <v>13</v>
      </c>
      <c r="E51">
        <v>11077</v>
      </c>
      <c r="F51" t="s">
        <v>12</v>
      </c>
      <c r="G51">
        <v>47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AC51" s="6" t="s">
        <v>57</v>
      </c>
    </row>
    <row r="52" spans="1:29">
      <c r="A52" s="9" t="s">
        <v>61</v>
      </c>
      <c r="C52" s="1">
        <v>45748</v>
      </c>
      <c r="D52" t="s">
        <v>13</v>
      </c>
      <c r="E52">
        <v>11076</v>
      </c>
      <c r="F52" t="s">
        <v>14</v>
      </c>
      <c r="G52">
        <v>43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AC52" s="6" t="s">
        <v>50</v>
      </c>
    </row>
    <row r="53" spans="1:29">
      <c r="A53" s="7" t="s">
        <v>62</v>
      </c>
      <c r="C53" s="1">
        <v>45748</v>
      </c>
      <c r="D53" t="s">
        <v>11</v>
      </c>
      <c r="E53">
        <v>11074</v>
      </c>
      <c r="F53" t="s">
        <v>12</v>
      </c>
      <c r="G53">
        <v>48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AC53" s="9" t="s">
        <v>136</v>
      </c>
    </row>
    <row r="54" spans="1:29">
      <c r="A54" s="7" t="s">
        <v>63</v>
      </c>
      <c r="C54" s="1">
        <v>45748</v>
      </c>
      <c r="D54" t="s">
        <v>11</v>
      </c>
      <c r="E54">
        <v>11074</v>
      </c>
      <c r="F54" t="s">
        <v>14</v>
      </c>
      <c r="G54">
        <v>31</v>
      </c>
      <c r="H54">
        <v>1</v>
      </c>
      <c r="I54">
        <v>1</v>
      </c>
      <c r="J54">
        <v>38.49</v>
      </c>
      <c r="K54">
        <v>1</v>
      </c>
      <c r="L54">
        <v>1</v>
      </c>
      <c r="M54">
        <v>38.49</v>
      </c>
      <c r="AC54" s="6" t="s">
        <v>59</v>
      </c>
    </row>
    <row r="55" spans="1:29">
      <c r="A55" s="7" t="s">
        <v>64</v>
      </c>
      <c r="C55" s="1">
        <v>45748</v>
      </c>
      <c r="D55" t="s">
        <v>11</v>
      </c>
      <c r="E55">
        <v>11072</v>
      </c>
      <c r="F55" t="s">
        <v>14</v>
      </c>
      <c r="G55">
        <v>34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AC55" s="10" t="s">
        <v>41</v>
      </c>
    </row>
    <row r="56" spans="1:29">
      <c r="A56" s="6" t="s">
        <v>65</v>
      </c>
      <c r="C56" s="1">
        <v>45748</v>
      </c>
      <c r="D56" t="s">
        <v>11</v>
      </c>
      <c r="E56">
        <v>11073</v>
      </c>
      <c r="F56" t="s">
        <v>14</v>
      </c>
      <c r="G56">
        <v>19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AC56" s="8" t="s">
        <v>137</v>
      </c>
    </row>
    <row r="57" spans="1:29">
      <c r="A57" s="10" t="s">
        <v>66</v>
      </c>
      <c r="C57" s="1">
        <v>45748</v>
      </c>
      <c r="D57" t="s">
        <v>11</v>
      </c>
      <c r="E57">
        <v>11073</v>
      </c>
      <c r="F57" t="s">
        <v>12</v>
      </c>
      <c r="G57">
        <v>50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AC57" s="6" t="s">
        <v>20</v>
      </c>
    </row>
    <row r="58" spans="1:29">
      <c r="A58" s="6" t="s">
        <v>67</v>
      </c>
      <c r="C58" s="1">
        <v>45748</v>
      </c>
      <c r="D58" t="s">
        <v>11</v>
      </c>
      <c r="E58">
        <v>11072</v>
      </c>
      <c r="F58" t="s">
        <v>12</v>
      </c>
      <c r="G58">
        <v>42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AC58" s="6" t="s">
        <v>43</v>
      </c>
    </row>
    <row r="59" spans="1:29">
      <c r="A59" s="10" t="s">
        <v>68</v>
      </c>
      <c r="C59" s="1">
        <v>45749</v>
      </c>
      <c r="D59" t="s">
        <v>13</v>
      </c>
      <c r="E59">
        <v>11076</v>
      </c>
      <c r="F59" t="s">
        <v>14</v>
      </c>
      <c r="G59">
        <v>97</v>
      </c>
      <c r="H59">
        <v>1</v>
      </c>
      <c r="I59">
        <v>1</v>
      </c>
      <c r="J59">
        <v>3.7941343067833202</v>
      </c>
      <c r="K59">
        <v>1</v>
      </c>
      <c r="L59">
        <v>1</v>
      </c>
      <c r="M59">
        <v>3.7941343067833202</v>
      </c>
      <c r="AC59" s="9" t="s">
        <v>138</v>
      </c>
    </row>
    <row r="60" spans="1:29">
      <c r="A60" s="6" t="s">
        <v>69</v>
      </c>
      <c r="C60" s="1">
        <v>45749</v>
      </c>
      <c r="D60" t="s">
        <v>13</v>
      </c>
      <c r="E60">
        <v>11076</v>
      </c>
      <c r="F60" t="s">
        <v>12</v>
      </c>
      <c r="G60">
        <v>83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AC60" s="7" t="s">
        <v>139</v>
      </c>
    </row>
    <row r="61" spans="1:29">
      <c r="A61" s="6" t="s">
        <v>70</v>
      </c>
      <c r="C61" s="1">
        <v>45749</v>
      </c>
      <c r="D61" t="s">
        <v>13</v>
      </c>
      <c r="E61">
        <v>11077</v>
      </c>
      <c r="F61" t="s">
        <v>12</v>
      </c>
      <c r="G61">
        <v>85</v>
      </c>
      <c r="H61">
        <v>1</v>
      </c>
      <c r="I61">
        <v>0</v>
      </c>
      <c r="J61">
        <v>0</v>
      </c>
      <c r="K61">
        <v>1</v>
      </c>
      <c r="L61">
        <v>0</v>
      </c>
      <c r="M61">
        <v>0</v>
      </c>
      <c r="AC61" s="6" t="s">
        <v>65</v>
      </c>
    </row>
    <row r="62" spans="1:29">
      <c r="A62" s="6" t="s">
        <v>71</v>
      </c>
      <c r="C62" s="1">
        <v>45749</v>
      </c>
      <c r="D62" t="s">
        <v>13</v>
      </c>
      <c r="E62">
        <v>11075</v>
      </c>
      <c r="F62" t="s">
        <v>12</v>
      </c>
      <c r="G62">
        <v>90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AC62" s="10" t="s">
        <v>66</v>
      </c>
    </row>
    <row r="63" spans="1:29">
      <c r="A63" s="6" t="s">
        <v>72</v>
      </c>
      <c r="C63" s="1">
        <v>45749</v>
      </c>
      <c r="D63" t="s">
        <v>13</v>
      </c>
      <c r="E63">
        <v>11075</v>
      </c>
      <c r="F63" t="s">
        <v>14</v>
      </c>
      <c r="G63">
        <v>76</v>
      </c>
      <c r="H63">
        <v>1</v>
      </c>
      <c r="I63">
        <v>1</v>
      </c>
      <c r="J63">
        <v>2.5348345280650402</v>
      </c>
      <c r="K63">
        <v>1</v>
      </c>
      <c r="L63">
        <v>1</v>
      </c>
      <c r="M63">
        <v>2.5348345280650402</v>
      </c>
      <c r="AC63" s="6" t="s">
        <v>67</v>
      </c>
    </row>
    <row r="64" spans="1:29">
      <c r="A64" s="10" t="s">
        <v>41</v>
      </c>
      <c r="C64" s="1">
        <v>45749</v>
      </c>
      <c r="D64" t="s">
        <v>13</v>
      </c>
      <c r="E64">
        <v>11077</v>
      </c>
      <c r="F64" t="s">
        <v>14</v>
      </c>
      <c r="G64">
        <v>89</v>
      </c>
      <c r="H64">
        <v>1</v>
      </c>
      <c r="I64">
        <v>1</v>
      </c>
      <c r="J64">
        <v>2.5653751369112801</v>
      </c>
      <c r="K64">
        <v>1</v>
      </c>
      <c r="L64">
        <v>1</v>
      </c>
      <c r="M64">
        <v>2.5653751369112801</v>
      </c>
      <c r="AC64" s="10" t="s">
        <v>68</v>
      </c>
    </row>
    <row r="65" spans="1:29">
      <c r="A65" s="7" t="s">
        <v>73</v>
      </c>
      <c r="C65" s="1">
        <v>45749</v>
      </c>
      <c r="D65" t="s">
        <v>11</v>
      </c>
      <c r="E65">
        <v>11073</v>
      </c>
      <c r="F65" t="s">
        <v>12</v>
      </c>
      <c r="G65">
        <v>60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AC65" s="6" t="s">
        <v>69</v>
      </c>
    </row>
    <row r="66" spans="1:29">
      <c r="A66" s="6" t="s">
        <v>74</v>
      </c>
      <c r="C66" s="1">
        <v>45749</v>
      </c>
      <c r="D66" t="s">
        <v>11</v>
      </c>
      <c r="E66">
        <v>11072</v>
      </c>
      <c r="F66" t="s">
        <v>12</v>
      </c>
      <c r="G66">
        <v>55</v>
      </c>
      <c r="H66">
        <v>1</v>
      </c>
      <c r="I66">
        <v>1</v>
      </c>
      <c r="J66">
        <v>38.49</v>
      </c>
      <c r="K66">
        <v>1</v>
      </c>
      <c r="L66">
        <v>1</v>
      </c>
      <c r="M66">
        <v>38.49</v>
      </c>
      <c r="AC66" s="6" t="s">
        <v>140</v>
      </c>
    </row>
    <row r="67" spans="1:29">
      <c r="A67" s="9" t="s">
        <v>75</v>
      </c>
      <c r="C67" s="1">
        <v>45749</v>
      </c>
      <c r="D67" t="s">
        <v>11</v>
      </c>
      <c r="E67">
        <v>11074</v>
      </c>
      <c r="F67" t="s">
        <v>14</v>
      </c>
      <c r="G67">
        <v>22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AC67" s="6" t="s">
        <v>71</v>
      </c>
    </row>
    <row r="68" spans="1:29">
      <c r="A68" s="7" t="s">
        <v>76</v>
      </c>
      <c r="C68" s="1">
        <v>45749</v>
      </c>
      <c r="D68" t="s">
        <v>11</v>
      </c>
      <c r="E68">
        <v>11073</v>
      </c>
      <c r="F68" t="s">
        <v>14</v>
      </c>
      <c r="G68">
        <v>19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AC68" s="6" t="s">
        <v>141</v>
      </c>
    </row>
    <row r="69" spans="1:29">
      <c r="A69" s="7" t="s">
        <v>77</v>
      </c>
      <c r="C69" s="1">
        <v>45749</v>
      </c>
      <c r="D69" t="s">
        <v>11</v>
      </c>
      <c r="E69">
        <v>11074</v>
      </c>
      <c r="F69" t="s">
        <v>12</v>
      </c>
      <c r="G69">
        <v>50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AC69" s="6" t="s">
        <v>142</v>
      </c>
    </row>
    <row r="70" spans="1:29">
      <c r="A70" s="6" t="s">
        <v>78</v>
      </c>
      <c r="C70" s="1">
        <v>45749</v>
      </c>
      <c r="D70" t="s">
        <v>11</v>
      </c>
      <c r="E70">
        <v>11072</v>
      </c>
      <c r="F70" t="s">
        <v>14</v>
      </c>
      <c r="G70">
        <v>23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29">
      <c r="A71" s="6" t="s">
        <v>36</v>
      </c>
      <c r="C71" s="1">
        <v>45750</v>
      </c>
      <c r="D71" t="s">
        <v>13</v>
      </c>
      <c r="E71">
        <v>11076</v>
      </c>
      <c r="F71" t="s">
        <v>14</v>
      </c>
      <c r="G71">
        <v>263</v>
      </c>
      <c r="H71">
        <v>3</v>
      </c>
      <c r="I71">
        <v>0</v>
      </c>
      <c r="J71">
        <v>0</v>
      </c>
      <c r="K71">
        <v>3</v>
      </c>
      <c r="L71">
        <v>0</v>
      </c>
      <c r="M71">
        <v>0</v>
      </c>
    </row>
    <row r="72" spans="1:29">
      <c r="A72" s="9" t="s">
        <v>79</v>
      </c>
      <c r="C72" s="1">
        <v>45750</v>
      </c>
      <c r="D72" t="s">
        <v>13</v>
      </c>
      <c r="E72">
        <v>11077</v>
      </c>
      <c r="F72" t="s">
        <v>14</v>
      </c>
      <c r="G72">
        <v>258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29">
      <c r="A73" s="6" t="s">
        <v>80</v>
      </c>
      <c r="C73" s="1">
        <v>45750</v>
      </c>
      <c r="D73" t="s">
        <v>13</v>
      </c>
      <c r="E73">
        <v>11076</v>
      </c>
      <c r="F73" t="s">
        <v>12</v>
      </c>
      <c r="G73">
        <v>138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29">
      <c r="A74" s="6" t="s">
        <v>81</v>
      </c>
      <c r="C74" s="1">
        <v>45750</v>
      </c>
      <c r="D74" t="s">
        <v>13</v>
      </c>
      <c r="E74">
        <v>11077</v>
      </c>
      <c r="F74" t="s">
        <v>12</v>
      </c>
      <c r="G74">
        <v>135</v>
      </c>
      <c r="H74">
        <v>1</v>
      </c>
      <c r="I74">
        <v>0</v>
      </c>
      <c r="J74">
        <v>0</v>
      </c>
      <c r="K74">
        <v>1</v>
      </c>
      <c r="L74">
        <v>0</v>
      </c>
      <c r="M74">
        <v>0</v>
      </c>
    </row>
    <row r="75" spans="1:29">
      <c r="A75" s="10" t="s">
        <v>41</v>
      </c>
      <c r="C75" s="1">
        <v>45750</v>
      </c>
      <c r="D75" t="s">
        <v>13</v>
      </c>
      <c r="E75">
        <v>11075</v>
      </c>
      <c r="F75" t="s">
        <v>12</v>
      </c>
      <c r="G75">
        <v>127</v>
      </c>
      <c r="H75">
        <v>1</v>
      </c>
      <c r="I75">
        <v>1</v>
      </c>
      <c r="J75">
        <v>11.650730721393</v>
      </c>
      <c r="K75">
        <v>1</v>
      </c>
      <c r="L75">
        <v>0</v>
      </c>
      <c r="M75">
        <v>0</v>
      </c>
    </row>
    <row r="76" spans="1:29">
      <c r="A76" s="6" t="s">
        <v>20</v>
      </c>
      <c r="C76" s="1">
        <v>45750</v>
      </c>
      <c r="D76" t="s">
        <v>13</v>
      </c>
      <c r="E76">
        <v>11075</v>
      </c>
      <c r="F76" t="s">
        <v>14</v>
      </c>
      <c r="G76">
        <v>243</v>
      </c>
      <c r="H76">
        <v>2</v>
      </c>
      <c r="I76">
        <v>0</v>
      </c>
      <c r="J76">
        <v>0</v>
      </c>
      <c r="K76">
        <v>2</v>
      </c>
      <c r="L76">
        <v>0</v>
      </c>
      <c r="M76">
        <v>0</v>
      </c>
    </row>
    <row r="77" spans="1:29">
      <c r="A77" s="9" t="s">
        <v>82</v>
      </c>
      <c r="C77" s="1">
        <v>45750</v>
      </c>
      <c r="D77" t="s">
        <v>11</v>
      </c>
      <c r="E77">
        <v>11072</v>
      </c>
      <c r="F77" t="s">
        <v>14</v>
      </c>
      <c r="G77">
        <v>534</v>
      </c>
      <c r="H77">
        <v>126</v>
      </c>
      <c r="I77">
        <v>37</v>
      </c>
      <c r="J77">
        <v>1721.55192415695</v>
      </c>
      <c r="K77">
        <v>126</v>
      </c>
      <c r="L77">
        <v>36</v>
      </c>
      <c r="M77">
        <v>1656.15499659592</v>
      </c>
    </row>
    <row r="78" spans="1:29">
      <c r="A78" s="8" t="s">
        <v>83</v>
      </c>
      <c r="C78" s="1">
        <v>45750</v>
      </c>
      <c r="D78" t="s">
        <v>11</v>
      </c>
      <c r="E78">
        <v>11074</v>
      </c>
      <c r="F78" t="s">
        <v>14</v>
      </c>
      <c r="G78">
        <v>524</v>
      </c>
      <c r="H78">
        <v>108</v>
      </c>
      <c r="I78">
        <v>28</v>
      </c>
      <c r="J78">
        <v>1187.38428616441</v>
      </c>
      <c r="K78">
        <v>108</v>
      </c>
      <c r="L78">
        <v>28</v>
      </c>
      <c r="M78">
        <v>1187.38428616441</v>
      </c>
    </row>
    <row r="79" spans="1:29">
      <c r="A79" s="7" t="s">
        <v>84</v>
      </c>
      <c r="C79" s="1">
        <v>45750</v>
      </c>
      <c r="D79" t="s">
        <v>11</v>
      </c>
      <c r="E79">
        <v>11073</v>
      </c>
      <c r="F79" t="s">
        <v>12</v>
      </c>
      <c r="G79">
        <v>1675</v>
      </c>
      <c r="H79">
        <v>194</v>
      </c>
      <c r="I79">
        <v>54</v>
      </c>
      <c r="J79">
        <v>2073.9732945434098</v>
      </c>
      <c r="K79">
        <v>194</v>
      </c>
      <c r="L79">
        <v>52</v>
      </c>
      <c r="M79">
        <v>2002.7738747957301</v>
      </c>
    </row>
    <row r="80" spans="1:29">
      <c r="A80" s="8" t="s">
        <v>85</v>
      </c>
      <c r="C80" s="1">
        <v>45750</v>
      </c>
      <c r="D80" t="s">
        <v>11</v>
      </c>
      <c r="E80">
        <v>11073</v>
      </c>
      <c r="F80" t="s">
        <v>14</v>
      </c>
      <c r="G80">
        <v>494</v>
      </c>
      <c r="H80">
        <v>88</v>
      </c>
      <c r="I80">
        <v>17</v>
      </c>
      <c r="J80">
        <v>860.26761120809397</v>
      </c>
      <c r="K80">
        <v>88</v>
      </c>
      <c r="L80">
        <v>17</v>
      </c>
      <c r="M80">
        <v>860.26761120809397</v>
      </c>
    </row>
    <row r="81" spans="1:13">
      <c r="A81" s="7" t="s">
        <v>86</v>
      </c>
      <c r="C81" s="1">
        <v>45750</v>
      </c>
      <c r="D81" t="s">
        <v>11</v>
      </c>
      <c r="E81">
        <v>11072</v>
      </c>
      <c r="F81" t="s">
        <v>12</v>
      </c>
      <c r="G81">
        <v>1707</v>
      </c>
      <c r="H81">
        <v>235</v>
      </c>
      <c r="I81">
        <v>66</v>
      </c>
      <c r="J81">
        <v>2158.2862946863202</v>
      </c>
      <c r="K81">
        <v>235</v>
      </c>
      <c r="L81">
        <v>65</v>
      </c>
      <c r="M81">
        <v>2090.23338607392</v>
      </c>
    </row>
    <row r="82" spans="1:13">
      <c r="C82" s="1">
        <v>45750</v>
      </c>
      <c r="D82" t="s">
        <v>11</v>
      </c>
      <c r="E82">
        <v>11074</v>
      </c>
      <c r="F82" t="s">
        <v>12</v>
      </c>
      <c r="G82">
        <v>1717</v>
      </c>
      <c r="H82">
        <v>178</v>
      </c>
      <c r="I82">
        <v>55</v>
      </c>
      <c r="J82">
        <v>2159.7353102366201</v>
      </c>
      <c r="K82">
        <v>178</v>
      </c>
      <c r="L82">
        <v>51</v>
      </c>
      <c r="M82">
        <v>2020.7153282393101</v>
      </c>
    </row>
    <row r="83" spans="1:13">
      <c r="A83" s="7" t="s">
        <v>87</v>
      </c>
      <c r="C83" s="1">
        <v>45751</v>
      </c>
      <c r="D83" t="s">
        <v>13</v>
      </c>
      <c r="E83">
        <v>11077</v>
      </c>
      <c r="F83" t="s">
        <v>12</v>
      </c>
      <c r="G83">
        <v>300</v>
      </c>
      <c r="H83">
        <v>4</v>
      </c>
      <c r="I83">
        <v>1</v>
      </c>
      <c r="J83">
        <v>1.9340990097296999</v>
      </c>
      <c r="K83">
        <v>4</v>
      </c>
      <c r="L83">
        <v>1</v>
      </c>
      <c r="M83">
        <v>1.9340990097296999</v>
      </c>
    </row>
    <row r="84" spans="1:13">
      <c r="A84" s="6" t="s">
        <v>88</v>
      </c>
      <c r="C84" s="1">
        <v>45751</v>
      </c>
      <c r="D84" t="s">
        <v>13</v>
      </c>
      <c r="E84">
        <v>11077</v>
      </c>
      <c r="F84" t="s">
        <v>14</v>
      </c>
      <c r="G84">
        <v>824</v>
      </c>
      <c r="H84">
        <v>13</v>
      </c>
      <c r="I84">
        <v>5</v>
      </c>
      <c r="J84">
        <v>33.513378114780103</v>
      </c>
      <c r="K84">
        <v>13</v>
      </c>
      <c r="L84">
        <v>4</v>
      </c>
      <c r="M84">
        <v>25.999884912621201</v>
      </c>
    </row>
    <row r="85" spans="1:13">
      <c r="A85" s="6" t="s">
        <v>89</v>
      </c>
      <c r="C85" s="1">
        <v>45751</v>
      </c>
      <c r="D85" t="s">
        <v>13</v>
      </c>
      <c r="E85">
        <v>11076</v>
      </c>
      <c r="F85" t="s">
        <v>14</v>
      </c>
      <c r="G85">
        <v>867</v>
      </c>
      <c r="H85">
        <v>10</v>
      </c>
      <c r="I85">
        <v>7</v>
      </c>
      <c r="J85">
        <v>39.359718885981501</v>
      </c>
      <c r="K85">
        <v>10</v>
      </c>
      <c r="L85">
        <v>7</v>
      </c>
      <c r="M85">
        <v>39.359718885981501</v>
      </c>
    </row>
    <row r="86" spans="1:13">
      <c r="A86" s="6" t="s">
        <v>90</v>
      </c>
      <c r="C86" s="1">
        <v>45751</v>
      </c>
      <c r="D86" t="s">
        <v>13</v>
      </c>
      <c r="E86">
        <v>11075</v>
      </c>
      <c r="F86" t="s">
        <v>12</v>
      </c>
      <c r="G86">
        <v>328</v>
      </c>
      <c r="H86">
        <v>6</v>
      </c>
      <c r="I86">
        <v>3</v>
      </c>
      <c r="J86">
        <v>26.016511723265701</v>
      </c>
      <c r="K86">
        <v>6</v>
      </c>
      <c r="L86">
        <v>3</v>
      </c>
      <c r="M86">
        <v>26.016511723265701</v>
      </c>
    </row>
    <row r="87" spans="1:13">
      <c r="A87" s="7" t="s">
        <v>91</v>
      </c>
      <c r="C87" s="1">
        <v>45751</v>
      </c>
      <c r="D87" t="s">
        <v>13</v>
      </c>
      <c r="E87">
        <v>11076</v>
      </c>
      <c r="F87" t="s">
        <v>12</v>
      </c>
      <c r="G87">
        <v>319</v>
      </c>
      <c r="H87">
        <v>4</v>
      </c>
      <c r="I87">
        <v>1</v>
      </c>
      <c r="J87">
        <v>27.71</v>
      </c>
      <c r="K87">
        <v>4</v>
      </c>
      <c r="L87">
        <v>1</v>
      </c>
      <c r="M87">
        <v>27.71</v>
      </c>
    </row>
    <row r="88" spans="1:13">
      <c r="A88" s="6" t="s">
        <v>92</v>
      </c>
      <c r="C88" s="1">
        <v>45751</v>
      </c>
      <c r="D88" t="s">
        <v>13</v>
      </c>
      <c r="E88">
        <v>11075</v>
      </c>
      <c r="F88" t="s">
        <v>14</v>
      </c>
      <c r="G88">
        <v>798</v>
      </c>
      <c r="H88">
        <v>23</v>
      </c>
      <c r="I88">
        <v>4</v>
      </c>
      <c r="J88">
        <v>19.504229583984198</v>
      </c>
      <c r="K88">
        <v>23</v>
      </c>
      <c r="L88">
        <v>4</v>
      </c>
      <c r="M88">
        <v>19.504229583984198</v>
      </c>
    </row>
    <row r="89" spans="1:13">
      <c r="A89" s="6" t="s">
        <v>93</v>
      </c>
      <c r="C89" s="1">
        <v>45751</v>
      </c>
      <c r="D89" t="s">
        <v>11</v>
      </c>
      <c r="E89">
        <v>11073</v>
      </c>
      <c r="F89" t="s">
        <v>12</v>
      </c>
      <c r="G89">
        <v>1854</v>
      </c>
      <c r="H89">
        <v>208</v>
      </c>
      <c r="I89">
        <v>46</v>
      </c>
      <c r="J89">
        <v>1773.67011938529</v>
      </c>
      <c r="K89">
        <v>208</v>
      </c>
      <c r="L89">
        <v>45</v>
      </c>
      <c r="M89">
        <v>1742.68011938529</v>
      </c>
    </row>
    <row r="90" spans="1:13">
      <c r="A90" s="6" t="s">
        <v>94</v>
      </c>
      <c r="C90" s="1">
        <v>45751</v>
      </c>
      <c r="D90" t="s">
        <v>11</v>
      </c>
      <c r="E90">
        <v>11072</v>
      </c>
      <c r="F90" t="s">
        <v>14</v>
      </c>
      <c r="G90">
        <v>542</v>
      </c>
      <c r="H90">
        <v>102</v>
      </c>
      <c r="I90">
        <v>26</v>
      </c>
      <c r="J90">
        <v>1236.8069018411099</v>
      </c>
      <c r="K90">
        <v>102</v>
      </c>
      <c r="L90">
        <v>26</v>
      </c>
      <c r="M90">
        <v>1236.8069018411099</v>
      </c>
    </row>
    <row r="91" spans="1:13">
      <c r="C91" s="1">
        <v>45751</v>
      </c>
      <c r="D91" t="s">
        <v>11</v>
      </c>
      <c r="E91">
        <v>11072</v>
      </c>
      <c r="F91" t="s">
        <v>12</v>
      </c>
      <c r="G91">
        <v>1867</v>
      </c>
      <c r="H91">
        <v>248</v>
      </c>
      <c r="I91">
        <v>68</v>
      </c>
      <c r="J91">
        <v>2844.2666185169801</v>
      </c>
      <c r="K91">
        <v>248</v>
      </c>
      <c r="L91">
        <v>66</v>
      </c>
      <c r="M91">
        <v>2773.9533643282198</v>
      </c>
    </row>
    <row r="92" spans="1:13">
      <c r="A92" s="8" t="s">
        <v>95</v>
      </c>
      <c r="C92" s="1">
        <v>45751</v>
      </c>
      <c r="D92" t="s">
        <v>11</v>
      </c>
      <c r="E92">
        <v>11074</v>
      </c>
      <c r="F92" t="s">
        <v>14</v>
      </c>
      <c r="G92">
        <v>544</v>
      </c>
      <c r="H92">
        <v>95</v>
      </c>
      <c r="I92">
        <v>17</v>
      </c>
      <c r="J92">
        <v>709.49923944296597</v>
      </c>
      <c r="K92">
        <v>95</v>
      </c>
      <c r="L92">
        <v>16</v>
      </c>
      <c r="M92">
        <v>654.50923944296596</v>
      </c>
    </row>
    <row r="93" spans="1:13">
      <c r="A93" s="7" t="s">
        <v>96</v>
      </c>
      <c r="C93" s="1">
        <v>45751</v>
      </c>
      <c r="D93" t="s">
        <v>11</v>
      </c>
      <c r="E93">
        <v>11074</v>
      </c>
      <c r="F93" t="s">
        <v>12</v>
      </c>
      <c r="G93">
        <v>1809</v>
      </c>
      <c r="H93">
        <v>199</v>
      </c>
      <c r="I93">
        <v>54</v>
      </c>
      <c r="J93">
        <v>1927.5060160015901</v>
      </c>
      <c r="K93">
        <v>199</v>
      </c>
      <c r="L93">
        <v>54</v>
      </c>
      <c r="M93">
        <v>1927.5060160015901</v>
      </c>
    </row>
    <row r="94" spans="1:13">
      <c r="A94" s="7" t="s">
        <v>97</v>
      </c>
      <c r="C94" s="1">
        <v>45751</v>
      </c>
      <c r="D94" t="s">
        <v>11</v>
      </c>
      <c r="E94">
        <v>11073</v>
      </c>
      <c r="F94" t="s">
        <v>14</v>
      </c>
      <c r="G94">
        <v>599</v>
      </c>
      <c r="H94">
        <v>100</v>
      </c>
      <c r="I94">
        <v>31</v>
      </c>
      <c r="J94">
        <v>1425.8517769493001</v>
      </c>
      <c r="K94">
        <v>100</v>
      </c>
      <c r="L94">
        <v>31</v>
      </c>
      <c r="M94">
        <v>1425.8517769493001</v>
      </c>
    </row>
    <row r="95" spans="1:13">
      <c r="A95" s="6" t="s">
        <v>98</v>
      </c>
      <c r="C95" s="1">
        <v>45752</v>
      </c>
      <c r="D95" t="s">
        <v>13</v>
      </c>
      <c r="E95">
        <v>11076</v>
      </c>
      <c r="F95" t="s">
        <v>14</v>
      </c>
      <c r="G95">
        <v>996</v>
      </c>
      <c r="H95">
        <v>8</v>
      </c>
      <c r="I95">
        <v>4</v>
      </c>
      <c r="J95">
        <v>80.858463769215504</v>
      </c>
      <c r="K95">
        <v>8</v>
      </c>
      <c r="L95">
        <v>4</v>
      </c>
      <c r="M95">
        <v>80.858463769215504</v>
      </c>
    </row>
    <row r="96" spans="1:13">
      <c r="A96" s="6" t="s">
        <v>99</v>
      </c>
      <c r="C96" s="1">
        <v>45752</v>
      </c>
      <c r="D96" t="s">
        <v>13</v>
      </c>
      <c r="E96">
        <v>11075</v>
      </c>
      <c r="F96" t="s">
        <v>12</v>
      </c>
      <c r="G96">
        <v>427</v>
      </c>
      <c r="H96">
        <v>10</v>
      </c>
      <c r="I96">
        <v>6</v>
      </c>
      <c r="J96">
        <v>116.289042879617</v>
      </c>
      <c r="K96">
        <v>10</v>
      </c>
      <c r="L96">
        <v>6</v>
      </c>
      <c r="M96">
        <v>116.289042879617</v>
      </c>
    </row>
    <row r="97" spans="1:13">
      <c r="A97" s="6" t="s">
        <v>100</v>
      </c>
      <c r="C97" s="1">
        <v>45752</v>
      </c>
      <c r="D97" t="s">
        <v>13</v>
      </c>
      <c r="E97">
        <v>11077</v>
      </c>
      <c r="F97" t="s">
        <v>14</v>
      </c>
      <c r="G97">
        <v>1049</v>
      </c>
      <c r="H97">
        <v>21</v>
      </c>
      <c r="I97">
        <v>10</v>
      </c>
      <c r="J97">
        <v>53.3005747441523</v>
      </c>
      <c r="K97">
        <v>21</v>
      </c>
      <c r="L97">
        <v>7</v>
      </c>
      <c r="M97">
        <v>30.7150484905751</v>
      </c>
    </row>
    <row r="98" spans="1:13">
      <c r="A98" s="7" t="s">
        <v>91</v>
      </c>
      <c r="C98" s="1">
        <v>45752</v>
      </c>
      <c r="D98" t="s">
        <v>13</v>
      </c>
      <c r="E98">
        <v>11077</v>
      </c>
      <c r="F98" t="s">
        <v>12</v>
      </c>
      <c r="G98">
        <v>407</v>
      </c>
      <c r="H98">
        <v>4</v>
      </c>
      <c r="I98">
        <v>3</v>
      </c>
      <c r="J98">
        <v>18.707126002288899</v>
      </c>
      <c r="K98">
        <v>4</v>
      </c>
      <c r="L98">
        <v>3</v>
      </c>
      <c r="M98">
        <v>18.707126002288899</v>
      </c>
    </row>
    <row r="99" spans="1:13">
      <c r="A99" s="6" t="s">
        <v>101</v>
      </c>
      <c r="C99" s="1">
        <v>45752</v>
      </c>
      <c r="D99" t="s">
        <v>13</v>
      </c>
      <c r="E99">
        <v>11075</v>
      </c>
      <c r="F99" t="s">
        <v>14</v>
      </c>
      <c r="G99">
        <v>1068</v>
      </c>
      <c r="H99">
        <v>21</v>
      </c>
      <c r="I99">
        <v>7</v>
      </c>
      <c r="J99">
        <v>46.116579246548604</v>
      </c>
      <c r="K99">
        <v>21</v>
      </c>
      <c r="L99">
        <v>6</v>
      </c>
      <c r="M99">
        <v>38.618582007802402</v>
      </c>
    </row>
    <row r="100" spans="1:13">
      <c r="A100" s="6" t="s">
        <v>102</v>
      </c>
      <c r="C100" s="1">
        <v>45752</v>
      </c>
      <c r="D100" t="s">
        <v>13</v>
      </c>
      <c r="E100">
        <v>11076</v>
      </c>
      <c r="F100" t="s">
        <v>12</v>
      </c>
      <c r="G100">
        <v>426</v>
      </c>
      <c r="H100">
        <v>4</v>
      </c>
      <c r="I100">
        <v>2</v>
      </c>
      <c r="J100">
        <v>33.4681351573238</v>
      </c>
      <c r="K100">
        <v>4</v>
      </c>
      <c r="L100">
        <v>2</v>
      </c>
      <c r="M100">
        <v>33.4681351573238</v>
      </c>
    </row>
    <row r="101" spans="1:13">
      <c r="A101" s="6" t="s">
        <v>103</v>
      </c>
      <c r="C101" s="1">
        <v>45752</v>
      </c>
      <c r="D101" t="s">
        <v>11</v>
      </c>
      <c r="E101">
        <v>11073</v>
      </c>
      <c r="F101" t="s">
        <v>12</v>
      </c>
      <c r="G101">
        <v>1988</v>
      </c>
      <c r="H101">
        <v>214</v>
      </c>
      <c r="I101">
        <v>64</v>
      </c>
      <c r="J101">
        <v>2301.12187747589</v>
      </c>
      <c r="K101">
        <v>214</v>
      </c>
      <c r="L101">
        <v>61</v>
      </c>
      <c r="M101">
        <v>2197.5166088180299</v>
      </c>
    </row>
    <row r="102" spans="1:13">
      <c r="C102" s="1">
        <v>45752</v>
      </c>
      <c r="D102" t="s">
        <v>11</v>
      </c>
      <c r="E102">
        <v>11074</v>
      </c>
      <c r="F102" t="s">
        <v>12</v>
      </c>
      <c r="G102">
        <v>1984</v>
      </c>
      <c r="H102">
        <v>226</v>
      </c>
      <c r="I102">
        <v>58</v>
      </c>
      <c r="J102">
        <v>1902.25190476327</v>
      </c>
      <c r="K102">
        <v>226</v>
      </c>
      <c r="L102">
        <v>56</v>
      </c>
      <c r="M102">
        <v>1814.20899615088</v>
      </c>
    </row>
    <row r="103" spans="1:13">
      <c r="C103" s="1">
        <v>45752</v>
      </c>
      <c r="D103" t="s">
        <v>11</v>
      </c>
      <c r="E103">
        <v>11072</v>
      </c>
      <c r="F103" t="s">
        <v>12</v>
      </c>
      <c r="G103">
        <v>2018</v>
      </c>
      <c r="H103">
        <v>254</v>
      </c>
      <c r="I103">
        <v>72</v>
      </c>
      <c r="J103">
        <v>2112.4400590441801</v>
      </c>
      <c r="K103">
        <v>254</v>
      </c>
      <c r="L103">
        <v>71</v>
      </c>
      <c r="M103">
        <v>2057.4500590441799</v>
      </c>
    </row>
    <row r="104" spans="1:13">
      <c r="A104" s="6" t="s">
        <v>104</v>
      </c>
      <c r="C104" s="1">
        <v>45752</v>
      </c>
      <c r="D104" t="s">
        <v>11</v>
      </c>
      <c r="E104">
        <v>11073</v>
      </c>
      <c r="F104" t="s">
        <v>14</v>
      </c>
      <c r="G104">
        <v>656</v>
      </c>
      <c r="H104">
        <v>119</v>
      </c>
      <c r="I104">
        <v>37</v>
      </c>
      <c r="J104">
        <v>1783.0506019916299</v>
      </c>
      <c r="K104">
        <v>119</v>
      </c>
      <c r="L104">
        <v>36</v>
      </c>
      <c r="M104">
        <v>1728.0606019916299</v>
      </c>
    </row>
    <row r="105" spans="1:13">
      <c r="A105" s="6" t="s">
        <v>105</v>
      </c>
      <c r="C105" s="1">
        <v>45752</v>
      </c>
      <c r="D105" t="s">
        <v>11</v>
      </c>
      <c r="E105">
        <v>11072</v>
      </c>
      <c r="F105" t="s">
        <v>14</v>
      </c>
      <c r="G105">
        <v>610</v>
      </c>
      <c r="H105">
        <v>111</v>
      </c>
      <c r="I105">
        <v>21</v>
      </c>
      <c r="J105">
        <v>1016.16746222623</v>
      </c>
      <c r="K105">
        <v>111</v>
      </c>
      <c r="L105">
        <v>21</v>
      </c>
      <c r="M105">
        <v>1016.16746222623</v>
      </c>
    </row>
    <row r="106" spans="1:13">
      <c r="A106" s="10" t="s">
        <v>106</v>
      </c>
      <c r="C106" s="1">
        <v>45752</v>
      </c>
      <c r="D106" t="s">
        <v>11</v>
      </c>
      <c r="E106">
        <v>11074</v>
      </c>
      <c r="F106" t="s">
        <v>14</v>
      </c>
      <c r="G106">
        <v>623</v>
      </c>
      <c r="H106">
        <v>94</v>
      </c>
      <c r="I106">
        <v>19</v>
      </c>
      <c r="J106">
        <v>898.04512808910602</v>
      </c>
      <c r="K106">
        <v>94</v>
      </c>
      <c r="L106">
        <v>18</v>
      </c>
      <c r="M106">
        <v>843.05512808910601</v>
      </c>
    </row>
    <row r="107" spans="1:13">
      <c r="A107" s="6" t="s">
        <v>107</v>
      </c>
      <c r="C107" s="1">
        <v>45753</v>
      </c>
      <c r="D107" t="s">
        <v>13</v>
      </c>
      <c r="E107">
        <v>11076</v>
      </c>
      <c r="F107" t="s">
        <v>12</v>
      </c>
      <c r="G107">
        <v>499</v>
      </c>
      <c r="H107">
        <v>5</v>
      </c>
      <c r="I107">
        <v>4</v>
      </c>
      <c r="J107">
        <v>14.0962715132695</v>
      </c>
      <c r="K107">
        <v>5</v>
      </c>
      <c r="L107">
        <v>4</v>
      </c>
      <c r="M107">
        <v>14.0962715132695</v>
      </c>
    </row>
    <row r="108" spans="1:13">
      <c r="A108" s="7" t="s">
        <v>108</v>
      </c>
      <c r="C108" s="1">
        <v>45753</v>
      </c>
      <c r="D108" t="s">
        <v>13</v>
      </c>
      <c r="E108">
        <v>11076</v>
      </c>
      <c r="F108" t="s">
        <v>14</v>
      </c>
      <c r="G108">
        <v>1401</v>
      </c>
      <c r="H108">
        <v>15</v>
      </c>
      <c r="I108">
        <v>5</v>
      </c>
      <c r="J108">
        <v>28.288228286398599</v>
      </c>
      <c r="K108">
        <v>15</v>
      </c>
      <c r="L108">
        <v>5</v>
      </c>
      <c r="M108">
        <v>28.288228286398599</v>
      </c>
    </row>
    <row r="109" spans="1:13">
      <c r="A109" s="6" t="s">
        <v>109</v>
      </c>
      <c r="C109" s="1">
        <v>45753</v>
      </c>
      <c r="D109" t="s">
        <v>13</v>
      </c>
      <c r="E109">
        <v>11077</v>
      </c>
      <c r="F109" t="s">
        <v>12</v>
      </c>
      <c r="G109">
        <v>570</v>
      </c>
      <c r="H109">
        <v>10</v>
      </c>
      <c r="I109">
        <v>5</v>
      </c>
      <c r="J109">
        <v>71.499357727636294</v>
      </c>
      <c r="K109">
        <v>10</v>
      </c>
      <c r="L109">
        <v>5</v>
      </c>
      <c r="M109">
        <v>71.499357727636294</v>
      </c>
    </row>
    <row r="110" spans="1:13">
      <c r="A110" s="10" t="s">
        <v>110</v>
      </c>
      <c r="C110" s="1">
        <v>45753</v>
      </c>
      <c r="D110" t="s">
        <v>13</v>
      </c>
      <c r="E110">
        <v>11075</v>
      </c>
      <c r="F110" t="s">
        <v>12</v>
      </c>
      <c r="G110">
        <v>529</v>
      </c>
      <c r="H110">
        <v>11</v>
      </c>
      <c r="I110">
        <v>5</v>
      </c>
      <c r="J110">
        <v>60.076678589506798</v>
      </c>
      <c r="K110">
        <v>11</v>
      </c>
      <c r="L110">
        <v>5</v>
      </c>
      <c r="M110">
        <v>60.076678589506798</v>
      </c>
    </row>
    <row r="111" spans="1:13">
      <c r="A111" s="6" t="s">
        <v>20</v>
      </c>
      <c r="C111" s="1">
        <v>45753</v>
      </c>
      <c r="D111" t="s">
        <v>13</v>
      </c>
      <c r="E111">
        <v>11077</v>
      </c>
      <c r="F111" t="s">
        <v>14</v>
      </c>
      <c r="G111">
        <v>1388</v>
      </c>
      <c r="H111">
        <v>19</v>
      </c>
      <c r="I111">
        <v>7</v>
      </c>
      <c r="J111">
        <v>85.407182470154495</v>
      </c>
      <c r="K111">
        <v>19</v>
      </c>
      <c r="L111">
        <v>5</v>
      </c>
      <c r="M111">
        <v>51.919185231408299</v>
      </c>
    </row>
    <row r="112" spans="1:13">
      <c r="A112" s="10" t="s">
        <v>111</v>
      </c>
      <c r="C112" s="1">
        <v>45753</v>
      </c>
      <c r="D112" t="s">
        <v>13</v>
      </c>
      <c r="E112">
        <v>11075</v>
      </c>
      <c r="F112" t="s">
        <v>14</v>
      </c>
      <c r="G112">
        <v>1404</v>
      </c>
      <c r="H112">
        <v>42</v>
      </c>
      <c r="I112">
        <v>20</v>
      </c>
      <c r="J112">
        <v>141.44889100571501</v>
      </c>
      <c r="K112">
        <v>42</v>
      </c>
      <c r="L112">
        <v>20</v>
      </c>
      <c r="M112">
        <v>141.44889100571501</v>
      </c>
    </row>
    <row r="113" spans="1:13">
      <c r="A113" s="6" t="s">
        <v>112</v>
      </c>
      <c r="C113" s="1">
        <v>45753</v>
      </c>
      <c r="D113" t="s">
        <v>11</v>
      </c>
      <c r="E113">
        <v>11073</v>
      </c>
      <c r="F113" t="s">
        <v>14</v>
      </c>
      <c r="G113">
        <v>776</v>
      </c>
      <c r="H113">
        <v>143</v>
      </c>
      <c r="I113">
        <v>35</v>
      </c>
      <c r="J113">
        <v>1654.43736422036</v>
      </c>
      <c r="K113">
        <v>143</v>
      </c>
      <c r="L113">
        <v>34</v>
      </c>
      <c r="M113">
        <v>1588.1256687421301</v>
      </c>
    </row>
    <row r="114" spans="1:13">
      <c r="A114" s="6" t="s">
        <v>113</v>
      </c>
      <c r="C114" s="1">
        <v>45753</v>
      </c>
      <c r="D114" t="s">
        <v>11</v>
      </c>
      <c r="E114">
        <v>11074</v>
      </c>
      <c r="F114" t="s">
        <v>12</v>
      </c>
      <c r="G114">
        <v>2506</v>
      </c>
      <c r="H114">
        <v>296</v>
      </c>
      <c r="I114">
        <v>87</v>
      </c>
      <c r="J114">
        <v>3203.0728315377401</v>
      </c>
      <c r="K114">
        <v>296</v>
      </c>
      <c r="L114">
        <v>82</v>
      </c>
      <c r="M114">
        <v>3055.3937017691701</v>
      </c>
    </row>
    <row r="115" spans="1:13">
      <c r="A115" s="10" t="s">
        <v>114</v>
      </c>
      <c r="C115" s="1">
        <v>45753</v>
      </c>
      <c r="D115" t="s">
        <v>11</v>
      </c>
      <c r="E115">
        <v>11072</v>
      </c>
      <c r="F115" t="s">
        <v>12</v>
      </c>
      <c r="G115">
        <v>2516</v>
      </c>
      <c r="H115">
        <v>323</v>
      </c>
      <c r="I115">
        <v>80</v>
      </c>
      <c r="J115">
        <v>2845.4583744459301</v>
      </c>
      <c r="K115">
        <v>323</v>
      </c>
      <c r="L115">
        <v>78</v>
      </c>
      <c r="M115">
        <v>2779.8291912222799</v>
      </c>
    </row>
    <row r="116" spans="1:13">
      <c r="A116" s="6" t="s">
        <v>115</v>
      </c>
      <c r="C116" s="1">
        <v>45753</v>
      </c>
      <c r="D116" t="s">
        <v>11</v>
      </c>
      <c r="E116">
        <v>11072</v>
      </c>
      <c r="F116" t="s">
        <v>14</v>
      </c>
      <c r="G116">
        <v>850</v>
      </c>
      <c r="H116">
        <v>182</v>
      </c>
      <c r="I116">
        <v>51</v>
      </c>
      <c r="J116">
        <v>2310.7906141570002</v>
      </c>
      <c r="K116">
        <v>182</v>
      </c>
      <c r="L116">
        <v>51</v>
      </c>
      <c r="M116">
        <v>2310.7906141570002</v>
      </c>
    </row>
    <row r="117" spans="1:13">
      <c r="A117" s="10" t="s">
        <v>116</v>
      </c>
      <c r="C117" s="1">
        <v>45753</v>
      </c>
      <c r="D117" t="s">
        <v>11</v>
      </c>
      <c r="E117">
        <v>11074</v>
      </c>
      <c r="F117" t="s">
        <v>14</v>
      </c>
      <c r="G117">
        <v>820</v>
      </c>
      <c r="H117">
        <v>158</v>
      </c>
      <c r="I117">
        <v>34</v>
      </c>
      <c r="J117">
        <v>1496.4219505482699</v>
      </c>
      <c r="K117">
        <v>158</v>
      </c>
      <c r="L117">
        <v>34</v>
      </c>
      <c r="M117">
        <v>1496.4219505482699</v>
      </c>
    </row>
    <row r="118" spans="1:13">
      <c r="A118" s="6" t="s">
        <v>117</v>
      </c>
      <c r="C118" s="1">
        <v>45753</v>
      </c>
      <c r="D118" t="s">
        <v>11</v>
      </c>
      <c r="E118">
        <v>11073</v>
      </c>
      <c r="F118" t="s">
        <v>12</v>
      </c>
      <c r="G118">
        <v>2609</v>
      </c>
      <c r="H118">
        <v>293</v>
      </c>
      <c r="I118">
        <v>73</v>
      </c>
      <c r="J118">
        <v>2752.9811221331702</v>
      </c>
      <c r="K118">
        <v>293</v>
      </c>
      <c r="L118">
        <v>68</v>
      </c>
      <c r="M118">
        <v>2609.69010812035</v>
      </c>
    </row>
    <row r="119" spans="1:13">
      <c r="A119" s="6" t="s">
        <v>118</v>
      </c>
      <c r="C119" s="1">
        <v>45754</v>
      </c>
      <c r="D119" t="s">
        <v>13</v>
      </c>
      <c r="E119">
        <v>11077</v>
      </c>
      <c r="F119" t="s">
        <v>14</v>
      </c>
      <c r="G119">
        <v>2023</v>
      </c>
      <c r="H119">
        <v>28</v>
      </c>
      <c r="I119">
        <v>8</v>
      </c>
      <c r="J119">
        <v>50.8275893890983</v>
      </c>
      <c r="K119">
        <v>28</v>
      </c>
      <c r="L119">
        <v>8</v>
      </c>
      <c r="M119">
        <v>50.8275893890983</v>
      </c>
    </row>
    <row r="120" spans="1:13">
      <c r="C120" s="1">
        <v>45754</v>
      </c>
      <c r="D120" t="s">
        <v>13</v>
      </c>
      <c r="E120">
        <v>11077</v>
      </c>
      <c r="F120" t="s">
        <v>12</v>
      </c>
      <c r="G120">
        <v>881</v>
      </c>
      <c r="H120">
        <v>13</v>
      </c>
      <c r="I120">
        <v>6</v>
      </c>
      <c r="J120">
        <v>63.769331356555803</v>
      </c>
      <c r="K120">
        <v>13</v>
      </c>
      <c r="L120">
        <v>5</v>
      </c>
      <c r="M120">
        <v>56.255838154396898</v>
      </c>
    </row>
    <row r="121" spans="1:13">
      <c r="C121" s="1">
        <v>45754</v>
      </c>
      <c r="D121" t="s">
        <v>13</v>
      </c>
      <c r="E121">
        <v>11076</v>
      </c>
      <c r="F121" t="s">
        <v>12</v>
      </c>
      <c r="G121">
        <v>891</v>
      </c>
      <c r="H121">
        <v>12</v>
      </c>
      <c r="I121">
        <v>4</v>
      </c>
      <c r="J121">
        <v>42.831264601008797</v>
      </c>
      <c r="K121">
        <v>12</v>
      </c>
      <c r="L121">
        <v>2</v>
      </c>
      <c r="M121">
        <v>7.8586794002490796</v>
      </c>
    </row>
    <row r="122" spans="1:13">
      <c r="C122" s="1">
        <v>45754</v>
      </c>
      <c r="D122" t="s">
        <v>13</v>
      </c>
      <c r="E122">
        <v>11075</v>
      </c>
      <c r="F122" t="s">
        <v>14</v>
      </c>
      <c r="G122">
        <v>2021</v>
      </c>
      <c r="H122">
        <v>35</v>
      </c>
      <c r="I122">
        <v>11</v>
      </c>
      <c r="J122">
        <v>70.492119194731202</v>
      </c>
      <c r="K122">
        <v>35</v>
      </c>
      <c r="L122">
        <v>11</v>
      </c>
      <c r="M122">
        <v>70.492119194731202</v>
      </c>
    </row>
    <row r="123" spans="1:13">
      <c r="C123" s="1">
        <v>45754</v>
      </c>
      <c r="D123" t="s">
        <v>13</v>
      </c>
      <c r="E123">
        <v>11076</v>
      </c>
      <c r="F123" t="s">
        <v>14</v>
      </c>
      <c r="G123">
        <v>2071</v>
      </c>
      <c r="H123">
        <v>30</v>
      </c>
      <c r="I123">
        <v>17</v>
      </c>
      <c r="J123">
        <v>125.762266980365</v>
      </c>
      <c r="K123">
        <v>30</v>
      </c>
      <c r="L123">
        <v>17</v>
      </c>
      <c r="M123">
        <v>125.762266980365</v>
      </c>
    </row>
    <row r="124" spans="1:13">
      <c r="C124" s="1">
        <v>45754</v>
      </c>
      <c r="D124" t="s">
        <v>13</v>
      </c>
      <c r="E124">
        <v>11075</v>
      </c>
      <c r="F124" t="s">
        <v>12</v>
      </c>
      <c r="G124">
        <v>844</v>
      </c>
      <c r="H124">
        <v>18</v>
      </c>
      <c r="I124">
        <v>5</v>
      </c>
      <c r="J124">
        <v>46.259961290751598</v>
      </c>
      <c r="K124">
        <v>18</v>
      </c>
      <c r="L124">
        <v>5</v>
      </c>
      <c r="M124">
        <v>46.259961290751598</v>
      </c>
    </row>
    <row r="125" spans="1:13">
      <c r="C125" s="1">
        <v>45754</v>
      </c>
      <c r="D125" t="s">
        <v>11</v>
      </c>
      <c r="E125">
        <v>11072</v>
      </c>
      <c r="F125" t="s">
        <v>12</v>
      </c>
      <c r="G125">
        <v>2537</v>
      </c>
      <c r="H125">
        <v>321</v>
      </c>
      <c r="I125">
        <v>83</v>
      </c>
      <c r="J125">
        <v>2793.9137672080101</v>
      </c>
      <c r="K125">
        <v>321</v>
      </c>
      <c r="L125">
        <v>83</v>
      </c>
      <c r="M125">
        <v>2793.9137672080101</v>
      </c>
    </row>
    <row r="126" spans="1:13">
      <c r="C126" s="1">
        <v>45754</v>
      </c>
      <c r="D126" t="s">
        <v>11</v>
      </c>
      <c r="E126">
        <v>11072</v>
      </c>
      <c r="F126" t="s">
        <v>14</v>
      </c>
      <c r="G126">
        <v>691</v>
      </c>
      <c r="H126">
        <v>147</v>
      </c>
      <c r="I126">
        <v>43</v>
      </c>
      <c r="J126">
        <v>2005.0178369963501</v>
      </c>
      <c r="K126">
        <v>147</v>
      </c>
      <c r="L126">
        <v>43</v>
      </c>
      <c r="M126">
        <v>2005.0178369963501</v>
      </c>
    </row>
    <row r="127" spans="1:13">
      <c r="C127" s="1">
        <v>45754</v>
      </c>
      <c r="D127" t="s">
        <v>11</v>
      </c>
      <c r="E127">
        <v>11074</v>
      </c>
      <c r="F127" t="s">
        <v>12</v>
      </c>
      <c r="G127">
        <v>2537</v>
      </c>
      <c r="H127">
        <v>295</v>
      </c>
      <c r="I127">
        <v>55</v>
      </c>
      <c r="J127">
        <v>1744.88535145675</v>
      </c>
      <c r="K127">
        <v>295</v>
      </c>
      <c r="L127">
        <v>51</v>
      </c>
      <c r="M127">
        <v>1562.3590475307001</v>
      </c>
    </row>
    <row r="128" spans="1:13">
      <c r="C128" s="1">
        <v>45754</v>
      </c>
      <c r="D128" t="s">
        <v>11</v>
      </c>
      <c r="E128">
        <v>11073</v>
      </c>
      <c r="F128" t="s">
        <v>12</v>
      </c>
      <c r="G128">
        <v>2522</v>
      </c>
      <c r="H128">
        <v>307</v>
      </c>
      <c r="I128">
        <v>64</v>
      </c>
      <c r="J128">
        <v>2481.0841658089698</v>
      </c>
      <c r="K128">
        <v>307</v>
      </c>
      <c r="L128">
        <v>62</v>
      </c>
      <c r="M128">
        <v>2447.0302170724499</v>
      </c>
    </row>
    <row r="129" spans="3:13">
      <c r="C129" s="1">
        <v>45754</v>
      </c>
      <c r="D129" t="s">
        <v>11</v>
      </c>
      <c r="E129">
        <v>11073</v>
      </c>
      <c r="F129" t="s">
        <v>14</v>
      </c>
      <c r="G129">
        <v>732</v>
      </c>
      <c r="H129">
        <v>118</v>
      </c>
      <c r="I129">
        <v>33</v>
      </c>
      <c r="J129">
        <v>1599.87584180197</v>
      </c>
      <c r="K129">
        <v>118</v>
      </c>
      <c r="L129">
        <v>29</v>
      </c>
      <c r="M129">
        <v>1368.9282944932099</v>
      </c>
    </row>
    <row r="130" spans="3:13">
      <c r="C130" s="1">
        <v>45754</v>
      </c>
      <c r="D130" t="s">
        <v>11</v>
      </c>
      <c r="E130">
        <v>11074</v>
      </c>
      <c r="F130" t="s">
        <v>14</v>
      </c>
      <c r="G130">
        <v>702</v>
      </c>
      <c r="H130">
        <v>149</v>
      </c>
      <c r="I130">
        <v>43</v>
      </c>
      <c r="J130">
        <v>2100.6284979228499</v>
      </c>
      <c r="K130">
        <v>149</v>
      </c>
      <c r="L130">
        <v>43</v>
      </c>
      <c r="M130">
        <v>2100.6284979228499</v>
      </c>
    </row>
    <row r="131" spans="3:13">
      <c r="C131" s="1">
        <v>45755</v>
      </c>
      <c r="D131" t="s">
        <v>13</v>
      </c>
      <c r="E131">
        <v>11076</v>
      </c>
      <c r="F131" t="s">
        <v>14</v>
      </c>
      <c r="G131">
        <v>2314</v>
      </c>
      <c r="H131">
        <v>26</v>
      </c>
      <c r="I131">
        <v>9</v>
      </c>
      <c r="J131">
        <v>96.6309885358191</v>
      </c>
      <c r="K131">
        <v>26</v>
      </c>
      <c r="L131">
        <v>7</v>
      </c>
      <c r="M131">
        <v>63.159950475889097</v>
      </c>
    </row>
    <row r="132" spans="3:13">
      <c r="C132" s="1">
        <v>45755</v>
      </c>
      <c r="D132" t="s">
        <v>13</v>
      </c>
      <c r="E132">
        <v>11077</v>
      </c>
      <c r="F132" t="s">
        <v>14</v>
      </c>
      <c r="G132">
        <v>2293</v>
      </c>
      <c r="H132">
        <v>38</v>
      </c>
      <c r="I132">
        <v>12</v>
      </c>
      <c r="J132">
        <v>101.311973314426</v>
      </c>
      <c r="K132">
        <v>38</v>
      </c>
      <c r="L132">
        <v>10</v>
      </c>
      <c r="M132">
        <v>86.554685247064299</v>
      </c>
    </row>
    <row r="133" spans="3:13">
      <c r="C133" s="1">
        <v>45755</v>
      </c>
      <c r="D133" t="s">
        <v>13</v>
      </c>
      <c r="E133">
        <v>11077</v>
      </c>
      <c r="F133" t="s">
        <v>12</v>
      </c>
      <c r="G133">
        <v>976</v>
      </c>
      <c r="H133">
        <v>18</v>
      </c>
      <c r="I133">
        <v>10</v>
      </c>
      <c r="J133">
        <v>113.913619079366</v>
      </c>
      <c r="K133">
        <v>18</v>
      </c>
      <c r="L133">
        <v>9</v>
      </c>
      <c r="M133">
        <v>87.923619079366603</v>
      </c>
    </row>
    <row r="134" spans="3:13">
      <c r="C134" s="1">
        <v>45755</v>
      </c>
      <c r="D134" t="s">
        <v>13</v>
      </c>
      <c r="E134">
        <v>11075</v>
      </c>
      <c r="F134" t="s">
        <v>12</v>
      </c>
      <c r="G134">
        <v>994</v>
      </c>
      <c r="H134">
        <v>17</v>
      </c>
      <c r="I134">
        <v>3</v>
      </c>
      <c r="J134">
        <v>19.737835696216099</v>
      </c>
      <c r="K134">
        <v>17</v>
      </c>
      <c r="L134">
        <v>2</v>
      </c>
      <c r="M134">
        <v>12.359191662535</v>
      </c>
    </row>
    <row r="135" spans="3:13">
      <c r="C135" s="1">
        <v>45755</v>
      </c>
      <c r="D135" t="s">
        <v>13</v>
      </c>
      <c r="E135">
        <v>11075</v>
      </c>
      <c r="F135" t="s">
        <v>14</v>
      </c>
      <c r="G135">
        <v>2278</v>
      </c>
      <c r="H135">
        <v>49</v>
      </c>
      <c r="I135">
        <v>12</v>
      </c>
      <c r="J135">
        <v>102.081186485633</v>
      </c>
      <c r="K135">
        <v>49</v>
      </c>
      <c r="L135">
        <v>12</v>
      </c>
      <c r="M135">
        <v>102.081186485633</v>
      </c>
    </row>
    <row r="136" spans="3:13">
      <c r="C136" s="1">
        <v>45755</v>
      </c>
      <c r="D136" t="s">
        <v>13</v>
      </c>
      <c r="E136">
        <v>11076</v>
      </c>
      <c r="F136" t="s">
        <v>12</v>
      </c>
      <c r="G136">
        <v>1003</v>
      </c>
      <c r="H136">
        <v>9</v>
      </c>
      <c r="I136">
        <v>4</v>
      </c>
      <c r="J136">
        <v>17.498452971378999</v>
      </c>
      <c r="K136">
        <v>9</v>
      </c>
      <c r="L136">
        <v>4</v>
      </c>
      <c r="M136">
        <v>17.498452971378999</v>
      </c>
    </row>
    <row r="137" spans="3:13">
      <c r="C137" s="1">
        <v>45755</v>
      </c>
      <c r="D137" t="s">
        <v>11</v>
      </c>
      <c r="E137">
        <v>11074</v>
      </c>
      <c r="F137" t="s">
        <v>14</v>
      </c>
      <c r="G137">
        <v>637</v>
      </c>
      <c r="H137">
        <v>124</v>
      </c>
      <c r="I137">
        <v>28</v>
      </c>
      <c r="J137">
        <v>1389.4935566153399</v>
      </c>
      <c r="K137">
        <v>124</v>
      </c>
      <c r="L137">
        <v>25</v>
      </c>
      <c r="M137">
        <v>1224.5235566153401</v>
      </c>
    </row>
    <row r="138" spans="3:13">
      <c r="C138" s="1">
        <v>45755</v>
      </c>
      <c r="D138" t="s">
        <v>11</v>
      </c>
      <c r="E138">
        <v>11073</v>
      </c>
      <c r="F138" t="s">
        <v>14</v>
      </c>
      <c r="G138">
        <v>658</v>
      </c>
      <c r="H138">
        <v>139</v>
      </c>
      <c r="I138">
        <v>29</v>
      </c>
      <c r="J138">
        <v>1311.2694870161699</v>
      </c>
      <c r="K138">
        <v>139</v>
      </c>
      <c r="L138">
        <v>27</v>
      </c>
      <c r="M138">
        <v>1201.2894870161699</v>
      </c>
    </row>
    <row r="139" spans="3:13">
      <c r="C139" s="1">
        <v>45755</v>
      </c>
      <c r="D139" t="s">
        <v>11</v>
      </c>
      <c r="E139">
        <v>11074</v>
      </c>
      <c r="F139" t="s">
        <v>12</v>
      </c>
      <c r="G139">
        <v>2039</v>
      </c>
      <c r="H139">
        <v>244</v>
      </c>
      <c r="I139">
        <v>55</v>
      </c>
      <c r="J139">
        <v>1866.6131225822501</v>
      </c>
      <c r="K139">
        <v>244</v>
      </c>
      <c r="L139">
        <v>53</v>
      </c>
      <c r="M139">
        <v>1784.9446573851301</v>
      </c>
    </row>
    <row r="140" spans="3:13">
      <c r="C140" s="1">
        <v>45755</v>
      </c>
      <c r="D140" t="s">
        <v>11</v>
      </c>
      <c r="E140">
        <v>11073</v>
      </c>
      <c r="F140" t="s">
        <v>12</v>
      </c>
      <c r="G140">
        <v>2051</v>
      </c>
      <c r="H140">
        <v>222</v>
      </c>
      <c r="I140">
        <v>65</v>
      </c>
      <c r="J140">
        <v>2289.0796616689699</v>
      </c>
      <c r="K140">
        <v>222</v>
      </c>
      <c r="L140">
        <v>62</v>
      </c>
      <c r="M140">
        <v>2165.8665668037202</v>
      </c>
    </row>
    <row r="141" spans="3:13">
      <c r="C141" s="1">
        <v>45755</v>
      </c>
      <c r="D141" t="s">
        <v>11</v>
      </c>
      <c r="E141">
        <v>11072</v>
      </c>
      <c r="F141" t="s">
        <v>14</v>
      </c>
      <c r="G141">
        <v>591</v>
      </c>
      <c r="H141">
        <v>117</v>
      </c>
      <c r="I141">
        <v>27</v>
      </c>
      <c r="J141">
        <v>1220.33632439145</v>
      </c>
      <c r="K141">
        <v>117</v>
      </c>
      <c r="L141">
        <v>27</v>
      </c>
      <c r="M141">
        <v>1220.33632439145</v>
      </c>
    </row>
    <row r="142" spans="3:13">
      <c r="C142" s="1">
        <v>45755</v>
      </c>
      <c r="D142" t="s">
        <v>11</v>
      </c>
      <c r="E142">
        <v>11072</v>
      </c>
      <c r="F142" t="s">
        <v>12</v>
      </c>
      <c r="G142">
        <v>1844</v>
      </c>
      <c r="H142">
        <v>233</v>
      </c>
      <c r="I142">
        <v>62</v>
      </c>
      <c r="J142">
        <v>2098.2958881928198</v>
      </c>
      <c r="K142">
        <v>233</v>
      </c>
      <c r="L142">
        <v>62</v>
      </c>
      <c r="M142">
        <v>2098.2958881928198</v>
      </c>
    </row>
    <row r="143" spans="3:13">
      <c r="C143" s="1">
        <v>45756</v>
      </c>
      <c r="D143" t="s">
        <v>13</v>
      </c>
      <c r="E143">
        <v>11076</v>
      </c>
      <c r="F143" t="s">
        <v>14</v>
      </c>
      <c r="G143">
        <v>2113</v>
      </c>
      <c r="H143">
        <v>23</v>
      </c>
      <c r="I143">
        <v>9</v>
      </c>
      <c r="J143">
        <v>57.269059728482397</v>
      </c>
      <c r="K143">
        <v>23</v>
      </c>
      <c r="L143">
        <v>8</v>
      </c>
      <c r="M143">
        <v>49.890415694801398</v>
      </c>
    </row>
    <row r="144" spans="3:13">
      <c r="C144" s="1">
        <v>45756</v>
      </c>
      <c r="D144" t="s">
        <v>13</v>
      </c>
      <c r="E144">
        <v>11076</v>
      </c>
      <c r="F144" t="s">
        <v>12</v>
      </c>
      <c r="G144">
        <v>893</v>
      </c>
      <c r="H144">
        <v>11</v>
      </c>
      <c r="I144">
        <v>5</v>
      </c>
      <c r="J144">
        <v>41.801094198197397</v>
      </c>
      <c r="K144">
        <v>11</v>
      </c>
      <c r="L144">
        <v>5</v>
      </c>
      <c r="M144">
        <v>41.801094198197397</v>
      </c>
    </row>
    <row r="145" spans="3:13">
      <c r="C145" s="1">
        <v>45756</v>
      </c>
      <c r="D145" t="s">
        <v>13</v>
      </c>
      <c r="E145">
        <v>11075</v>
      </c>
      <c r="F145" t="s">
        <v>12</v>
      </c>
      <c r="G145">
        <v>1002</v>
      </c>
      <c r="H145">
        <v>15</v>
      </c>
      <c r="I145">
        <v>5</v>
      </c>
      <c r="J145">
        <v>47.746174710964297</v>
      </c>
      <c r="K145">
        <v>15</v>
      </c>
      <c r="L145">
        <v>5</v>
      </c>
      <c r="M145">
        <v>47.746174710964297</v>
      </c>
    </row>
    <row r="146" spans="3:13">
      <c r="C146" s="1">
        <v>45756</v>
      </c>
      <c r="D146" t="s">
        <v>13</v>
      </c>
      <c r="E146">
        <v>11075</v>
      </c>
      <c r="F146" t="s">
        <v>14</v>
      </c>
      <c r="G146">
        <v>2118</v>
      </c>
      <c r="H146">
        <v>55</v>
      </c>
      <c r="I146">
        <v>19</v>
      </c>
      <c r="J146">
        <v>109.107952332574</v>
      </c>
      <c r="K146">
        <v>55</v>
      </c>
      <c r="L146">
        <v>19</v>
      </c>
      <c r="M146">
        <v>109.107952332574</v>
      </c>
    </row>
    <row r="147" spans="3:13">
      <c r="C147" s="1">
        <v>45756</v>
      </c>
      <c r="D147" t="s">
        <v>13</v>
      </c>
      <c r="E147">
        <v>11077</v>
      </c>
      <c r="F147" t="s">
        <v>14</v>
      </c>
      <c r="G147">
        <v>2016</v>
      </c>
      <c r="H147">
        <v>44</v>
      </c>
      <c r="I147">
        <v>14</v>
      </c>
      <c r="J147">
        <v>112.091136159201</v>
      </c>
      <c r="K147">
        <v>44</v>
      </c>
      <c r="L147">
        <v>14</v>
      </c>
      <c r="M147">
        <v>112.091136159201</v>
      </c>
    </row>
    <row r="148" spans="3:13">
      <c r="C148" s="1">
        <v>45756</v>
      </c>
      <c r="D148" t="s">
        <v>13</v>
      </c>
      <c r="E148">
        <v>11077</v>
      </c>
      <c r="F148" t="s">
        <v>12</v>
      </c>
      <c r="G148">
        <v>943</v>
      </c>
      <c r="H148">
        <v>13</v>
      </c>
      <c r="I148">
        <v>6</v>
      </c>
      <c r="J148">
        <v>53.519733368948003</v>
      </c>
      <c r="K148">
        <v>13</v>
      </c>
      <c r="L148">
        <v>5</v>
      </c>
      <c r="M148">
        <v>46.141089335266898</v>
      </c>
    </row>
    <row r="149" spans="3:13">
      <c r="C149" s="1">
        <v>45756</v>
      </c>
      <c r="D149" t="s">
        <v>11</v>
      </c>
      <c r="E149">
        <v>11074</v>
      </c>
      <c r="F149" t="s">
        <v>14</v>
      </c>
      <c r="G149">
        <v>655</v>
      </c>
      <c r="H149">
        <v>118</v>
      </c>
      <c r="I149">
        <v>25</v>
      </c>
      <c r="J149">
        <v>1241.42875316249</v>
      </c>
      <c r="K149">
        <v>118</v>
      </c>
      <c r="L149">
        <v>25</v>
      </c>
      <c r="M149">
        <v>1241.42875316249</v>
      </c>
    </row>
    <row r="150" spans="3:13">
      <c r="C150" s="1">
        <v>45756</v>
      </c>
      <c r="D150" t="s">
        <v>11</v>
      </c>
      <c r="E150">
        <v>11074</v>
      </c>
      <c r="F150" t="s">
        <v>12</v>
      </c>
      <c r="G150">
        <v>1823</v>
      </c>
      <c r="H150">
        <v>236</v>
      </c>
      <c r="I150">
        <v>50</v>
      </c>
      <c r="J150">
        <v>1670.6724705379099</v>
      </c>
      <c r="K150">
        <v>236</v>
      </c>
      <c r="L150">
        <v>46</v>
      </c>
      <c r="M150">
        <v>1490.2198217821999</v>
      </c>
    </row>
    <row r="151" spans="3:13">
      <c r="C151" s="1">
        <v>45756</v>
      </c>
      <c r="D151" t="s">
        <v>11</v>
      </c>
      <c r="E151">
        <v>11073</v>
      </c>
      <c r="F151" t="s">
        <v>12</v>
      </c>
      <c r="G151">
        <v>1821</v>
      </c>
      <c r="H151">
        <v>208</v>
      </c>
      <c r="I151">
        <v>56</v>
      </c>
      <c r="J151">
        <v>2185.4826561920499</v>
      </c>
      <c r="K151">
        <v>208</v>
      </c>
      <c r="L151">
        <v>53</v>
      </c>
      <c r="M151">
        <v>2059.8639638296399</v>
      </c>
    </row>
    <row r="152" spans="3:13">
      <c r="C152" s="1">
        <v>45756</v>
      </c>
      <c r="D152" t="s">
        <v>11</v>
      </c>
      <c r="E152">
        <v>11073</v>
      </c>
      <c r="F152" t="s">
        <v>14</v>
      </c>
      <c r="G152">
        <v>718</v>
      </c>
      <c r="H152">
        <v>111</v>
      </c>
      <c r="I152">
        <v>26</v>
      </c>
      <c r="J152">
        <v>1175.4232794608799</v>
      </c>
      <c r="K152">
        <v>111</v>
      </c>
      <c r="L152">
        <v>26</v>
      </c>
      <c r="M152">
        <v>1175.4232794608799</v>
      </c>
    </row>
    <row r="153" spans="3:13">
      <c r="C153" s="1">
        <v>45756</v>
      </c>
      <c r="D153" t="s">
        <v>11</v>
      </c>
      <c r="E153">
        <v>11072</v>
      </c>
      <c r="F153" t="s">
        <v>12</v>
      </c>
      <c r="G153">
        <v>1832</v>
      </c>
      <c r="H153">
        <v>240</v>
      </c>
      <c r="I153">
        <v>69</v>
      </c>
      <c r="J153">
        <v>2319.4547213545402</v>
      </c>
      <c r="K153">
        <v>240</v>
      </c>
      <c r="L153">
        <v>68</v>
      </c>
      <c r="M153">
        <v>2264.46472135454</v>
      </c>
    </row>
    <row r="154" spans="3:13">
      <c r="C154" s="1">
        <v>45756</v>
      </c>
      <c r="D154" t="s">
        <v>11</v>
      </c>
      <c r="E154">
        <v>11072</v>
      </c>
      <c r="F154" t="s">
        <v>14</v>
      </c>
      <c r="G154">
        <v>623</v>
      </c>
      <c r="H154">
        <v>110</v>
      </c>
      <c r="I154">
        <v>17</v>
      </c>
      <c r="J154">
        <v>809.73151034100295</v>
      </c>
      <c r="K154">
        <v>110</v>
      </c>
      <c r="L154">
        <v>17</v>
      </c>
      <c r="M154">
        <v>809.73151034100295</v>
      </c>
    </row>
    <row r="155" spans="3:13">
      <c r="C155" s="1">
        <v>45757</v>
      </c>
      <c r="D155" t="s">
        <v>13</v>
      </c>
      <c r="E155">
        <v>11076</v>
      </c>
      <c r="F155" t="s">
        <v>14</v>
      </c>
      <c r="G155">
        <v>2288</v>
      </c>
      <c r="H155">
        <v>31</v>
      </c>
      <c r="I155">
        <v>17</v>
      </c>
      <c r="J155">
        <v>113.46351781488499</v>
      </c>
      <c r="K155">
        <v>31</v>
      </c>
      <c r="L155">
        <v>17</v>
      </c>
      <c r="M155">
        <v>113.46351781488499</v>
      </c>
    </row>
    <row r="156" spans="3:13">
      <c r="C156" s="1">
        <v>45757</v>
      </c>
      <c r="D156" t="s">
        <v>13</v>
      </c>
      <c r="E156">
        <v>11075</v>
      </c>
      <c r="F156" t="s">
        <v>12</v>
      </c>
      <c r="G156">
        <v>949</v>
      </c>
      <c r="H156">
        <v>19</v>
      </c>
      <c r="I156">
        <v>4</v>
      </c>
      <c r="J156">
        <v>31.051910904374498</v>
      </c>
      <c r="K156">
        <v>19</v>
      </c>
      <c r="L156">
        <v>4</v>
      </c>
      <c r="M156">
        <v>31.051910904374498</v>
      </c>
    </row>
    <row r="157" spans="3:13">
      <c r="C157" s="1">
        <v>45757</v>
      </c>
      <c r="D157" t="s">
        <v>13</v>
      </c>
      <c r="E157">
        <v>11077</v>
      </c>
      <c r="F157" t="s">
        <v>12</v>
      </c>
      <c r="G157">
        <v>930</v>
      </c>
      <c r="H157">
        <v>14</v>
      </c>
      <c r="I157">
        <v>6</v>
      </c>
      <c r="J157">
        <v>70.422613519902896</v>
      </c>
      <c r="K157">
        <v>14</v>
      </c>
      <c r="L157">
        <v>5</v>
      </c>
      <c r="M157">
        <v>48.850250681620601</v>
      </c>
    </row>
    <row r="158" spans="3:13">
      <c r="C158" s="1">
        <v>45757</v>
      </c>
      <c r="D158" t="s">
        <v>13</v>
      </c>
      <c r="E158">
        <v>11077</v>
      </c>
      <c r="F158" t="s">
        <v>14</v>
      </c>
      <c r="G158">
        <v>2436</v>
      </c>
      <c r="H158">
        <v>39</v>
      </c>
      <c r="I158">
        <v>13</v>
      </c>
      <c r="J158">
        <v>113.253605894139</v>
      </c>
      <c r="K158">
        <v>39</v>
      </c>
      <c r="L158">
        <v>13</v>
      </c>
      <c r="M158">
        <v>113.253605894139</v>
      </c>
    </row>
    <row r="159" spans="3:13">
      <c r="C159" s="1">
        <v>45757</v>
      </c>
      <c r="D159" t="s">
        <v>13</v>
      </c>
      <c r="E159">
        <v>11075</v>
      </c>
      <c r="F159" t="s">
        <v>14</v>
      </c>
      <c r="G159">
        <v>2400</v>
      </c>
      <c r="H159">
        <v>58</v>
      </c>
      <c r="I159">
        <v>19</v>
      </c>
      <c r="J159">
        <v>135.28923725394</v>
      </c>
      <c r="K159">
        <v>58</v>
      </c>
      <c r="L159">
        <v>18</v>
      </c>
      <c r="M159">
        <v>127.135927143912</v>
      </c>
    </row>
    <row r="160" spans="3:13">
      <c r="C160" s="1">
        <v>45757</v>
      </c>
      <c r="D160" t="s">
        <v>13</v>
      </c>
      <c r="E160">
        <v>11076</v>
      </c>
      <c r="F160" t="s">
        <v>12</v>
      </c>
      <c r="G160">
        <v>939</v>
      </c>
      <c r="H160">
        <v>9</v>
      </c>
      <c r="I160">
        <v>3</v>
      </c>
      <c r="J160">
        <v>48.046667335505603</v>
      </c>
      <c r="K160">
        <v>9</v>
      </c>
      <c r="L160">
        <v>3</v>
      </c>
      <c r="M160">
        <v>48.046667335505603</v>
      </c>
    </row>
    <row r="161" spans="3:13">
      <c r="C161" s="1">
        <v>45757</v>
      </c>
      <c r="D161" t="s">
        <v>11</v>
      </c>
      <c r="E161">
        <v>11072</v>
      </c>
      <c r="F161" t="s">
        <v>12</v>
      </c>
      <c r="G161">
        <v>1774</v>
      </c>
      <c r="H161">
        <v>243</v>
      </c>
      <c r="I161">
        <v>69</v>
      </c>
      <c r="J161">
        <v>2578.7067530310001</v>
      </c>
      <c r="K161">
        <v>243</v>
      </c>
      <c r="L161">
        <v>68</v>
      </c>
      <c r="M161">
        <v>2558.7167530309998</v>
      </c>
    </row>
    <row r="162" spans="3:13">
      <c r="C162" s="1">
        <v>45757</v>
      </c>
      <c r="D162" t="s">
        <v>11</v>
      </c>
      <c r="E162">
        <v>11072</v>
      </c>
      <c r="F162" t="s">
        <v>14</v>
      </c>
      <c r="G162">
        <v>667</v>
      </c>
      <c r="H162">
        <v>122</v>
      </c>
      <c r="I162">
        <v>26</v>
      </c>
      <c r="J162">
        <v>1196.6894799630199</v>
      </c>
      <c r="K162">
        <v>122</v>
      </c>
      <c r="L162">
        <v>26</v>
      </c>
      <c r="M162">
        <v>1196.6894799630199</v>
      </c>
    </row>
    <row r="163" spans="3:13">
      <c r="C163" s="1">
        <v>45757</v>
      </c>
      <c r="D163" t="s">
        <v>11</v>
      </c>
      <c r="E163">
        <v>11073</v>
      </c>
      <c r="F163" t="s">
        <v>12</v>
      </c>
      <c r="G163">
        <v>1801</v>
      </c>
      <c r="H163">
        <v>203</v>
      </c>
      <c r="I163">
        <v>46</v>
      </c>
      <c r="J163">
        <v>1722.1972480970701</v>
      </c>
      <c r="K163">
        <v>203</v>
      </c>
      <c r="L163">
        <v>42</v>
      </c>
      <c r="M163">
        <v>1570.32351910997</v>
      </c>
    </row>
    <row r="164" spans="3:13">
      <c r="C164" s="1">
        <v>45757</v>
      </c>
      <c r="D164" t="s">
        <v>11</v>
      </c>
      <c r="E164">
        <v>11073</v>
      </c>
      <c r="F164" t="s">
        <v>14</v>
      </c>
      <c r="G164">
        <v>668</v>
      </c>
      <c r="H164">
        <v>106</v>
      </c>
      <c r="I164">
        <v>29</v>
      </c>
      <c r="J164">
        <v>1434.5040564758301</v>
      </c>
      <c r="K164">
        <v>106</v>
      </c>
      <c r="L164">
        <v>29</v>
      </c>
      <c r="M164">
        <v>1434.5040564758301</v>
      </c>
    </row>
    <row r="165" spans="3:13">
      <c r="C165" s="1">
        <v>45757</v>
      </c>
      <c r="D165" t="s">
        <v>11</v>
      </c>
      <c r="E165">
        <v>11074</v>
      </c>
      <c r="F165" t="s">
        <v>14</v>
      </c>
      <c r="G165">
        <v>671</v>
      </c>
      <c r="H165">
        <v>109</v>
      </c>
      <c r="I165">
        <v>22</v>
      </c>
      <c r="J165">
        <v>937.28120287233799</v>
      </c>
      <c r="K165">
        <v>109</v>
      </c>
      <c r="L165">
        <v>21</v>
      </c>
      <c r="M165">
        <v>882.29120287233798</v>
      </c>
    </row>
    <row r="166" spans="3:13">
      <c r="C166" s="1">
        <v>45757</v>
      </c>
      <c r="D166" t="s">
        <v>11</v>
      </c>
      <c r="E166">
        <v>11074</v>
      </c>
      <c r="F166" t="s">
        <v>12</v>
      </c>
      <c r="G166">
        <v>1813</v>
      </c>
      <c r="H166">
        <v>215</v>
      </c>
      <c r="I166">
        <v>58</v>
      </c>
      <c r="J166">
        <v>2009.22405446069</v>
      </c>
      <c r="K166">
        <v>215</v>
      </c>
      <c r="L166">
        <v>58</v>
      </c>
      <c r="M166">
        <v>2009.22405446069</v>
      </c>
    </row>
    <row r="167" spans="3:13">
      <c r="C167" s="1">
        <v>45758</v>
      </c>
      <c r="D167" t="s">
        <v>13</v>
      </c>
      <c r="E167">
        <v>11076</v>
      </c>
      <c r="F167" t="s">
        <v>12</v>
      </c>
      <c r="G167">
        <v>992</v>
      </c>
      <c r="H167">
        <v>12</v>
      </c>
      <c r="I167">
        <v>6</v>
      </c>
      <c r="J167">
        <v>35.632694821812699</v>
      </c>
      <c r="K167">
        <v>12</v>
      </c>
      <c r="L167">
        <v>6</v>
      </c>
      <c r="M167">
        <v>35.632694821812699</v>
      </c>
    </row>
    <row r="168" spans="3:13">
      <c r="C168" s="1">
        <v>45758</v>
      </c>
      <c r="D168" t="s">
        <v>13</v>
      </c>
      <c r="E168">
        <v>11075</v>
      </c>
      <c r="F168" t="s">
        <v>12</v>
      </c>
      <c r="G168">
        <v>1025</v>
      </c>
      <c r="H168">
        <v>21</v>
      </c>
      <c r="I168">
        <v>13</v>
      </c>
      <c r="J168">
        <v>88.239401815983598</v>
      </c>
      <c r="K168">
        <v>21</v>
      </c>
      <c r="L168">
        <v>13</v>
      </c>
      <c r="M168">
        <v>88.239401815983598</v>
      </c>
    </row>
    <row r="169" spans="3:13">
      <c r="C169" s="1">
        <v>45758</v>
      </c>
      <c r="D169" t="s">
        <v>13</v>
      </c>
      <c r="E169">
        <v>11077</v>
      </c>
      <c r="F169" t="s">
        <v>12</v>
      </c>
      <c r="G169">
        <v>1003</v>
      </c>
      <c r="H169">
        <v>15</v>
      </c>
      <c r="I169">
        <v>11</v>
      </c>
      <c r="J169">
        <v>106.155783346215</v>
      </c>
      <c r="K169">
        <v>15</v>
      </c>
      <c r="L169">
        <v>10</v>
      </c>
      <c r="M169">
        <v>78.404181897823193</v>
      </c>
    </row>
    <row r="170" spans="3:13">
      <c r="C170" s="1">
        <v>45758</v>
      </c>
      <c r="D170" t="s">
        <v>13</v>
      </c>
      <c r="E170">
        <v>11075</v>
      </c>
      <c r="F170" t="s">
        <v>14</v>
      </c>
      <c r="G170">
        <v>2256</v>
      </c>
      <c r="H170">
        <v>72</v>
      </c>
      <c r="I170">
        <v>23</v>
      </c>
      <c r="J170">
        <v>219.979013284339</v>
      </c>
      <c r="K170">
        <v>72</v>
      </c>
      <c r="L170">
        <v>22</v>
      </c>
      <c r="M170">
        <v>212.404977471666</v>
      </c>
    </row>
    <row r="171" spans="3:13">
      <c r="C171" s="1">
        <v>45758</v>
      </c>
      <c r="D171" t="s">
        <v>13</v>
      </c>
      <c r="E171">
        <v>11077</v>
      </c>
      <c r="F171" t="s">
        <v>14</v>
      </c>
      <c r="G171">
        <v>2119</v>
      </c>
      <c r="H171">
        <v>35</v>
      </c>
      <c r="I171">
        <v>10</v>
      </c>
      <c r="J171">
        <v>43.837379191707299</v>
      </c>
      <c r="K171">
        <v>35</v>
      </c>
      <c r="L171">
        <v>10</v>
      </c>
      <c r="M171">
        <v>43.837379191707299</v>
      </c>
    </row>
    <row r="172" spans="3:13">
      <c r="C172" s="1">
        <v>45758</v>
      </c>
      <c r="D172" t="s">
        <v>13</v>
      </c>
      <c r="E172">
        <v>11076</v>
      </c>
      <c r="F172" t="s">
        <v>14</v>
      </c>
      <c r="G172">
        <v>2124</v>
      </c>
      <c r="H172">
        <v>23</v>
      </c>
      <c r="I172">
        <v>6</v>
      </c>
      <c r="J172">
        <v>21.247220830014101</v>
      </c>
      <c r="K172">
        <v>23</v>
      </c>
      <c r="L172">
        <v>6</v>
      </c>
      <c r="M172">
        <v>21.247220830014101</v>
      </c>
    </row>
    <row r="173" spans="3:13">
      <c r="C173" s="1">
        <v>45758</v>
      </c>
      <c r="D173" t="s">
        <v>11</v>
      </c>
      <c r="E173">
        <v>11072</v>
      </c>
      <c r="F173" t="s">
        <v>12</v>
      </c>
      <c r="G173">
        <v>1937</v>
      </c>
      <c r="H173">
        <v>258</v>
      </c>
      <c r="I173">
        <v>77</v>
      </c>
      <c r="J173">
        <v>2442.6190950330001</v>
      </c>
      <c r="K173">
        <v>258</v>
      </c>
      <c r="L173">
        <v>75</v>
      </c>
      <c r="M173">
        <v>2358.8370281996099</v>
      </c>
    </row>
    <row r="174" spans="3:13">
      <c r="C174" s="1">
        <v>45758</v>
      </c>
      <c r="D174" t="s">
        <v>11</v>
      </c>
      <c r="E174">
        <v>11073</v>
      </c>
      <c r="F174" t="s">
        <v>12</v>
      </c>
      <c r="G174">
        <v>1827</v>
      </c>
      <c r="H174">
        <v>214</v>
      </c>
      <c r="I174">
        <v>59</v>
      </c>
      <c r="J174">
        <v>1957.10553721223</v>
      </c>
      <c r="K174">
        <v>214</v>
      </c>
      <c r="L174">
        <v>58</v>
      </c>
      <c r="M174">
        <v>1921.6581321347001</v>
      </c>
    </row>
    <row r="175" spans="3:13">
      <c r="C175" s="1">
        <v>45758</v>
      </c>
      <c r="D175" t="s">
        <v>11</v>
      </c>
      <c r="E175">
        <v>11074</v>
      </c>
      <c r="F175" t="s">
        <v>12</v>
      </c>
      <c r="G175">
        <v>1907</v>
      </c>
      <c r="H175">
        <v>221</v>
      </c>
      <c r="I175">
        <v>50</v>
      </c>
      <c r="J175">
        <v>1723.1679661917001</v>
      </c>
      <c r="K175">
        <v>221</v>
      </c>
      <c r="L175">
        <v>48</v>
      </c>
      <c r="M175">
        <v>1652.69931605396</v>
      </c>
    </row>
    <row r="176" spans="3:13">
      <c r="C176" s="1">
        <v>45758</v>
      </c>
      <c r="D176" t="s">
        <v>11</v>
      </c>
      <c r="E176">
        <v>11074</v>
      </c>
      <c r="F176" t="s">
        <v>14</v>
      </c>
      <c r="G176">
        <v>618</v>
      </c>
      <c r="H176">
        <v>129</v>
      </c>
      <c r="I176">
        <v>36</v>
      </c>
      <c r="J176">
        <v>1720.4999919065101</v>
      </c>
      <c r="K176">
        <v>129</v>
      </c>
      <c r="L176">
        <v>36</v>
      </c>
      <c r="M176">
        <v>1720.4999919065101</v>
      </c>
    </row>
    <row r="177" spans="3:13">
      <c r="C177" s="1">
        <v>45758</v>
      </c>
      <c r="D177" t="s">
        <v>11</v>
      </c>
      <c r="E177">
        <v>11073</v>
      </c>
      <c r="F177" t="s">
        <v>14</v>
      </c>
      <c r="G177">
        <v>655</v>
      </c>
      <c r="H177">
        <v>87</v>
      </c>
      <c r="I177">
        <v>23</v>
      </c>
      <c r="J177">
        <v>1047.47678505627</v>
      </c>
      <c r="K177">
        <v>87</v>
      </c>
      <c r="L177">
        <v>21</v>
      </c>
      <c r="M177">
        <v>981.43229456758502</v>
      </c>
    </row>
    <row r="178" spans="3:13">
      <c r="C178" s="1">
        <v>45758</v>
      </c>
      <c r="D178" t="s">
        <v>11</v>
      </c>
      <c r="E178">
        <v>11072</v>
      </c>
      <c r="F178" t="s">
        <v>14</v>
      </c>
      <c r="G178">
        <v>630</v>
      </c>
      <c r="H178">
        <v>123</v>
      </c>
      <c r="I178">
        <v>31</v>
      </c>
      <c r="J178">
        <v>1415.4481734020201</v>
      </c>
      <c r="K178">
        <v>123</v>
      </c>
      <c r="L178">
        <v>31</v>
      </c>
      <c r="M178">
        <v>1415.4481734020201</v>
      </c>
    </row>
    <row r="179" spans="3:13">
      <c r="C179" s="1">
        <v>45759</v>
      </c>
      <c r="D179" t="s">
        <v>13</v>
      </c>
      <c r="E179">
        <v>11076</v>
      </c>
      <c r="F179" t="s">
        <v>12</v>
      </c>
      <c r="G179">
        <v>1093</v>
      </c>
      <c r="H179">
        <v>14</v>
      </c>
      <c r="I179">
        <v>8</v>
      </c>
      <c r="J179">
        <v>66.155310253792805</v>
      </c>
      <c r="K179">
        <v>14</v>
      </c>
      <c r="L179">
        <v>8</v>
      </c>
      <c r="M179">
        <v>66.155310253792805</v>
      </c>
    </row>
    <row r="180" spans="3:13">
      <c r="C180" s="1">
        <v>45759</v>
      </c>
      <c r="D180" t="s">
        <v>13</v>
      </c>
      <c r="E180">
        <v>11075</v>
      </c>
      <c r="F180" t="s">
        <v>14</v>
      </c>
      <c r="G180">
        <v>1863</v>
      </c>
      <c r="H180">
        <v>48</v>
      </c>
      <c r="I180">
        <v>19</v>
      </c>
      <c r="J180">
        <v>167.737968465206</v>
      </c>
      <c r="K180">
        <v>48</v>
      </c>
      <c r="L180">
        <v>18</v>
      </c>
      <c r="M180">
        <v>160.16393265253399</v>
      </c>
    </row>
    <row r="181" spans="3:13">
      <c r="C181" s="1">
        <v>45759</v>
      </c>
      <c r="D181" t="s">
        <v>13</v>
      </c>
      <c r="E181">
        <v>11075</v>
      </c>
      <c r="F181" t="s">
        <v>12</v>
      </c>
      <c r="G181">
        <v>1102</v>
      </c>
      <c r="H181">
        <v>23</v>
      </c>
      <c r="I181">
        <v>7</v>
      </c>
      <c r="J181">
        <v>119.55077964095899</v>
      </c>
      <c r="K181">
        <v>23</v>
      </c>
      <c r="L181">
        <v>7</v>
      </c>
      <c r="M181">
        <v>119.55077964095899</v>
      </c>
    </row>
    <row r="182" spans="3:13">
      <c r="C182" s="1">
        <v>45759</v>
      </c>
      <c r="D182" t="s">
        <v>13</v>
      </c>
      <c r="E182">
        <v>11077</v>
      </c>
      <c r="F182" t="s">
        <v>12</v>
      </c>
      <c r="G182">
        <v>1094</v>
      </c>
      <c r="H182">
        <v>13</v>
      </c>
      <c r="I182">
        <v>9</v>
      </c>
      <c r="J182">
        <v>89.749299433440598</v>
      </c>
      <c r="K182">
        <v>13</v>
      </c>
      <c r="L182">
        <v>8</v>
      </c>
      <c r="M182">
        <v>82.007717282125498</v>
      </c>
    </row>
    <row r="183" spans="3:13">
      <c r="C183" s="1">
        <v>45759</v>
      </c>
      <c r="D183" t="s">
        <v>13</v>
      </c>
      <c r="E183">
        <v>11076</v>
      </c>
      <c r="F183" t="s">
        <v>14</v>
      </c>
      <c r="G183">
        <v>1897</v>
      </c>
      <c r="H183">
        <v>18</v>
      </c>
      <c r="I183">
        <v>9</v>
      </c>
      <c r="J183">
        <v>41.020373965004403</v>
      </c>
      <c r="K183">
        <v>18</v>
      </c>
      <c r="L183">
        <v>9</v>
      </c>
      <c r="M183">
        <v>41.020373965004403</v>
      </c>
    </row>
    <row r="184" spans="3:13">
      <c r="C184" s="1">
        <v>45759</v>
      </c>
      <c r="D184" t="s">
        <v>13</v>
      </c>
      <c r="E184">
        <v>11077</v>
      </c>
      <c r="F184" t="s">
        <v>14</v>
      </c>
      <c r="G184">
        <v>1820</v>
      </c>
      <c r="H184">
        <v>35</v>
      </c>
      <c r="I184">
        <v>15</v>
      </c>
      <c r="J184">
        <v>173.58661575270901</v>
      </c>
      <c r="K184">
        <v>35</v>
      </c>
      <c r="L184">
        <v>14</v>
      </c>
      <c r="M184">
        <v>166.01257994003601</v>
      </c>
    </row>
    <row r="185" spans="3:13">
      <c r="C185" s="1">
        <v>45759</v>
      </c>
      <c r="D185" t="s">
        <v>11</v>
      </c>
      <c r="E185">
        <v>11074</v>
      </c>
      <c r="F185" t="s">
        <v>12</v>
      </c>
      <c r="G185">
        <v>1993</v>
      </c>
      <c r="H185">
        <v>211</v>
      </c>
      <c r="I185">
        <v>41</v>
      </c>
      <c r="J185">
        <v>1446.11167941914</v>
      </c>
      <c r="K185">
        <v>211</v>
      </c>
      <c r="L185">
        <v>40</v>
      </c>
      <c r="M185">
        <v>1430.63302928139</v>
      </c>
    </row>
    <row r="186" spans="3:13">
      <c r="C186" s="1">
        <v>45759</v>
      </c>
      <c r="D186" t="s">
        <v>11</v>
      </c>
      <c r="E186">
        <v>11072</v>
      </c>
      <c r="F186" t="s">
        <v>12</v>
      </c>
      <c r="G186">
        <v>1963</v>
      </c>
      <c r="H186">
        <v>226</v>
      </c>
      <c r="I186">
        <v>54</v>
      </c>
      <c r="J186">
        <v>1841.1897199739201</v>
      </c>
      <c r="K186">
        <v>226</v>
      </c>
      <c r="L186">
        <v>52</v>
      </c>
      <c r="M186">
        <v>1772.30131669653</v>
      </c>
    </row>
    <row r="187" spans="3:13">
      <c r="C187" s="1">
        <v>45759</v>
      </c>
      <c r="D187" t="s">
        <v>11</v>
      </c>
      <c r="E187">
        <v>11073</v>
      </c>
      <c r="F187" t="s">
        <v>12</v>
      </c>
      <c r="G187">
        <v>2088</v>
      </c>
      <c r="H187">
        <v>227</v>
      </c>
      <c r="I187">
        <v>60</v>
      </c>
      <c r="J187">
        <v>2327.47381538532</v>
      </c>
      <c r="K187">
        <v>227</v>
      </c>
      <c r="L187">
        <v>58</v>
      </c>
      <c r="M187">
        <v>2268.00516524758</v>
      </c>
    </row>
    <row r="188" spans="3:13">
      <c r="C188" s="1">
        <v>45759</v>
      </c>
      <c r="D188" t="s">
        <v>11</v>
      </c>
      <c r="E188">
        <v>11073</v>
      </c>
      <c r="F188" t="s">
        <v>14</v>
      </c>
      <c r="G188">
        <v>611</v>
      </c>
      <c r="H188">
        <v>86</v>
      </c>
      <c r="I188">
        <v>21</v>
      </c>
      <c r="J188">
        <v>923.66311218388398</v>
      </c>
      <c r="K188">
        <v>86</v>
      </c>
      <c r="L188">
        <v>21</v>
      </c>
      <c r="M188">
        <v>923.66311218388398</v>
      </c>
    </row>
    <row r="189" spans="3:13">
      <c r="C189" s="1">
        <v>45759</v>
      </c>
      <c r="D189" t="s">
        <v>11</v>
      </c>
      <c r="E189">
        <v>11072</v>
      </c>
      <c r="F189" t="s">
        <v>14</v>
      </c>
      <c r="G189">
        <v>593</v>
      </c>
      <c r="H189">
        <v>106</v>
      </c>
      <c r="I189">
        <v>25</v>
      </c>
      <c r="J189">
        <v>1286.5704898890201</v>
      </c>
      <c r="K189">
        <v>106</v>
      </c>
      <c r="L189">
        <v>25</v>
      </c>
      <c r="M189">
        <v>1286.5704898890201</v>
      </c>
    </row>
    <row r="190" spans="3:13">
      <c r="C190" s="1">
        <v>45759</v>
      </c>
      <c r="D190" t="s">
        <v>11</v>
      </c>
      <c r="E190">
        <v>11074</v>
      </c>
      <c r="F190" t="s">
        <v>14</v>
      </c>
      <c r="G190">
        <v>613</v>
      </c>
      <c r="H190">
        <v>86</v>
      </c>
      <c r="I190">
        <v>25</v>
      </c>
      <c r="J190">
        <v>1126.7455006615</v>
      </c>
      <c r="K190">
        <v>86</v>
      </c>
      <c r="L190">
        <v>24</v>
      </c>
      <c r="M190">
        <v>1071.7555006615</v>
      </c>
    </row>
    <row r="191" spans="3:13">
      <c r="C191" s="1">
        <v>45760</v>
      </c>
      <c r="D191" t="s">
        <v>13</v>
      </c>
      <c r="E191">
        <v>11077</v>
      </c>
      <c r="F191" t="s">
        <v>14</v>
      </c>
      <c r="G191">
        <v>2392</v>
      </c>
      <c r="H191">
        <v>47</v>
      </c>
      <c r="I191">
        <v>16</v>
      </c>
      <c r="J191">
        <v>146.87991874745899</v>
      </c>
      <c r="K191">
        <v>47</v>
      </c>
      <c r="L191">
        <v>16</v>
      </c>
      <c r="M191">
        <v>146.87991874745899</v>
      </c>
    </row>
    <row r="192" spans="3:13">
      <c r="C192" s="1">
        <v>45760</v>
      </c>
      <c r="D192" t="s">
        <v>13</v>
      </c>
      <c r="E192">
        <v>11075</v>
      </c>
      <c r="F192" t="s">
        <v>12</v>
      </c>
      <c r="G192">
        <v>1229</v>
      </c>
      <c r="H192">
        <v>34</v>
      </c>
      <c r="I192">
        <v>18</v>
      </c>
      <c r="J192">
        <v>225.63339169724799</v>
      </c>
      <c r="K192">
        <v>34</v>
      </c>
      <c r="L192">
        <v>17</v>
      </c>
      <c r="M192">
        <v>217.94471410085501</v>
      </c>
    </row>
    <row r="193" spans="3:13">
      <c r="C193" s="1">
        <v>45760</v>
      </c>
      <c r="D193" t="s">
        <v>13</v>
      </c>
      <c r="E193">
        <v>11076</v>
      </c>
      <c r="F193" t="s">
        <v>14</v>
      </c>
      <c r="G193">
        <v>2269</v>
      </c>
      <c r="H193">
        <v>27</v>
      </c>
      <c r="I193">
        <v>9</v>
      </c>
      <c r="J193">
        <v>48.165489612331903</v>
      </c>
      <c r="K193">
        <v>27</v>
      </c>
      <c r="L193">
        <v>9</v>
      </c>
      <c r="M193">
        <v>48.165489612331903</v>
      </c>
    </row>
    <row r="194" spans="3:13">
      <c r="C194" s="1">
        <v>45760</v>
      </c>
      <c r="D194" t="s">
        <v>13</v>
      </c>
      <c r="E194">
        <v>11075</v>
      </c>
      <c r="F194" t="s">
        <v>14</v>
      </c>
      <c r="G194">
        <v>2348</v>
      </c>
      <c r="H194">
        <v>67</v>
      </c>
      <c r="I194">
        <v>10</v>
      </c>
      <c r="J194">
        <v>48.959132101808301</v>
      </c>
      <c r="K194">
        <v>67</v>
      </c>
      <c r="L194">
        <v>10</v>
      </c>
      <c r="M194">
        <v>48.959132101808301</v>
      </c>
    </row>
    <row r="195" spans="3:13">
      <c r="C195" s="1">
        <v>45760</v>
      </c>
      <c r="D195" t="s">
        <v>13</v>
      </c>
      <c r="E195">
        <v>11077</v>
      </c>
      <c r="F195" t="s">
        <v>12</v>
      </c>
      <c r="G195">
        <v>1210</v>
      </c>
      <c r="H195">
        <v>13</v>
      </c>
      <c r="I195">
        <v>6</v>
      </c>
      <c r="J195">
        <v>78.341711292607101</v>
      </c>
      <c r="K195">
        <v>13</v>
      </c>
      <c r="L195">
        <v>6</v>
      </c>
      <c r="M195">
        <v>78.341711292607101</v>
      </c>
    </row>
    <row r="196" spans="3:13">
      <c r="C196" s="1">
        <v>45760</v>
      </c>
      <c r="D196" t="s">
        <v>13</v>
      </c>
      <c r="E196">
        <v>11076</v>
      </c>
      <c r="F196" t="s">
        <v>12</v>
      </c>
      <c r="G196">
        <v>1126</v>
      </c>
      <c r="H196">
        <v>17</v>
      </c>
      <c r="I196">
        <v>12</v>
      </c>
      <c r="J196">
        <v>157.95078209675</v>
      </c>
      <c r="K196">
        <v>17</v>
      </c>
      <c r="L196">
        <v>12</v>
      </c>
      <c r="M196">
        <v>157.95078209675</v>
      </c>
    </row>
    <row r="197" spans="3:13">
      <c r="C197" s="1">
        <v>45760</v>
      </c>
      <c r="D197" t="s">
        <v>11</v>
      </c>
      <c r="E197">
        <v>11073</v>
      </c>
      <c r="F197" t="s">
        <v>12</v>
      </c>
      <c r="G197">
        <v>2659</v>
      </c>
      <c r="H197">
        <v>298</v>
      </c>
      <c r="I197">
        <v>75</v>
      </c>
      <c r="J197">
        <v>2848.5540259968202</v>
      </c>
      <c r="K197">
        <v>298</v>
      </c>
      <c r="L197">
        <v>74</v>
      </c>
      <c r="M197">
        <v>2791.7845595434901</v>
      </c>
    </row>
    <row r="198" spans="3:13">
      <c r="C198" s="1">
        <v>45760</v>
      </c>
      <c r="D198" t="s">
        <v>11</v>
      </c>
      <c r="E198">
        <v>11072</v>
      </c>
      <c r="F198" t="s">
        <v>14</v>
      </c>
      <c r="G198">
        <v>776</v>
      </c>
      <c r="H198">
        <v>150</v>
      </c>
      <c r="I198">
        <v>45</v>
      </c>
      <c r="J198">
        <v>1808.9087439180801</v>
      </c>
      <c r="K198">
        <v>150</v>
      </c>
      <c r="L198">
        <v>44</v>
      </c>
      <c r="M198">
        <v>1753.9187439180801</v>
      </c>
    </row>
    <row r="199" spans="3:13">
      <c r="C199" s="1">
        <v>45760</v>
      </c>
      <c r="D199" t="s">
        <v>11</v>
      </c>
      <c r="E199">
        <v>11074</v>
      </c>
      <c r="F199" t="s">
        <v>14</v>
      </c>
      <c r="G199">
        <v>757</v>
      </c>
      <c r="H199">
        <v>131</v>
      </c>
      <c r="I199">
        <v>35</v>
      </c>
      <c r="J199">
        <v>1617.91097732205</v>
      </c>
      <c r="K199">
        <v>131</v>
      </c>
      <c r="L199">
        <v>34</v>
      </c>
      <c r="M199">
        <v>1573.92097732205</v>
      </c>
    </row>
    <row r="200" spans="3:13">
      <c r="C200" s="1">
        <v>45760</v>
      </c>
      <c r="D200" t="s">
        <v>11</v>
      </c>
      <c r="E200">
        <v>11073</v>
      </c>
      <c r="F200" t="s">
        <v>14</v>
      </c>
      <c r="G200">
        <v>793</v>
      </c>
      <c r="H200">
        <v>150</v>
      </c>
      <c r="I200">
        <v>31</v>
      </c>
      <c r="J200">
        <v>1313.1223329305001</v>
      </c>
      <c r="K200">
        <v>150</v>
      </c>
      <c r="L200">
        <v>31</v>
      </c>
      <c r="M200">
        <v>1313.1223329305001</v>
      </c>
    </row>
    <row r="201" spans="3:13">
      <c r="C201" s="1">
        <v>45760</v>
      </c>
      <c r="D201" t="s">
        <v>11</v>
      </c>
      <c r="E201">
        <v>11074</v>
      </c>
      <c r="F201" t="s">
        <v>12</v>
      </c>
      <c r="G201">
        <v>2640</v>
      </c>
      <c r="H201">
        <v>340</v>
      </c>
      <c r="I201">
        <v>86</v>
      </c>
      <c r="J201">
        <v>3345.1796757889902</v>
      </c>
      <c r="K201">
        <v>340</v>
      </c>
      <c r="L201">
        <v>81</v>
      </c>
      <c r="M201">
        <v>3245.73644620599</v>
      </c>
    </row>
    <row r="202" spans="3:13">
      <c r="C202" s="1">
        <v>45760</v>
      </c>
      <c r="D202" t="s">
        <v>11</v>
      </c>
      <c r="E202">
        <v>11072</v>
      </c>
      <c r="F202" t="s">
        <v>12</v>
      </c>
      <c r="G202">
        <v>2602</v>
      </c>
      <c r="H202">
        <v>361</v>
      </c>
      <c r="I202">
        <v>91</v>
      </c>
      <c r="J202">
        <v>3140.9620450126499</v>
      </c>
      <c r="K202">
        <v>361</v>
      </c>
      <c r="L202">
        <v>85</v>
      </c>
      <c r="M202">
        <v>2946.42833677814</v>
      </c>
    </row>
    <row r="203" spans="3:13">
      <c r="C203" s="1">
        <v>45761</v>
      </c>
      <c r="D203" t="s">
        <v>13</v>
      </c>
      <c r="E203">
        <v>11077</v>
      </c>
      <c r="F203" t="s">
        <v>14</v>
      </c>
      <c r="G203">
        <v>2369</v>
      </c>
      <c r="H203">
        <v>39</v>
      </c>
      <c r="I203">
        <v>17</v>
      </c>
      <c r="J203">
        <v>116.392024489306</v>
      </c>
      <c r="K203">
        <v>39</v>
      </c>
      <c r="L203">
        <v>15</v>
      </c>
      <c r="M203">
        <v>100.609794650609</v>
      </c>
    </row>
    <row r="204" spans="3:13">
      <c r="C204" s="1">
        <v>45761</v>
      </c>
      <c r="D204" t="s">
        <v>13</v>
      </c>
      <c r="E204">
        <v>11076</v>
      </c>
      <c r="F204" t="s">
        <v>12</v>
      </c>
      <c r="G204">
        <v>1237</v>
      </c>
      <c r="H204">
        <v>16</v>
      </c>
      <c r="I204">
        <v>8</v>
      </c>
      <c r="J204">
        <v>93.623147506559306</v>
      </c>
      <c r="K204">
        <v>16</v>
      </c>
      <c r="L204">
        <v>8</v>
      </c>
      <c r="M204">
        <v>93.623147506559306</v>
      </c>
    </row>
    <row r="205" spans="3:13">
      <c r="C205" s="1">
        <v>45761</v>
      </c>
      <c r="D205" t="s">
        <v>13</v>
      </c>
      <c r="E205">
        <v>11075</v>
      </c>
      <c r="F205" t="s">
        <v>12</v>
      </c>
      <c r="G205">
        <v>1207</v>
      </c>
      <c r="H205">
        <v>24</v>
      </c>
      <c r="I205">
        <v>7</v>
      </c>
      <c r="J205">
        <v>126.57408493292201</v>
      </c>
      <c r="K205">
        <v>24</v>
      </c>
      <c r="L205">
        <v>5</v>
      </c>
      <c r="M205">
        <v>67.662563979095907</v>
      </c>
    </row>
    <row r="206" spans="3:13">
      <c r="C206" s="1">
        <v>45761</v>
      </c>
      <c r="D206" t="s">
        <v>13</v>
      </c>
      <c r="E206">
        <v>11077</v>
      </c>
      <c r="F206" t="s">
        <v>12</v>
      </c>
      <c r="G206">
        <v>1217</v>
      </c>
      <c r="H206">
        <v>17</v>
      </c>
      <c r="I206">
        <v>10</v>
      </c>
      <c r="J206">
        <v>123.120700009595</v>
      </c>
      <c r="K206">
        <v>17</v>
      </c>
      <c r="L206">
        <v>10</v>
      </c>
      <c r="M206">
        <v>123.120700009595</v>
      </c>
    </row>
    <row r="207" spans="3:13">
      <c r="C207" s="1">
        <v>45761</v>
      </c>
      <c r="D207" t="s">
        <v>13</v>
      </c>
      <c r="E207">
        <v>11076</v>
      </c>
      <c r="F207" t="s">
        <v>14</v>
      </c>
      <c r="G207">
        <v>2448</v>
      </c>
      <c r="H207">
        <v>30</v>
      </c>
      <c r="I207">
        <v>16</v>
      </c>
      <c r="J207">
        <v>130.11215857396499</v>
      </c>
      <c r="K207">
        <v>30</v>
      </c>
      <c r="L207">
        <v>12</v>
      </c>
      <c r="M207">
        <v>79.2580378645184</v>
      </c>
    </row>
    <row r="208" spans="3:13">
      <c r="C208" s="1">
        <v>45761</v>
      </c>
      <c r="D208" t="s">
        <v>13</v>
      </c>
      <c r="E208">
        <v>11075</v>
      </c>
      <c r="F208" t="s">
        <v>14</v>
      </c>
      <c r="G208">
        <v>2355</v>
      </c>
      <c r="H208">
        <v>68</v>
      </c>
      <c r="I208">
        <v>23</v>
      </c>
      <c r="J208">
        <v>151.39812279431101</v>
      </c>
      <c r="K208">
        <v>68</v>
      </c>
      <c r="L208">
        <v>23</v>
      </c>
      <c r="M208">
        <v>151.39812279431101</v>
      </c>
    </row>
    <row r="209" spans="3:13">
      <c r="C209" s="1">
        <v>45761</v>
      </c>
      <c r="D209" t="s">
        <v>11</v>
      </c>
      <c r="E209">
        <v>11074</v>
      </c>
      <c r="F209" t="s">
        <v>12</v>
      </c>
      <c r="G209">
        <v>2505</v>
      </c>
      <c r="H209">
        <v>298</v>
      </c>
      <c r="I209">
        <v>67</v>
      </c>
      <c r="J209">
        <v>2765.0436109012799</v>
      </c>
      <c r="K209">
        <v>298</v>
      </c>
      <c r="L209">
        <v>63</v>
      </c>
      <c r="M209">
        <v>2569.5982067199802</v>
      </c>
    </row>
    <row r="210" spans="3:13">
      <c r="C210" s="1">
        <v>45761</v>
      </c>
      <c r="D210" t="s">
        <v>11</v>
      </c>
      <c r="E210">
        <v>11074</v>
      </c>
      <c r="F210" t="s">
        <v>14</v>
      </c>
      <c r="G210">
        <v>746</v>
      </c>
      <c r="H210">
        <v>146</v>
      </c>
      <c r="I210">
        <v>42</v>
      </c>
      <c r="J210">
        <v>1956.68905248596</v>
      </c>
      <c r="K210">
        <v>146</v>
      </c>
      <c r="L210">
        <v>41</v>
      </c>
      <c r="M210">
        <v>1912.69905248596</v>
      </c>
    </row>
    <row r="211" spans="3:13">
      <c r="C211" s="1">
        <v>45761</v>
      </c>
      <c r="D211" t="s">
        <v>11</v>
      </c>
      <c r="E211">
        <v>11072</v>
      </c>
      <c r="F211" t="s">
        <v>14</v>
      </c>
      <c r="G211">
        <v>768</v>
      </c>
      <c r="H211">
        <v>153</v>
      </c>
      <c r="I211">
        <v>44</v>
      </c>
      <c r="J211">
        <v>1996.45586806595</v>
      </c>
      <c r="K211">
        <v>153</v>
      </c>
      <c r="L211">
        <v>43</v>
      </c>
      <c r="M211">
        <v>1941.46586806595</v>
      </c>
    </row>
    <row r="212" spans="3:13">
      <c r="C212" s="1">
        <v>45761</v>
      </c>
      <c r="D212" t="s">
        <v>11</v>
      </c>
      <c r="E212">
        <v>11073</v>
      </c>
      <c r="F212" t="s">
        <v>14</v>
      </c>
      <c r="G212">
        <v>755</v>
      </c>
      <c r="H212">
        <v>146</v>
      </c>
      <c r="I212">
        <v>36</v>
      </c>
      <c r="J212">
        <v>1683.8433744947099</v>
      </c>
      <c r="K212">
        <v>146</v>
      </c>
      <c r="L212">
        <v>36</v>
      </c>
      <c r="M212">
        <v>1683.8433744947099</v>
      </c>
    </row>
    <row r="213" spans="3:13">
      <c r="C213" s="1">
        <v>45761</v>
      </c>
      <c r="D213" t="s">
        <v>11</v>
      </c>
      <c r="E213">
        <v>11073</v>
      </c>
      <c r="F213" t="s">
        <v>12</v>
      </c>
      <c r="G213">
        <v>2625</v>
      </c>
      <c r="H213">
        <v>287</v>
      </c>
      <c r="I213">
        <v>75</v>
      </c>
      <c r="J213">
        <v>2590.0136256148498</v>
      </c>
      <c r="K213">
        <v>287</v>
      </c>
      <c r="L213">
        <v>69</v>
      </c>
      <c r="M213">
        <v>2425.1966910337401</v>
      </c>
    </row>
    <row r="214" spans="3:13">
      <c r="C214" s="1">
        <v>45761</v>
      </c>
      <c r="D214" t="s">
        <v>11</v>
      </c>
      <c r="E214">
        <v>11072</v>
      </c>
      <c r="F214" t="s">
        <v>12</v>
      </c>
      <c r="G214">
        <v>2691</v>
      </c>
      <c r="H214">
        <v>387</v>
      </c>
      <c r="I214">
        <v>93</v>
      </c>
      <c r="J214">
        <v>3724.97394847531</v>
      </c>
      <c r="K214">
        <v>387</v>
      </c>
      <c r="L214">
        <v>88</v>
      </c>
      <c r="M214">
        <v>3505.0276886769898</v>
      </c>
    </row>
    <row r="215" spans="3:13">
      <c r="C215" s="1">
        <v>45762</v>
      </c>
      <c r="D215" t="s">
        <v>13</v>
      </c>
      <c r="E215">
        <v>11077</v>
      </c>
      <c r="F215" t="s">
        <v>14</v>
      </c>
      <c r="G215">
        <v>1991</v>
      </c>
      <c r="H215">
        <v>40</v>
      </c>
      <c r="I215">
        <v>13</v>
      </c>
      <c r="J215">
        <v>60.913329716545299</v>
      </c>
      <c r="K215">
        <v>40</v>
      </c>
      <c r="L215">
        <v>12</v>
      </c>
      <c r="M215">
        <v>53.2555701204098</v>
      </c>
    </row>
    <row r="216" spans="3:13">
      <c r="C216" s="1">
        <v>45762</v>
      </c>
      <c r="D216" t="s">
        <v>13</v>
      </c>
      <c r="E216">
        <v>11076</v>
      </c>
      <c r="F216" t="s">
        <v>14</v>
      </c>
      <c r="G216">
        <v>1977</v>
      </c>
      <c r="H216">
        <v>26</v>
      </c>
      <c r="I216">
        <v>10</v>
      </c>
      <c r="J216">
        <v>59.386020996104499</v>
      </c>
      <c r="K216">
        <v>26</v>
      </c>
      <c r="L216">
        <v>9</v>
      </c>
      <c r="M216">
        <v>51.728261399969099</v>
      </c>
    </row>
    <row r="217" spans="3:13">
      <c r="C217" s="1">
        <v>45762</v>
      </c>
      <c r="D217" t="s">
        <v>13</v>
      </c>
      <c r="E217">
        <v>11076</v>
      </c>
      <c r="F217" t="s">
        <v>12</v>
      </c>
      <c r="G217">
        <v>1055</v>
      </c>
      <c r="H217">
        <v>11</v>
      </c>
      <c r="I217">
        <v>6</v>
      </c>
      <c r="J217">
        <v>63.972604918442102</v>
      </c>
      <c r="K217">
        <v>11</v>
      </c>
      <c r="L217">
        <v>6</v>
      </c>
      <c r="M217">
        <v>63.972604918442102</v>
      </c>
    </row>
    <row r="218" spans="3:13">
      <c r="C218" s="1">
        <v>45762</v>
      </c>
      <c r="D218" t="s">
        <v>13</v>
      </c>
      <c r="E218">
        <v>11077</v>
      </c>
      <c r="F218" t="s">
        <v>12</v>
      </c>
      <c r="G218">
        <v>1025</v>
      </c>
      <c r="H218">
        <v>16</v>
      </c>
      <c r="I218">
        <v>7</v>
      </c>
      <c r="J218">
        <v>68.849415197323196</v>
      </c>
      <c r="K218">
        <v>16</v>
      </c>
      <c r="L218">
        <v>6</v>
      </c>
      <c r="M218">
        <v>37.934497831536298</v>
      </c>
    </row>
    <row r="219" spans="3:13">
      <c r="C219" s="1">
        <v>45762</v>
      </c>
      <c r="D219" t="s">
        <v>13</v>
      </c>
      <c r="E219">
        <v>11075</v>
      </c>
      <c r="F219" t="s">
        <v>12</v>
      </c>
      <c r="G219">
        <v>1031</v>
      </c>
      <c r="H219">
        <v>22</v>
      </c>
      <c r="I219">
        <v>9</v>
      </c>
      <c r="J219">
        <v>97.296653388316599</v>
      </c>
      <c r="K219">
        <v>22</v>
      </c>
      <c r="L219">
        <v>9</v>
      </c>
      <c r="M219">
        <v>97.296653388316599</v>
      </c>
    </row>
    <row r="220" spans="3:13">
      <c r="C220" s="1">
        <v>45762</v>
      </c>
      <c r="D220" t="s">
        <v>13</v>
      </c>
      <c r="E220">
        <v>11075</v>
      </c>
      <c r="F220" t="s">
        <v>14</v>
      </c>
      <c r="G220">
        <v>2011</v>
      </c>
      <c r="H220">
        <v>68</v>
      </c>
      <c r="I220">
        <v>26</v>
      </c>
      <c r="J220">
        <v>212.380584995823</v>
      </c>
      <c r="K220">
        <v>68</v>
      </c>
      <c r="L220">
        <v>25</v>
      </c>
      <c r="M220">
        <v>204.63900284450801</v>
      </c>
    </row>
    <row r="221" spans="3:13">
      <c r="C221" s="1">
        <v>45762</v>
      </c>
      <c r="D221" t="s">
        <v>11</v>
      </c>
      <c r="E221">
        <v>11074</v>
      </c>
      <c r="F221" t="s">
        <v>14</v>
      </c>
      <c r="G221">
        <v>658</v>
      </c>
      <c r="H221">
        <v>107</v>
      </c>
      <c r="I221">
        <v>29</v>
      </c>
      <c r="J221">
        <v>1448.59383092126</v>
      </c>
      <c r="K221">
        <v>107</v>
      </c>
      <c r="L221">
        <v>29</v>
      </c>
      <c r="M221">
        <v>1448.59383092126</v>
      </c>
    </row>
    <row r="222" spans="3:13">
      <c r="C222" s="1">
        <v>45762</v>
      </c>
      <c r="D222" t="s">
        <v>11</v>
      </c>
      <c r="E222">
        <v>11073</v>
      </c>
      <c r="F222" t="s">
        <v>14</v>
      </c>
      <c r="G222">
        <v>654</v>
      </c>
      <c r="H222">
        <v>118</v>
      </c>
      <c r="I222">
        <v>35</v>
      </c>
      <c r="J222">
        <v>1745.9766430007301</v>
      </c>
      <c r="K222">
        <v>118</v>
      </c>
      <c r="L222">
        <v>35</v>
      </c>
      <c r="M222">
        <v>1745.9766430007301</v>
      </c>
    </row>
    <row r="223" spans="3:13">
      <c r="C223" s="1">
        <v>45762</v>
      </c>
      <c r="D223" t="s">
        <v>11</v>
      </c>
      <c r="E223">
        <v>11072</v>
      </c>
      <c r="F223" t="s">
        <v>14</v>
      </c>
      <c r="G223">
        <v>689</v>
      </c>
      <c r="H223">
        <v>124</v>
      </c>
      <c r="I223">
        <v>37</v>
      </c>
      <c r="J223">
        <v>1833.38538342936</v>
      </c>
      <c r="K223">
        <v>124</v>
      </c>
      <c r="L223">
        <v>37</v>
      </c>
      <c r="M223">
        <v>1833.38538342936</v>
      </c>
    </row>
    <row r="224" spans="3:13">
      <c r="C224" s="1">
        <v>45762</v>
      </c>
      <c r="D224" t="s">
        <v>11</v>
      </c>
      <c r="E224">
        <v>11072</v>
      </c>
      <c r="F224" t="s">
        <v>12</v>
      </c>
      <c r="G224">
        <v>2047</v>
      </c>
      <c r="H224">
        <v>300</v>
      </c>
      <c r="I224">
        <v>74</v>
      </c>
      <c r="J224">
        <v>2795.1289718942999</v>
      </c>
      <c r="K224">
        <v>300</v>
      </c>
      <c r="L224">
        <v>67</v>
      </c>
      <c r="M224">
        <v>2596.6261972921802</v>
      </c>
    </row>
    <row r="225" spans="3:13">
      <c r="C225" s="1">
        <v>45762</v>
      </c>
      <c r="D225" t="s">
        <v>11</v>
      </c>
      <c r="E225">
        <v>11073</v>
      </c>
      <c r="F225" t="s">
        <v>12</v>
      </c>
      <c r="G225">
        <v>2075</v>
      </c>
      <c r="H225">
        <v>214</v>
      </c>
      <c r="I225">
        <v>56</v>
      </c>
      <c r="J225">
        <v>2010.56499955546</v>
      </c>
      <c r="K225">
        <v>214</v>
      </c>
      <c r="L225">
        <v>55</v>
      </c>
      <c r="M225">
        <v>1941.51168662386</v>
      </c>
    </row>
    <row r="226" spans="3:13">
      <c r="C226" s="1">
        <v>45762</v>
      </c>
      <c r="D226" t="s">
        <v>11</v>
      </c>
      <c r="E226">
        <v>11074</v>
      </c>
      <c r="F226" t="s">
        <v>12</v>
      </c>
      <c r="G226">
        <v>1996</v>
      </c>
      <c r="H226">
        <v>230</v>
      </c>
      <c r="I226">
        <v>44</v>
      </c>
      <c r="J226">
        <v>1663.0940654507301</v>
      </c>
      <c r="K226">
        <v>230</v>
      </c>
      <c r="L226">
        <v>44</v>
      </c>
      <c r="M226">
        <v>1663.0940654507301</v>
      </c>
    </row>
    <row r="227" spans="3:13">
      <c r="C227" s="1">
        <v>45763</v>
      </c>
      <c r="D227" t="s">
        <v>13</v>
      </c>
      <c r="E227">
        <v>11077</v>
      </c>
      <c r="F227" t="s">
        <v>12</v>
      </c>
      <c r="G227">
        <v>955</v>
      </c>
      <c r="H227">
        <v>16</v>
      </c>
      <c r="I227">
        <v>6</v>
      </c>
      <c r="J227">
        <v>72.744574858357694</v>
      </c>
      <c r="K227">
        <v>16</v>
      </c>
      <c r="L227">
        <v>5</v>
      </c>
      <c r="M227">
        <v>63.754574858357699</v>
      </c>
    </row>
    <row r="228" spans="3:13">
      <c r="C228" s="1">
        <v>45763</v>
      </c>
      <c r="D228" t="s">
        <v>13</v>
      </c>
      <c r="E228">
        <v>11076</v>
      </c>
      <c r="F228" t="s">
        <v>12</v>
      </c>
      <c r="G228">
        <v>1045</v>
      </c>
      <c r="H228">
        <v>14</v>
      </c>
      <c r="I228">
        <v>6</v>
      </c>
      <c r="J228">
        <v>101.269885757062</v>
      </c>
      <c r="K228">
        <v>14</v>
      </c>
      <c r="L228">
        <v>5</v>
      </c>
      <c r="M228">
        <v>72.049885757062299</v>
      </c>
    </row>
    <row r="229" spans="3:13">
      <c r="C229" s="1">
        <v>45763</v>
      </c>
      <c r="D229" t="s">
        <v>13</v>
      </c>
      <c r="E229">
        <v>11076</v>
      </c>
      <c r="F229" t="s">
        <v>14</v>
      </c>
      <c r="G229">
        <v>1872</v>
      </c>
      <c r="H229">
        <v>19</v>
      </c>
      <c r="I229">
        <v>11</v>
      </c>
      <c r="J229">
        <v>55.158596208545298</v>
      </c>
      <c r="K229">
        <v>19</v>
      </c>
      <c r="L229">
        <v>11</v>
      </c>
      <c r="M229">
        <v>55.158596208545298</v>
      </c>
    </row>
    <row r="230" spans="3:13">
      <c r="C230" s="1">
        <v>45763</v>
      </c>
      <c r="D230" t="s">
        <v>13</v>
      </c>
      <c r="E230">
        <v>11075</v>
      </c>
      <c r="F230" t="s">
        <v>14</v>
      </c>
      <c r="G230">
        <v>1877</v>
      </c>
      <c r="H230">
        <v>53</v>
      </c>
      <c r="I230">
        <v>18</v>
      </c>
      <c r="J230">
        <v>150.610949691927</v>
      </c>
      <c r="K230">
        <v>53</v>
      </c>
      <c r="L230">
        <v>17</v>
      </c>
      <c r="M230">
        <v>142.953190095792</v>
      </c>
    </row>
    <row r="231" spans="3:13">
      <c r="C231" s="1">
        <v>45763</v>
      </c>
      <c r="D231" t="s">
        <v>13</v>
      </c>
      <c r="E231">
        <v>11075</v>
      </c>
      <c r="F231" t="s">
        <v>12</v>
      </c>
      <c r="G231">
        <v>958</v>
      </c>
      <c r="H231">
        <v>19</v>
      </c>
      <c r="I231">
        <v>10</v>
      </c>
      <c r="J231">
        <v>83.805989237539094</v>
      </c>
      <c r="K231">
        <v>19</v>
      </c>
      <c r="L231">
        <v>9</v>
      </c>
      <c r="M231">
        <v>63.230732589849502</v>
      </c>
    </row>
    <row r="232" spans="3:13">
      <c r="C232" s="1">
        <v>45763</v>
      </c>
      <c r="D232" t="s">
        <v>13</v>
      </c>
      <c r="E232">
        <v>11077</v>
      </c>
      <c r="F232" t="s">
        <v>14</v>
      </c>
      <c r="G232">
        <v>1840</v>
      </c>
      <c r="H232">
        <v>30</v>
      </c>
      <c r="I232">
        <v>10</v>
      </c>
      <c r="J232">
        <v>65.312903317050498</v>
      </c>
      <c r="K232">
        <v>30</v>
      </c>
      <c r="L232">
        <v>10</v>
      </c>
      <c r="M232">
        <v>65.312903317050498</v>
      </c>
    </row>
    <row r="233" spans="3:13">
      <c r="C233" s="1">
        <v>45763</v>
      </c>
      <c r="D233" t="s">
        <v>11</v>
      </c>
      <c r="E233">
        <v>11074</v>
      </c>
      <c r="F233" t="s">
        <v>12</v>
      </c>
      <c r="G233">
        <v>2007</v>
      </c>
      <c r="H233">
        <v>209</v>
      </c>
      <c r="I233">
        <v>48</v>
      </c>
      <c r="J233">
        <v>1781.85907330235</v>
      </c>
      <c r="K233">
        <v>209</v>
      </c>
      <c r="L233">
        <v>45</v>
      </c>
      <c r="M233">
        <v>1645.6154186095</v>
      </c>
    </row>
    <row r="234" spans="3:13">
      <c r="C234" s="1">
        <v>45763</v>
      </c>
      <c r="D234" t="s">
        <v>11</v>
      </c>
      <c r="E234">
        <v>11073</v>
      </c>
      <c r="F234" t="s">
        <v>14</v>
      </c>
      <c r="G234">
        <v>661</v>
      </c>
      <c r="H234">
        <v>104</v>
      </c>
      <c r="I234">
        <v>32</v>
      </c>
      <c r="J234">
        <v>1601.5663493913901</v>
      </c>
      <c r="K234">
        <v>104</v>
      </c>
      <c r="L234">
        <v>30</v>
      </c>
      <c r="M234">
        <v>1500.7598465784099</v>
      </c>
    </row>
    <row r="235" spans="3:13">
      <c r="C235" s="1">
        <v>45763</v>
      </c>
      <c r="D235" t="s">
        <v>11</v>
      </c>
      <c r="E235">
        <v>11073</v>
      </c>
      <c r="F235" t="s">
        <v>12</v>
      </c>
      <c r="G235">
        <v>1970</v>
      </c>
      <c r="H235">
        <v>209</v>
      </c>
      <c r="I235">
        <v>46</v>
      </c>
      <c r="J235">
        <v>1418.1944378584501</v>
      </c>
      <c r="K235">
        <v>209</v>
      </c>
      <c r="L235">
        <v>43</v>
      </c>
      <c r="M235">
        <v>1331.26586114361</v>
      </c>
    </row>
    <row r="236" spans="3:13">
      <c r="C236" s="1">
        <v>45763</v>
      </c>
      <c r="D236" t="s">
        <v>11</v>
      </c>
      <c r="E236">
        <v>11074</v>
      </c>
      <c r="F236" t="s">
        <v>14</v>
      </c>
      <c r="G236">
        <v>608</v>
      </c>
      <c r="H236">
        <v>113</v>
      </c>
      <c r="I236">
        <v>30</v>
      </c>
      <c r="J236">
        <v>1318.39581377903</v>
      </c>
      <c r="K236">
        <v>113</v>
      </c>
      <c r="L236">
        <v>28</v>
      </c>
      <c r="M236">
        <v>1210.14936647282</v>
      </c>
    </row>
    <row r="237" spans="3:13">
      <c r="C237" s="1">
        <v>45763</v>
      </c>
      <c r="D237" t="s">
        <v>11</v>
      </c>
      <c r="E237">
        <v>11072</v>
      </c>
      <c r="F237" t="s">
        <v>14</v>
      </c>
      <c r="G237">
        <v>621</v>
      </c>
      <c r="H237">
        <v>132</v>
      </c>
      <c r="I237">
        <v>39</v>
      </c>
      <c r="J237">
        <v>1781.72233788054</v>
      </c>
      <c r="K237">
        <v>132</v>
      </c>
      <c r="L237">
        <v>39</v>
      </c>
      <c r="M237">
        <v>1781.72233788054</v>
      </c>
    </row>
    <row r="238" spans="3:13">
      <c r="C238" s="1">
        <v>45763</v>
      </c>
      <c r="D238" t="s">
        <v>11</v>
      </c>
      <c r="E238">
        <v>11072</v>
      </c>
      <c r="F238" t="s">
        <v>12</v>
      </c>
      <c r="G238">
        <v>2012</v>
      </c>
      <c r="H238">
        <v>285</v>
      </c>
      <c r="I238">
        <v>69</v>
      </c>
      <c r="J238">
        <v>2474.62552415547</v>
      </c>
      <c r="K238">
        <v>285</v>
      </c>
      <c r="L238">
        <v>63</v>
      </c>
      <c r="M238">
        <v>2277.14747100554</v>
      </c>
    </row>
    <row r="239" spans="3:13">
      <c r="C239" s="1">
        <v>45764</v>
      </c>
      <c r="D239" t="s">
        <v>13</v>
      </c>
      <c r="E239">
        <v>11075</v>
      </c>
      <c r="F239" t="s">
        <v>14</v>
      </c>
      <c r="G239">
        <v>2077</v>
      </c>
      <c r="H239">
        <v>45</v>
      </c>
      <c r="I239">
        <v>14</v>
      </c>
      <c r="J239">
        <v>95.890240821665003</v>
      </c>
      <c r="K239">
        <v>45</v>
      </c>
      <c r="L239">
        <v>14</v>
      </c>
      <c r="M239">
        <v>95.890240821665003</v>
      </c>
    </row>
    <row r="240" spans="3:13">
      <c r="C240" s="1">
        <v>45764</v>
      </c>
      <c r="D240" t="s">
        <v>13</v>
      </c>
      <c r="E240">
        <v>11076</v>
      </c>
      <c r="F240" t="s">
        <v>14</v>
      </c>
      <c r="G240">
        <v>2090</v>
      </c>
      <c r="H240">
        <v>23</v>
      </c>
      <c r="I240">
        <v>9</v>
      </c>
      <c r="J240">
        <v>57.393301296402903</v>
      </c>
      <c r="K240">
        <v>23</v>
      </c>
      <c r="L240">
        <v>9</v>
      </c>
      <c r="M240">
        <v>57.393301296402903</v>
      </c>
    </row>
    <row r="241" spans="3:13">
      <c r="C241" s="1">
        <v>45764</v>
      </c>
      <c r="D241" t="s">
        <v>13</v>
      </c>
      <c r="E241">
        <v>11077</v>
      </c>
      <c r="F241" t="s">
        <v>14</v>
      </c>
      <c r="G241">
        <v>2108</v>
      </c>
      <c r="H241">
        <v>48</v>
      </c>
      <c r="I241">
        <v>15</v>
      </c>
      <c r="J241">
        <v>114.04359574816699</v>
      </c>
      <c r="K241">
        <v>48</v>
      </c>
      <c r="L241">
        <v>15</v>
      </c>
      <c r="M241">
        <v>114.04359574816699</v>
      </c>
    </row>
    <row r="242" spans="3:13">
      <c r="C242" s="1">
        <v>45764</v>
      </c>
      <c r="D242" t="s">
        <v>13</v>
      </c>
      <c r="E242">
        <v>11075</v>
      </c>
      <c r="F242" t="s">
        <v>12</v>
      </c>
      <c r="G242">
        <v>1024</v>
      </c>
      <c r="H242">
        <v>19</v>
      </c>
      <c r="I242">
        <v>9</v>
      </c>
      <c r="J242">
        <v>108.063097544095</v>
      </c>
      <c r="K242">
        <v>19</v>
      </c>
      <c r="L242">
        <v>8</v>
      </c>
      <c r="M242">
        <v>99.969545301790603</v>
      </c>
    </row>
    <row r="243" spans="3:13">
      <c r="C243" s="1">
        <v>45764</v>
      </c>
      <c r="D243" t="s">
        <v>13</v>
      </c>
      <c r="E243">
        <v>11076</v>
      </c>
      <c r="F243" t="s">
        <v>12</v>
      </c>
      <c r="G243">
        <v>967</v>
      </c>
      <c r="H243">
        <v>13</v>
      </c>
      <c r="I243">
        <v>7</v>
      </c>
      <c r="J243">
        <v>68.049742480033402</v>
      </c>
      <c r="K243">
        <v>13</v>
      </c>
      <c r="L243">
        <v>6</v>
      </c>
      <c r="M243">
        <v>59.956190237728698</v>
      </c>
    </row>
    <row r="244" spans="3:13">
      <c r="C244" s="1">
        <v>45764</v>
      </c>
      <c r="D244" t="s">
        <v>13</v>
      </c>
      <c r="E244">
        <v>11077</v>
      </c>
      <c r="F244" t="s">
        <v>12</v>
      </c>
      <c r="G244">
        <v>974</v>
      </c>
      <c r="H244">
        <v>11</v>
      </c>
      <c r="I244">
        <v>3</v>
      </c>
      <c r="J244">
        <v>43.827347810193501</v>
      </c>
      <c r="K244">
        <v>11</v>
      </c>
      <c r="L244">
        <v>3</v>
      </c>
      <c r="M244">
        <v>43.827347810193501</v>
      </c>
    </row>
    <row r="245" spans="3:13">
      <c r="C245" s="1">
        <v>45764</v>
      </c>
      <c r="D245" t="s">
        <v>11</v>
      </c>
      <c r="E245">
        <v>11074</v>
      </c>
      <c r="F245" t="s">
        <v>14</v>
      </c>
      <c r="G245">
        <v>632</v>
      </c>
      <c r="H245">
        <v>105</v>
      </c>
      <c r="I245">
        <v>28</v>
      </c>
      <c r="J245">
        <v>1282.6964486796001</v>
      </c>
      <c r="K245">
        <v>105</v>
      </c>
      <c r="L245">
        <v>28</v>
      </c>
      <c r="M245">
        <v>1282.6964486796001</v>
      </c>
    </row>
    <row r="246" spans="3:13">
      <c r="C246" s="1">
        <v>45764</v>
      </c>
      <c r="D246" t="s">
        <v>11</v>
      </c>
      <c r="E246">
        <v>11072</v>
      </c>
      <c r="F246" t="s">
        <v>12</v>
      </c>
      <c r="G246">
        <v>1931</v>
      </c>
      <c r="H246">
        <v>255</v>
      </c>
      <c r="I246">
        <v>69</v>
      </c>
      <c r="J246">
        <v>2288.7376883411998</v>
      </c>
      <c r="K246">
        <v>255</v>
      </c>
      <c r="L246">
        <v>63</v>
      </c>
      <c r="M246">
        <v>2134.5524504116902</v>
      </c>
    </row>
    <row r="247" spans="3:13">
      <c r="C247" s="1">
        <v>45764</v>
      </c>
      <c r="D247" t="s">
        <v>11</v>
      </c>
      <c r="E247">
        <v>11073</v>
      </c>
      <c r="F247" t="s">
        <v>12</v>
      </c>
      <c r="G247">
        <v>1928</v>
      </c>
      <c r="H247">
        <v>237</v>
      </c>
      <c r="I247">
        <v>57</v>
      </c>
      <c r="J247">
        <v>2317.1461391552398</v>
      </c>
      <c r="K247">
        <v>237</v>
      </c>
      <c r="L247">
        <v>51</v>
      </c>
      <c r="M247">
        <v>2104.50582676467</v>
      </c>
    </row>
    <row r="248" spans="3:13">
      <c r="C248" s="1">
        <v>45764</v>
      </c>
      <c r="D248" t="s">
        <v>11</v>
      </c>
      <c r="E248">
        <v>11073</v>
      </c>
      <c r="F248" t="s">
        <v>14</v>
      </c>
      <c r="G248">
        <v>600</v>
      </c>
      <c r="H248">
        <v>113</v>
      </c>
      <c r="I248">
        <v>27</v>
      </c>
      <c r="J248">
        <v>1147.43615913855</v>
      </c>
      <c r="K248">
        <v>113</v>
      </c>
      <c r="L248">
        <v>27</v>
      </c>
      <c r="M248">
        <v>1147.43615913855</v>
      </c>
    </row>
    <row r="249" spans="3:13">
      <c r="C249" s="1">
        <v>45764</v>
      </c>
      <c r="D249" t="s">
        <v>11</v>
      </c>
      <c r="E249">
        <v>11074</v>
      </c>
      <c r="F249" t="s">
        <v>12</v>
      </c>
      <c r="G249">
        <v>1942</v>
      </c>
      <c r="H249">
        <v>241</v>
      </c>
      <c r="I249">
        <v>68</v>
      </c>
      <c r="J249">
        <v>2509.1542802218701</v>
      </c>
      <c r="K249">
        <v>241</v>
      </c>
      <c r="L249">
        <v>63</v>
      </c>
      <c r="M249">
        <v>2364.5300056299302</v>
      </c>
    </row>
    <row r="250" spans="3:13">
      <c r="C250" s="1">
        <v>45764</v>
      </c>
      <c r="D250" t="s">
        <v>11</v>
      </c>
      <c r="E250">
        <v>11072</v>
      </c>
      <c r="F250" t="s">
        <v>14</v>
      </c>
      <c r="G250">
        <v>613</v>
      </c>
      <c r="H250">
        <v>122</v>
      </c>
      <c r="I250">
        <v>36</v>
      </c>
      <c r="J250">
        <v>1667.99316375544</v>
      </c>
      <c r="K250">
        <v>122</v>
      </c>
      <c r="L250">
        <v>36</v>
      </c>
      <c r="M250">
        <v>1667.99316375544</v>
      </c>
    </row>
    <row r="251" spans="3:13">
      <c r="C251" s="1">
        <v>45765</v>
      </c>
      <c r="D251" t="s">
        <v>13</v>
      </c>
      <c r="E251">
        <v>11076</v>
      </c>
      <c r="F251" t="s">
        <v>12</v>
      </c>
      <c r="G251">
        <v>1119</v>
      </c>
      <c r="H251">
        <v>19</v>
      </c>
      <c r="I251">
        <v>9</v>
      </c>
      <c r="J251">
        <v>73.443067926207107</v>
      </c>
      <c r="K251">
        <v>19</v>
      </c>
      <c r="L251">
        <v>8</v>
      </c>
      <c r="M251">
        <v>65.361035028695497</v>
      </c>
    </row>
    <row r="252" spans="3:13">
      <c r="C252" s="1">
        <v>45765</v>
      </c>
      <c r="D252" t="s">
        <v>13</v>
      </c>
      <c r="E252">
        <v>11076</v>
      </c>
      <c r="F252" t="s">
        <v>14</v>
      </c>
      <c r="G252">
        <v>1941</v>
      </c>
      <c r="H252">
        <v>22</v>
      </c>
      <c r="I252">
        <v>9</v>
      </c>
      <c r="J252">
        <v>40.703611763582302</v>
      </c>
      <c r="K252">
        <v>22</v>
      </c>
      <c r="L252">
        <v>8</v>
      </c>
      <c r="M252">
        <v>32.610059521277599</v>
      </c>
    </row>
    <row r="253" spans="3:13">
      <c r="C253" s="1">
        <v>45765</v>
      </c>
      <c r="D253" t="s">
        <v>13</v>
      </c>
      <c r="E253">
        <v>11075</v>
      </c>
      <c r="F253" t="s">
        <v>14</v>
      </c>
      <c r="G253">
        <v>2044</v>
      </c>
      <c r="H253">
        <v>42</v>
      </c>
      <c r="I253">
        <v>13</v>
      </c>
      <c r="J253">
        <v>70.355383399854702</v>
      </c>
      <c r="K253">
        <v>42</v>
      </c>
      <c r="L253">
        <v>12</v>
      </c>
      <c r="M253">
        <v>62.613801248539602</v>
      </c>
    </row>
    <row r="254" spans="3:13">
      <c r="C254" s="1">
        <v>45765</v>
      </c>
      <c r="D254" t="s">
        <v>13</v>
      </c>
      <c r="E254">
        <v>11077</v>
      </c>
      <c r="F254" t="s">
        <v>12</v>
      </c>
      <c r="G254">
        <v>1148</v>
      </c>
      <c r="H254">
        <v>16</v>
      </c>
      <c r="I254">
        <v>5</v>
      </c>
      <c r="J254">
        <v>42.625376059516803</v>
      </c>
      <c r="K254">
        <v>16</v>
      </c>
      <c r="L254">
        <v>5</v>
      </c>
      <c r="M254">
        <v>42.625376059516803</v>
      </c>
    </row>
    <row r="255" spans="3:13">
      <c r="C255" s="1">
        <v>45765</v>
      </c>
      <c r="D255" t="s">
        <v>13</v>
      </c>
      <c r="E255">
        <v>11075</v>
      </c>
      <c r="F255" t="s">
        <v>12</v>
      </c>
      <c r="G255">
        <v>1120</v>
      </c>
      <c r="H255">
        <v>22</v>
      </c>
      <c r="I255">
        <v>7</v>
      </c>
      <c r="J255">
        <v>57.001028336941999</v>
      </c>
      <c r="K255">
        <v>22</v>
      </c>
      <c r="L255">
        <v>7</v>
      </c>
      <c r="M255">
        <v>57.001028336941999</v>
      </c>
    </row>
    <row r="256" spans="3:13">
      <c r="C256" s="1">
        <v>45765</v>
      </c>
      <c r="D256" t="s">
        <v>13</v>
      </c>
      <c r="E256">
        <v>11077</v>
      </c>
      <c r="F256" t="s">
        <v>14</v>
      </c>
      <c r="G256">
        <v>1958</v>
      </c>
      <c r="H256">
        <v>44</v>
      </c>
      <c r="I256">
        <v>11</v>
      </c>
      <c r="J256">
        <v>108.489974100323</v>
      </c>
      <c r="K256">
        <v>44</v>
      </c>
      <c r="L256">
        <v>10</v>
      </c>
      <c r="M256">
        <v>100.407941202812</v>
      </c>
    </row>
    <row r="257" spans="3:13">
      <c r="C257" s="1">
        <v>45765</v>
      </c>
      <c r="D257" t="s">
        <v>11</v>
      </c>
      <c r="E257">
        <v>11072</v>
      </c>
      <c r="F257" t="s">
        <v>14</v>
      </c>
      <c r="G257">
        <v>602</v>
      </c>
      <c r="H257">
        <v>127</v>
      </c>
      <c r="I257">
        <v>31</v>
      </c>
      <c r="J257">
        <v>1557.0238856650001</v>
      </c>
      <c r="K257">
        <v>127</v>
      </c>
      <c r="L257">
        <v>29</v>
      </c>
      <c r="M257">
        <v>1469.0438856650001</v>
      </c>
    </row>
    <row r="258" spans="3:13">
      <c r="C258" s="1">
        <v>45765</v>
      </c>
      <c r="D258" t="s">
        <v>11</v>
      </c>
      <c r="E258">
        <v>11073</v>
      </c>
      <c r="F258" t="s">
        <v>12</v>
      </c>
      <c r="G258">
        <v>2157</v>
      </c>
      <c r="H258">
        <v>220</v>
      </c>
      <c r="I258">
        <v>58</v>
      </c>
      <c r="J258">
        <v>2330.5118521309601</v>
      </c>
      <c r="K258">
        <v>220</v>
      </c>
      <c r="L258">
        <v>52</v>
      </c>
      <c r="M258">
        <v>2165.4977691922099</v>
      </c>
    </row>
    <row r="259" spans="3:13">
      <c r="C259" s="1">
        <v>45765</v>
      </c>
      <c r="D259" t="s">
        <v>11</v>
      </c>
      <c r="E259">
        <v>11073</v>
      </c>
      <c r="F259" t="s">
        <v>14</v>
      </c>
      <c r="G259">
        <v>628</v>
      </c>
      <c r="H259">
        <v>125</v>
      </c>
      <c r="I259">
        <v>30</v>
      </c>
      <c r="J259">
        <v>1438.7315515850601</v>
      </c>
      <c r="K259">
        <v>125</v>
      </c>
      <c r="L259">
        <v>28</v>
      </c>
      <c r="M259">
        <v>1350.75155158506</v>
      </c>
    </row>
    <row r="260" spans="3:13">
      <c r="C260" s="1">
        <v>45765</v>
      </c>
      <c r="D260" t="s">
        <v>11</v>
      </c>
      <c r="E260">
        <v>11074</v>
      </c>
      <c r="F260" t="s">
        <v>12</v>
      </c>
      <c r="G260">
        <v>2092</v>
      </c>
      <c r="H260">
        <v>251</v>
      </c>
      <c r="I260">
        <v>58</v>
      </c>
      <c r="J260">
        <v>2000.0853941591699</v>
      </c>
      <c r="K260">
        <v>251</v>
      </c>
      <c r="L260">
        <v>53</v>
      </c>
      <c r="M260">
        <v>1882.17136163858</v>
      </c>
    </row>
    <row r="261" spans="3:13">
      <c r="C261" s="1">
        <v>45765</v>
      </c>
      <c r="D261" t="s">
        <v>11</v>
      </c>
      <c r="E261">
        <v>11074</v>
      </c>
      <c r="F261" t="s">
        <v>14</v>
      </c>
      <c r="G261">
        <v>619</v>
      </c>
      <c r="H261">
        <v>132</v>
      </c>
      <c r="I261">
        <v>37</v>
      </c>
      <c r="J261">
        <v>1570.3205105064001</v>
      </c>
      <c r="K261">
        <v>132</v>
      </c>
      <c r="L261">
        <v>36</v>
      </c>
      <c r="M261">
        <v>1526.3305105064001</v>
      </c>
    </row>
    <row r="262" spans="3:13">
      <c r="C262" s="1">
        <v>45765</v>
      </c>
      <c r="D262" t="s">
        <v>11</v>
      </c>
      <c r="E262">
        <v>11072</v>
      </c>
      <c r="F262" t="s">
        <v>12</v>
      </c>
      <c r="G262">
        <v>1994</v>
      </c>
      <c r="H262">
        <v>276</v>
      </c>
      <c r="I262">
        <v>71</v>
      </c>
      <c r="J262">
        <v>2506.9915502578401</v>
      </c>
      <c r="K262">
        <v>276</v>
      </c>
      <c r="L262">
        <v>64</v>
      </c>
      <c r="M262">
        <v>2248.7715429724499</v>
      </c>
    </row>
    <row r="263" spans="3:13">
      <c r="C263" s="1">
        <v>45766</v>
      </c>
      <c r="D263" t="s">
        <v>13</v>
      </c>
      <c r="E263">
        <v>11075</v>
      </c>
      <c r="F263" t="s">
        <v>14</v>
      </c>
      <c r="G263">
        <v>2479</v>
      </c>
      <c r="H263">
        <v>45</v>
      </c>
      <c r="I263">
        <v>12</v>
      </c>
      <c r="J263">
        <v>71.953440718706901</v>
      </c>
      <c r="K263">
        <v>45</v>
      </c>
      <c r="L263">
        <v>12</v>
      </c>
      <c r="M263">
        <v>71.953440718706901</v>
      </c>
    </row>
    <row r="264" spans="3:13">
      <c r="C264" s="1">
        <v>45766</v>
      </c>
      <c r="D264" t="s">
        <v>13</v>
      </c>
      <c r="E264">
        <v>11075</v>
      </c>
      <c r="F264" t="s">
        <v>12</v>
      </c>
      <c r="G264">
        <v>1195</v>
      </c>
      <c r="H264">
        <v>22</v>
      </c>
      <c r="I264">
        <v>9</v>
      </c>
      <c r="J264">
        <v>71.237181920832299</v>
      </c>
      <c r="K264">
        <v>22</v>
      </c>
      <c r="L264">
        <v>9</v>
      </c>
      <c r="M264">
        <v>71.237181920832299</v>
      </c>
    </row>
    <row r="265" spans="3:13">
      <c r="C265" s="1">
        <v>45766</v>
      </c>
      <c r="D265" t="s">
        <v>13</v>
      </c>
      <c r="E265">
        <v>11077</v>
      </c>
      <c r="F265" t="s">
        <v>12</v>
      </c>
      <c r="G265">
        <v>1154</v>
      </c>
      <c r="H265">
        <v>23</v>
      </c>
      <c r="I265">
        <v>10</v>
      </c>
      <c r="J265">
        <v>120.410025621335</v>
      </c>
      <c r="K265">
        <v>23</v>
      </c>
      <c r="L265">
        <v>9</v>
      </c>
      <c r="M265">
        <v>111.538125739178</v>
      </c>
    </row>
    <row r="266" spans="3:13">
      <c r="C266" s="1">
        <v>45766</v>
      </c>
      <c r="D266" t="s">
        <v>13</v>
      </c>
      <c r="E266">
        <v>11076</v>
      </c>
      <c r="F266" t="s">
        <v>14</v>
      </c>
      <c r="G266">
        <v>2450</v>
      </c>
      <c r="H266">
        <v>43</v>
      </c>
      <c r="I266">
        <v>16</v>
      </c>
      <c r="J266">
        <v>95.375110784854897</v>
      </c>
      <c r="K266">
        <v>43</v>
      </c>
      <c r="L266">
        <v>14</v>
      </c>
      <c r="M266">
        <v>58.823077887343302</v>
      </c>
    </row>
    <row r="267" spans="3:13">
      <c r="C267" s="1">
        <v>45766</v>
      </c>
      <c r="D267" t="s">
        <v>13</v>
      </c>
      <c r="E267">
        <v>11076</v>
      </c>
      <c r="F267" t="s">
        <v>12</v>
      </c>
      <c r="G267">
        <v>1121</v>
      </c>
      <c r="H267">
        <v>12</v>
      </c>
      <c r="I267">
        <v>4</v>
      </c>
      <c r="J267">
        <v>47.397796324060401</v>
      </c>
      <c r="K267">
        <v>12</v>
      </c>
      <c r="L267">
        <v>4</v>
      </c>
      <c r="M267">
        <v>47.397796324060401</v>
      </c>
    </row>
    <row r="268" spans="3:13">
      <c r="C268" s="1">
        <v>45766</v>
      </c>
      <c r="D268" t="s">
        <v>13</v>
      </c>
      <c r="E268">
        <v>11077</v>
      </c>
      <c r="F268" t="s">
        <v>14</v>
      </c>
      <c r="G268">
        <v>2458</v>
      </c>
      <c r="H268">
        <v>38</v>
      </c>
      <c r="I268">
        <v>11</v>
      </c>
      <c r="J268">
        <v>91.958731342987406</v>
      </c>
      <c r="K268">
        <v>38</v>
      </c>
      <c r="L268">
        <v>9</v>
      </c>
      <c r="M268">
        <v>66.886698445475801</v>
      </c>
    </row>
    <row r="269" spans="3:13">
      <c r="C269" s="1">
        <v>45766</v>
      </c>
      <c r="D269" t="s">
        <v>11</v>
      </c>
      <c r="E269">
        <v>11074</v>
      </c>
      <c r="F269" t="s">
        <v>12</v>
      </c>
      <c r="G269">
        <v>2322</v>
      </c>
      <c r="H269">
        <v>249</v>
      </c>
      <c r="I269">
        <v>50</v>
      </c>
      <c r="J269">
        <v>1597.9934625727701</v>
      </c>
      <c r="K269">
        <v>249</v>
      </c>
      <c r="L269">
        <v>47</v>
      </c>
      <c r="M269">
        <v>1561.14235486964</v>
      </c>
    </row>
    <row r="270" spans="3:13">
      <c r="C270" s="1">
        <v>45766</v>
      </c>
      <c r="D270" t="s">
        <v>11</v>
      </c>
      <c r="E270">
        <v>11072</v>
      </c>
      <c r="F270" t="s">
        <v>14</v>
      </c>
      <c r="G270">
        <v>634</v>
      </c>
      <c r="H270">
        <v>132</v>
      </c>
      <c r="I270">
        <v>25</v>
      </c>
      <c r="J270">
        <v>1024.6217933262001</v>
      </c>
      <c r="K270">
        <v>132</v>
      </c>
      <c r="L270">
        <v>24</v>
      </c>
      <c r="M270">
        <v>1012.33794684792</v>
      </c>
    </row>
    <row r="271" spans="3:13">
      <c r="C271" s="1">
        <v>45766</v>
      </c>
      <c r="D271" t="s">
        <v>11</v>
      </c>
      <c r="E271">
        <v>11073</v>
      </c>
      <c r="F271" t="s">
        <v>14</v>
      </c>
      <c r="G271">
        <v>723</v>
      </c>
      <c r="H271">
        <v>147</v>
      </c>
      <c r="I271">
        <v>46</v>
      </c>
      <c r="J271">
        <v>1889.23344460014</v>
      </c>
      <c r="K271">
        <v>147</v>
      </c>
      <c r="L271">
        <v>45</v>
      </c>
      <c r="M271">
        <v>1835.99479325939</v>
      </c>
    </row>
    <row r="272" spans="3:13">
      <c r="C272" s="1">
        <v>45766</v>
      </c>
      <c r="D272" t="s">
        <v>11</v>
      </c>
      <c r="E272">
        <v>11073</v>
      </c>
      <c r="F272" t="s">
        <v>12</v>
      </c>
      <c r="G272">
        <v>2421</v>
      </c>
      <c r="H272">
        <v>286</v>
      </c>
      <c r="I272">
        <v>58</v>
      </c>
      <c r="J272">
        <v>1830.5722853162299</v>
      </c>
      <c r="K272">
        <v>286</v>
      </c>
      <c r="L272">
        <v>54</v>
      </c>
      <c r="M272">
        <v>1735.6432456948401</v>
      </c>
    </row>
    <row r="273" spans="3:13">
      <c r="C273" s="1">
        <v>45766</v>
      </c>
      <c r="D273" t="s">
        <v>11</v>
      </c>
      <c r="E273">
        <v>11072</v>
      </c>
      <c r="F273" t="s">
        <v>12</v>
      </c>
      <c r="G273">
        <v>2361</v>
      </c>
      <c r="H273">
        <v>357</v>
      </c>
      <c r="I273">
        <v>94</v>
      </c>
      <c r="J273">
        <v>2990.1927453691401</v>
      </c>
      <c r="K273">
        <v>357</v>
      </c>
      <c r="L273">
        <v>92</v>
      </c>
      <c r="M273">
        <v>2892.9640940283898</v>
      </c>
    </row>
    <row r="274" spans="3:13">
      <c r="C274" s="1">
        <v>45766</v>
      </c>
      <c r="D274" t="s">
        <v>11</v>
      </c>
      <c r="E274">
        <v>11074</v>
      </c>
      <c r="F274" t="s">
        <v>14</v>
      </c>
      <c r="G274">
        <v>712</v>
      </c>
      <c r="H274">
        <v>130</v>
      </c>
      <c r="I274">
        <v>28</v>
      </c>
      <c r="J274">
        <v>1150.76444043124</v>
      </c>
      <c r="K274">
        <v>130</v>
      </c>
      <c r="L274">
        <v>26</v>
      </c>
      <c r="M274">
        <v>1053.53578909049</v>
      </c>
    </row>
    <row r="275" spans="3:13">
      <c r="C275" s="1">
        <v>45767</v>
      </c>
      <c r="D275" t="s">
        <v>13</v>
      </c>
      <c r="E275">
        <v>11076</v>
      </c>
      <c r="F275" t="s">
        <v>12</v>
      </c>
      <c r="G275">
        <v>1409</v>
      </c>
      <c r="H275">
        <v>11</v>
      </c>
      <c r="I275">
        <v>2</v>
      </c>
      <c r="J275">
        <v>6.7537557796084204</v>
      </c>
      <c r="K275">
        <v>11</v>
      </c>
      <c r="L275">
        <v>2</v>
      </c>
      <c r="M275">
        <v>6.7537557796084204</v>
      </c>
    </row>
    <row r="276" spans="3:13">
      <c r="C276" s="1">
        <v>45767</v>
      </c>
      <c r="D276" t="s">
        <v>13</v>
      </c>
      <c r="E276">
        <v>11077</v>
      </c>
      <c r="F276" t="s">
        <v>12</v>
      </c>
      <c r="G276">
        <v>1340</v>
      </c>
      <c r="H276">
        <v>21</v>
      </c>
      <c r="I276">
        <v>6</v>
      </c>
      <c r="J276">
        <v>46.587589140468801</v>
      </c>
      <c r="K276">
        <v>21</v>
      </c>
      <c r="L276">
        <v>6</v>
      </c>
      <c r="M276">
        <v>46.587589140468801</v>
      </c>
    </row>
    <row r="277" spans="3:13">
      <c r="C277" s="1">
        <v>45767</v>
      </c>
      <c r="D277" t="s">
        <v>13</v>
      </c>
      <c r="E277">
        <v>11075</v>
      </c>
      <c r="F277" t="s">
        <v>12</v>
      </c>
      <c r="G277">
        <v>1293</v>
      </c>
      <c r="H277">
        <v>35</v>
      </c>
      <c r="I277">
        <v>10</v>
      </c>
      <c r="J277">
        <v>72.030901584005704</v>
      </c>
      <c r="K277">
        <v>35</v>
      </c>
      <c r="L277">
        <v>10</v>
      </c>
      <c r="M277">
        <v>72.030901584005704</v>
      </c>
    </row>
    <row r="278" spans="3:13">
      <c r="C278" s="1">
        <v>45767</v>
      </c>
      <c r="D278" t="s">
        <v>13</v>
      </c>
      <c r="E278">
        <v>11075</v>
      </c>
      <c r="F278" t="s">
        <v>14</v>
      </c>
      <c r="G278">
        <v>2558</v>
      </c>
      <c r="H278">
        <v>65</v>
      </c>
      <c r="I278">
        <v>21</v>
      </c>
      <c r="J278">
        <v>129.82713360893101</v>
      </c>
      <c r="K278">
        <v>65</v>
      </c>
      <c r="L278">
        <v>21</v>
      </c>
      <c r="M278">
        <v>129.82713360893101</v>
      </c>
    </row>
    <row r="279" spans="3:13">
      <c r="C279" s="1">
        <v>45767</v>
      </c>
      <c r="D279" t="s">
        <v>13</v>
      </c>
      <c r="E279">
        <v>11077</v>
      </c>
      <c r="F279" t="s">
        <v>14</v>
      </c>
      <c r="G279">
        <v>2545</v>
      </c>
      <c r="H279">
        <v>41</v>
      </c>
      <c r="I279">
        <v>12</v>
      </c>
      <c r="J279">
        <v>59.584160688321802</v>
      </c>
      <c r="K279">
        <v>41</v>
      </c>
      <c r="L279">
        <v>12</v>
      </c>
      <c r="M279">
        <v>59.584160688321802</v>
      </c>
    </row>
    <row r="280" spans="3:13">
      <c r="C280" s="1">
        <v>45767</v>
      </c>
      <c r="D280" t="s">
        <v>13</v>
      </c>
      <c r="E280">
        <v>11076</v>
      </c>
      <c r="F280" t="s">
        <v>14</v>
      </c>
      <c r="G280">
        <v>2583</v>
      </c>
      <c r="H280">
        <v>30</v>
      </c>
      <c r="I280">
        <v>9</v>
      </c>
      <c r="J280">
        <v>38.164445398394498</v>
      </c>
      <c r="K280">
        <v>30</v>
      </c>
      <c r="L280">
        <v>9</v>
      </c>
      <c r="M280">
        <v>38.164445398394498</v>
      </c>
    </row>
    <row r="281" spans="3:13">
      <c r="C281" s="1">
        <v>45767</v>
      </c>
      <c r="D281" t="s">
        <v>11</v>
      </c>
      <c r="E281">
        <v>11074</v>
      </c>
      <c r="F281" t="s">
        <v>14</v>
      </c>
      <c r="G281">
        <v>673</v>
      </c>
      <c r="H281">
        <v>153</v>
      </c>
      <c r="I281">
        <v>26</v>
      </c>
      <c r="J281">
        <v>1112.93788920677</v>
      </c>
      <c r="K281">
        <v>153</v>
      </c>
      <c r="L281">
        <v>24</v>
      </c>
      <c r="M281">
        <v>1025.7476587671399</v>
      </c>
    </row>
    <row r="282" spans="3:13">
      <c r="C282" s="1">
        <v>45767</v>
      </c>
      <c r="D282" t="s">
        <v>11</v>
      </c>
      <c r="E282">
        <v>11073</v>
      </c>
      <c r="F282" t="s">
        <v>14</v>
      </c>
      <c r="G282">
        <v>700</v>
      </c>
      <c r="H282">
        <v>141</v>
      </c>
      <c r="I282">
        <v>31</v>
      </c>
      <c r="J282">
        <v>1289.7958855946999</v>
      </c>
      <c r="K282">
        <v>141</v>
      </c>
      <c r="L282">
        <v>30</v>
      </c>
      <c r="M282">
        <v>1236.5572342539499</v>
      </c>
    </row>
    <row r="283" spans="3:13">
      <c r="C283" s="1">
        <v>45767</v>
      </c>
      <c r="D283" t="s">
        <v>11</v>
      </c>
      <c r="E283">
        <v>11073</v>
      </c>
      <c r="F283" t="s">
        <v>12</v>
      </c>
      <c r="G283">
        <v>2836</v>
      </c>
      <c r="H283">
        <v>351</v>
      </c>
      <c r="I283">
        <v>80</v>
      </c>
      <c r="J283">
        <v>2385.60528404351</v>
      </c>
      <c r="K283">
        <v>351</v>
      </c>
      <c r="L283">
        <v>75</v>
      </c>
      <c r="M283">
        <v>2292.48032986211</v>
      </c>
    </row>
    <row r="284" spans="3:13">
      <c r="C284" s="1">
        <v>45767</v>
      </c>
      <c r="D284" t="s">
        <v>11</v>
      </c>
      <c r="E284">
        <v>11072</v>
      </c>
      <c r="F284" t="s">
        <v>12</v>
      </c>
      <c r="G284">
        <v>2889</v>
      </c>
      <c r="H284">
        <v>421</v>
      </c>
      <c r="I284">
        <v>101</v>
      </c>
      <c r="J284">
        <v>3455.769825155</v>
      </c>
      <c r="K284">
        <v>421</v>
      </c>
      <c r="L284">
        <v>97</v>
      </c>
      <c r="M284">
        <v>3312.3059641029399</v>
      </c>
    </row>
    <row r="285" spans="3:13">
      <c r="C285" s="1">
        <v>45767</v>
      </c>
      <c r="D285" t="s">
        <v>11</v>
      </c>
      <c r="E285">
        <v>11072</v>
      </c>
      <c r="F285" t="s">
        <v>14</v>
      </c>
      <c r="G285">
        <v>708</v>
      </c>
      <c r="H285">
        <v>209</v>
      </c>
      <c r="I285">
        <v>47</v>
      </c>
      <c r="J285">
        <v>1912.03154389832</v>
      </c>
      <c r="K285">
        <v>209</v>
      </c>
      <c r="L285">
        <v>47</v>
      </c>
      <c r="M285">
        <v>1912.03154389832</v>
      </c>
    </row>
    <row r="286" spans="3:13">
      <c r="C286" s="1">
        <v>45767</v>
      </c>
      <c r="D286" t="s">
        <v>11</v>
      </c>
      <c r="E286">
        <v>11074</v>
      </c>
      <c r="F286" t="s">
        <v>12</v>
      </c>
      <c r="G286">
        <v>2787</v>
      </c>
      <c r="H286">
        <v>345</v>
      </c>
      <c r="I286">
        <v>61</v>
      </c>
      <c r="J286">
        <v>1760.57589509887</v>
      </c>
      <c r="K286">
        <v>345</v>
      </c>
      <c r="L286">
        <v>58</v>
      </c>
      <c r="M286">
        <v>1692.0184180081701</v>
      </c>
    </row>
  </sheetData>
  <autoFilter ref="C1:M286" xr:uid="{D839F666-CFA5-C846-A0D5-7526BDE750E4}"/>
  <mergeCells count="2">
    <mergeCell ref="B1:B1048576"/>
    <mergeCell ref="U24:V2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新增7天内的收入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2025-04-29T10:28:53Z</dcterms:created>
  <dcterms:modified xsi:type="dcterms:W3CDTF">2025-04-30T02:23:17Z</dcterms:modified>
</cp:coreProperties>
</file>