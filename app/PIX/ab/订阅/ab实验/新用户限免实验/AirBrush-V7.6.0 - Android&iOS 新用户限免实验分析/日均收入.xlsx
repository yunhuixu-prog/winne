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6C65B1DF-88AA-8F40-B136-4B77442F020F}" xr6:coauthVersionLast="38" xr6:coauthVersionMax="38" xr10:uidLastSave="{00000000-0000-0000-0000-000000000000}"/>
  <bookViews>
    <workbookView xWindow="1220" yWindow="760" windowWidth="27520" windowHeight="16940" activeTab="2" xr2:uid="{CDFAFD02-C30E-3342-813D-ABEC54A881A5}"/>
  </bookViews>
  <sheets>
    <sheet name="订阅收入" sheetId="1" r:id="rId1"/>
    <sheet name="订阅收入4.28" sheetId="5" r:id="rId2"/>
    <sheet name="Sheet1" sheetId="6" r:id="rId3"/>
    <sheet name="广告收入" sheetId="3" r:id="rId4"/>
    <sheet name="汇总" sheetId="4" r:id="rId5"/>
    <sheet name="新增7天且活跃用户数" sheetId="2" r:id="rId6"/>
  </sheets>
  <calcPr calcId="179021"/>
  <pivotCaches>
    <pivotCache cacheId="31" r:id="rId7"/>
    <pivotCache cacheId="32" r:id="rId8"/>
    <pivotCache cacheId="33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4" l="1"/>
  <c r="G11" i="4"/>
  <c r="H12" i="4"/>
  <c r="G12" i="4"/>
  <c r="H11" i="4"/>
  <c r="D6" i="4"/>
  <c r="AU26" i="1" l="1"/>
  <c r="AV26" i="1"/>
  <c r="AU27" i="1"/>
  <c r="AV27" i="1"/>
  <c r="AU28" i="1"/>
  <c r="AU41" i="1" s="1"/>
  <c r="AU42" i="1" s="1"/>
  <c r="AV28" i="1"/>
  <c r="AV41" i="1" s="1"/>
  <c r="AV42" i="1" s="1"/>
  <c r="AU29" i="1"/>
  <c r="AV29" i="1"/>
  <c r="AU30" i="1"/>
  <c r="AV30" i="1"/>
  <c r="AU31" i="1"/>
  <c r="AV31" i="1"/>
  <c r="AU32" i="1"/>
  <c r="AV32" i="1"/>
  <c r="AU33" i="1"/>
  <c r="AV33" i="1"/>
  <c r="AU34" i="1"/>
  <c r="AV34" i="1"/>
  <c r="AU35" i="1"/>
  <c r="AV35" i="1"/>
  <c r="AU36" i="1"/>
  <c r="AV36" i="1"/>
  <c r="AU37" i="1"/>
  <c r="AV37" i="1"/>
  <c r="AU38" i="1"/>
  <c r="AV38" i="1"/>
  <c r="AU39" i="1"/>
  <c r="AV39" i="1"/>
  <c r="AV25" i="1"/>
  <c r="AU25" i="1"/>
  <c r="F42" i="2"/>
  <c r="F43" i="2"/>
  <c r="AA2" i="2"/>
  <c r="Z2" i="2"/>
  <c r="L2" i="2" l="1"/>
  <c r="K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2" i="1"/>
</calcChain>
</file>

<file path=xl/sharedStrings.xml><?xml version="1.0" encoding="utf-8"?>
<sst xmlns="http://schemas.openxmlformats.org/spreadsheetml/2006/main" count="692" uniqueCount="169">
  <si>
    <t>date</t>
  </si>
  <si>
    <t>platform</t>
  </si>
  <si>
    <t>ab_code</t>
  </si>
  <si>
    <t>enter_abtest_uv</t>
  </si>
  <si>
    <t>sub_enter_uv</t>
  </si>
  <si>
    <t>sub_click_uv</t>
  </si>
  <si>
    <t>sub_success_uv</t>
  </si>
  <si>
    <t>sub_success_to_paid_uv</t>
  </si>
  <si>
    <t>sub_success_to_paid_gmv</t>
  </si>
  <si>
    <t>enter_uv</t>
  </si>
  <si>
    <t>enter_pv</t>
  </si>
  <si>
    <t>ANDROID</t>
  </si>
  <si>
    <t>IOS</t>
  </si>
  <si>
    <t xml:space="preserve">--天维度的收入 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</si>
  <si>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</si>
  <si>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</si>
  <si>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</si>
  <si>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</si>
  <si>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</si>
  <si>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'video_start_edit'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'enter'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</si>
  <si>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'save'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</si>
  <si>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</si>
  <si>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</si>
  <si>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</si>
  <si>
    <t>-- ,event_timestamp</t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</si>
  <si>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'source_module'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</si>
  <si>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'source_0'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</si>
  <si>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source_1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</si>
  <si>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'duration'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duration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</si>
  <si>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'SKU'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sku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</si>
  <si>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'order_id'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</si>
  <si>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</si>
  <si>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(*)</t>
    </r>
    <r>
      <rPr>
        <sz val="12"/>
        <color rgb="FF000000"/>
        <rFont val="Menlo"/>
        <family val="2"/>
      </rPr>
      <t>pv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</si>
  <si>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`airbrush-1324.analytics_152810936.events_*`</t>
    </r>
    <r>
      <rPr>
        <sz val="12"/>
        <color rgb="FF202124"/>
        <rFont val="Menlo"/>
        <family val="2"/>
      </rPr>
      <t xml:space="preserve"> </t>
    </r>
  </si>
  <si>
    <t xml:space="preserve">-- `dataintegration-265403.analytics.dwd_dzp_events_function`('2025-02-28','2025-03-16','airbrush',false) -- 这个表跑不动 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</si>
  <si>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</si>
  <si>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'w_subscription_enter'</t>
    </r>
  </si>
  <si>
    <r>
      <t>,</t>
    </r>
    <r>
      <rPr>
        <sz val="12"/>
        <color rgb="FF188038"/>
        <rFont val="Menlo"/>
        <family val="2"/>
      </rPr>
      <t>'w_subscription_click'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</si>
  <si>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</si>
  <si>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</si>
  <si>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13</t>
    </r>
  </si>
  <si>
    <t>)</t>
  </si>
  <si>
    <r>
      <t>,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</si>
  <si>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distinct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</si>
  <si>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</si>
  <si>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</si>
  <si>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</si>
  <si>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</si>
  <si>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</si>
  <si>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t>--- `dataintegration-265403.analytics.dwd_dzp_events_function`('2025-02-28','2025-03-16','airbrush',false)</t>
  </si>
  <si>
    <t>where</t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</si>
  <si>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</si>
  <si>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</si>
  <si>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</si>
  <si>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)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</si>
  <si>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限制进入实验的人,且实验触发日期在进入实验之后</t>
    </r>
  </si>
  <si>
    <t>from</t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</si>
  <si>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</si>
  <si>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&lt;&gt;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</si>
  <si>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)</t>
    </r>
    <r>
      <rPr>
        <sz val="12"/>
        <color rgb="FF000000"/>
        <rFont val="Menlo"/>
        <family val="2"/>
      </rPr>
      <t>a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</si>
  <si>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事件发生的日期均 &gt;= 进入实验日期</t>
    </r>
  </si>
  <si>
    <r>
      <t>,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</si>
  <si>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</si>
  <si>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standard_order_date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payment_price_usd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</si>
  <si>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</si>
  <si>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payment_price_usd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</si>
  <si>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`dataintegration-265403.subscription.dwd_trial_subscription_retention_daily_temp`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</si>
  <si>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app_id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</si>
  <si>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'2025-04-02'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</si>
  <si>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</si>
  <si>
    <t>a.date</t>
  </si>
  <si>
    <r>
      <t>,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</si>
  <si>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enter_abtest_uv</t>
    </r>
  </si>
  <si>
    <t>-- 付费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</si>
  <si>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'w_subscription_enter'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sub_enter_uv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</si>
  <si>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'w_subscription_click'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sub_click_uv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</si>
  <si>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</si>
  <si>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</si>
  <si>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</si>
  <si>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c.payment_price_usd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</si>
  <si>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c.next_payment_price_usd</t>
    </r>
    <r>
      <rPr>
        <sz val="12"/>
        <color rgb="FF202124"/>
        <rFont val="Menlo"/>
        <family val="2"/>
      </rPr>
      <t xml:space="preserve"> 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</si>
  <si>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sub_success_to_paid_gmv</t>
    </r>
  </si>
  <si>
    <t>-- 用户行为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</si>
  <si>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enter_uv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</si>
  <si>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pv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enter_pv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</si>
  <si>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</si>
  <si>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</si>
  <si>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</si>
  <si>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a.device_id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b.standard_order_date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b.original_order_id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b.sku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b.order_status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</si>
  <si>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b.payment_price_usd</t>
    </r>
  </si>
  <si>
    <r>
      <t>,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</si>
  <si>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</si>
  <si>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</si>
  <si>
    <t>(</t>
  </si>
  <si>
    <t>*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</si>
  <si>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</si>
  <si>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</si>
  <si>
    <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</si>
  <si>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a.order_id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b.order_id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b.sku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</si>
  <si>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a.sku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</si>
  <si>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</si>
  <si>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</si>
  <si>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r>
      <rPr>
        <sz val="10"/>
        <color theme="1"/>
        <rFont val="等线"/>
        <family val="2"/>
        <charset val="134"/>
      </rPr>
      <t>日均</t>
    </r>
    <r>
      <rPr>
        <sz val="10"/>
        <color theme="1"/>
        <rFont val="Arial"/>
        <family val="2"/>
      </rPr>
      <t>进入编辑器收入</t>
    </r>
    <phoneticPr fontId="3" type="noConversion"/>
  </si>
  <si>
    <t>行标签</t>
  </si>
  <si>
    <t>总计</t>
  </si>
  <si>
    <t>求和项:日均进入编辑器收入</t>
  </si>
  <si>
    <t>列标签</t>
  </si>
  <si>
    <t>(全部)</t>
  </si>
  <si>
    <t>求和项:enter_uv</t>
  </si>
  <si>
    <t>求和项:sub_success_to_paid_gmv</t>
  </si>
  <si>
    <t>iOS</t>
  </si>
  <si>
    <t>Android</t>
  </si>
  <si>
    <t>对照组</t>
  </si>
  <si>
    <t>实验组A</t>
  </si>
  <si>
    <t>实验组B</t>
  </si>
  <si>
    <t>日均值</t>
  </si>
  <si>
    <t>vs 对照组 绝对值</t>
    <phoneticPr fontId="3" type="noConversion"/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</si>
  <si>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</si>
  <si>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real_device_id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is_new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</si>
  <si>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`dataintegration-265403.dwd.dwd_dzp_behavior_active_device`</t>
    </r>
  </si>
  <si>
    <t>-- FROM `dataintegration-265403.stat.stat_active_advice_detail_d`</t>
  </si>
  <si>
    <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'2025-03-31'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</si>
  <si>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'AirBrush'</t>
    </r>
  </si>
  <si>
    <r>
      <t xml:space="preserve">, </t>
    </r>
    <r>
      <rPr>
        <sz val="12"/>
        <color rgb="FF000000"/>
        <rFont val="Menlo"/>
        <family val="2"/>
      </rPr>
      <t>ne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</si>
  <si>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</si>
  <si>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date_add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interval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date_n7d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</si>
  <si>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is_new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</si>
  <si>
    <t>a.event_date_hk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</si>
  <si>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'ANDROID'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android_dau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</si>
  <si>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'IOS'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ios_dau</t>
    </r>
    <r>
      <rPr>
        <sz val="12"/>
        <color rgb="FF202124"/>
        <rFont val="Menlo"/>
        <family val="2"/>
      </rPr>
      <t xml:space="preserve"> </t>
    </r>
  </si>
  <si>
    <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b.user_pseudo_id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</si>
  <si>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date_n7d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</si>
  <si>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</si>
  <si>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</si>
  <si>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event_date_hk</t>
  </si>
  <si>
    <t>android_dau</t>
  </si>
  <si>
    <t>ios_dau</t>
  </si>
  <si>
    <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'2025-02-20'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'2025-03-31'</t>
    </r>
  </si>
  <si>
    <r>
      <t>,</t>
    </r>
    <r>
      <rPr>
        <sz val="12"/>
        <color rgb="FF000000"/>
        <rFont val="Menlo"/>
        <family val="2"/>
      </rPr>
      <t>ev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</si>
  <si>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 xml:space="preserve">, </t>
    </r>
    <r>
      <rPr>
        <sz val="12"/>
        <color rgb="FF000000"/>
        <rFont val="Menlo"/>
        <family val="2"/>
      </rPr>
      <t>event_name</t>
    </r>
  </si>
  <si>
    <r>
      <t>event_name</t>
    </r>
    <r>
      <rPr>
        <sz val="12"/>
        <color rgb="FF202124"/>
        <rFont val="Menlo"/>
        <family val="2"/>
      </rPr>
      <t xml:space="preserve">= </t>
    </r>
    <r>
      <rPr>
        <sz val="12"/>
        <color rgb="FF188038"/>
        <rFont val="Menlo"/>
        <family val="2"/>
      </rPr>
      <t>'edit_enter'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</si>
  <si>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'20250228'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'20250401'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</si>
  <si>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'2025-03-31'</t>
    </r>
  </si>
  <si>
    <t>ev.date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</si>
  <si>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ev.platform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'ANDROID'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android_edit_enter_uv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</si>
  <si>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ev.platform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'IOS'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ios_edit_enter_uv</t>
    </r>
  </si>
  <si>
    <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新增7天内活跃</t>
    </r>
  </si>
  <si>
    <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</si>
  <si>
    <r>
      <t>)</t>
    </r>
    <r>
      <rPr>
        <sz val="12"/>
        <color rgb="FF000000"/>
        <rFont val="Menlo"/>
        <family val="2"/>
      </rPr>
      <t>ac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</si>
  <si>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ev.user_pseudo_id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ac.event_date_hk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ev.date</t>
    </r>
  </si>
  <si>
    <t xml:space="preserve">新增7天内且进入edit 的人 </t>
    <phoneticPr fontId="3" type="noConversion"/>
  </si>
  <si>
    <t>android_edit_enter_uv</t>
  </si>
  <si>
    <t>ios_edit_enter_uv</t>
  </si>
  <si>
    <t>Sub Success to Paid Bookings</t>
  </si>
  <si>
    <t>新增7天内活跃用户数</t>
    <phoneticPr fontId="3" type="noConversion"/>
  </si>
  <si>
    <t>求和项:enter_abtest_uv</t>
  </si>
  <si>
    <t>实验组A</t>
    <phoneticPr fontId="3" type="noConversion"/>
  </si>
  <si>
    <t>实验组B</t>
    <phoneticPr fontId="3" type="noConversion"/>
  </si>
  <si>
    <t>abcode</t>
  </si>
  <si>
    <t>event_date</t>
  </si>
  <si>
    <t>ads_bookings</t>
  </si>
  <si>
    <t>max_impression_pv</t>
  </si>
  <si>
    <t>eCPM</t>
  </si>
  <si>
    <t>求和项:ads_bookings</t>
  </si>
  <si>
    <t>广告收入</t>
  </si>
  <si>
    <t>订阅收入</t>
    <phoneticPr fontId="3" type="noConversion"/>
  </si>
  <si>
    <t>广告收入</t>
    <phoneticPr fontId="3" type="noConversion"/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</si>
  <si>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1967D2"/>
        <rFont val="Menlo"/>
        <family val="2"/>
      </rPr>
      <t>except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ab_code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b.ab_code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</si>
  <si>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b.user_pseudo_id</t>
    </r>
    <r>
      <rPr>
        <sz val="12"/>
        <color rgb="FF202124"/>
        <rFont val="Menlo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</si>
</sst>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24" formatCode="\$#,##0_);[Red]\(\$#,##0\)"/>
    <numFmt numFmtId="26" formatCode="\$#,##0.00_);[Red]\(\$#,##0.00\)"/>
    <numFmt numFmtId="176" formatCode="_(* #,##0.00000000_);_(* \(#,##0.00000000\);_(* &quot;-&quot;??_);_(@_)"/>
    <numFmt numFmtId="177" formatCode="_(* #,##0_);_(* \(#,##0\);_(* &quot;-&quot;??_);_(@_)"/>
    <numFmt numFmtId="178" formatCode="\$#,##0.0000000_);[Red]\(\$#,##0.0000000\)"/>
  </numFmts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202124"/>
      <name val="Menlo"/>
      <family val="2"/>
    </font>
    <font>
      <sz val="12"/>
      <color rgb="FFB80672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06000"/>
      <name val="Menlo"/>
      <family val="2"/>
    </font>
    <font>
      <sz val="10"/>
      <color theme="1"/>
      <name val="Arial"/>
      <family val="2"/>
    </font>
    <font>
      <sz val="10"/>
      <color theme="1"/>
      <name val="等线"/>
      <family val="2"/>
      <charset val="134"/>
    </font>
    <font>
      <sz val="10"/>
      <color theme="1"/>
      <name val="Arial"/>
      <family val="2"/>
      <charset val="134"/>
    </font>
    <font>
      <sz val="10"/>
      <color rgb="FF00000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1F2329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0F4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/>
      <right/>
      <top style="thin">
        <color indexed="64"/>
      </top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14" fontId="11" fillId="0" borderId="0" xfId="0" applyNumberFormat="1" applyFont="1">
      <alignment vertical="center"/>
    </xf>
    <xf numFmtId="4" fontId="11" fillId="0" borderId="0" xfId="0" applyNumberFormat="1" applyFont="1">
      <alignment vertical="center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43" fontId="0" fillId="0" borderId="0" xfId="1" applyFont="1">
      <alignment vertical="center"/>
    </xf>
    <xf numFmtId="14" fontId="0" fillId="3" borderId="0" xfId="0" applyNumberFormat="1" applyFill="1" applyAlignment="1">
      <alignment horizontal="left" vertical="center"/>
    </xf>
    <xf numFmtId="176" fontId="0" fillId="3" borderId="0" xfId="1" applyNumberFormat="1" applyFont="1" applyFill="1">
      <alignment vertical="center"/>
    </xf>
    <xf numFmtId="177" fontId="0" fillId="0" borderId="0" xfId="1" applyNumberFormat="1" applyFont="1">
      <alignment vertical="center"/>
    </xf>
    <xf numFmtId="0" fontId="14" fillId="4" borderId="2" xfId="0" applyFont="1" applyFill="1" applyBorder="1" applyAlignment="1">
      <alignment horizontal="left" vertical="center"/>
    </xf>
    <xf numFmtId="0" fontId="16" fillId="4" borderId="2" xfId="0" applyFont="1" applyFill="1" applyBorder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left" vertical="center"/>
    </xf>
    <xf numFmtId="26" fontId="16" fillId="0" borderId="6" xfId="0" applyNumberFormat="1" applyFont="1" applyBorder="1">
      <alignment vertical="center"/>
    </xf>
    <xf numFmtId="178" fontId="16" fillId="0" borderId="6" xfId="0" applyNumberFormat="1" applyFont="1" applyBorder="1">
      <alignment vertical="center"/>
    </xf>
    <xf numFmtId="176" fontId="16" fillId="0" borderId="6" xfId="1" applyNumberFormat="1" applyFont="1" applyBorder="1">
      <alignment vertical="center"/>
    </xf>
    <xf numFmtId="0" fontId="17" fillId="7" borderId="6" xfId="0" applyFont="1" applyFill="1" applyBorder="1">
      <alignment vertical="center"/>
    </xf>
    <xf numFmtId="24" fontId="0" fillId="0" borderId="0" xfId="0" applyNumberFormat="1">
      <alignment vertical="center"/>
    </xf>
    <xf numFmtId="24" fontId="16" fillId="0" borderId="6" xfId="0" applyNumberFormat="1" applyFont="1" applyBorder="1">
      <alignment vertical="center"/>
    </xf>
    <xf numFmtId="43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10" xfId="0" applyNumberFormat="1" applyBorder="1" applyAlignment="1">
      <alignment horizontal="left" vertical="center"/>
    </xf>
    <xf numFmtId="177" fontId="0" fillId="0" borderId="10" xfId="1" applyNumberFormat="1" applyFont="1" applyBorder="1">
      <alignment vertical="center"/>
    </xf>
    <xf numFmtId="0" fontId="0" fillId="0" borderId="10" xfId="0" applyBorder="1">
      <alignment vertical="center"/>
    </xf>
    <xf numFmtId="177" fontId="0" fillId="0" borderId="10" xfId="0" applyNumberFormat="1" applyBorder="1">
      <alignment vertical="center"/>
    </xf>
    <xf numFmtId="14" fontId="0" fillId="0" borderId="0" xfId="0" applyNumberFormat="1" applyBorder="1" applyAlignment="1">
      <alignment horizontal="left" vertical="center"/>
    </xf>
    <xf numFmtId="177" fontId="0" fillId="0" borderId="0" xfId="1" applyNumberFormat="1" applyFont="1" applyBorder="1">
      <alignment vertical="center"/>
    </xf>
    <xf numFmtId="0" fontId="0" fillId="0" borderId="0" xfId="0" applyBorder="1">
      <alignment vertical="center"/>
    </xf>
    <xf numFmtId="177" fontId="0" fillId="0" borderId="0" xfId="0" applyNumberFormat="1" applyBorder="1">
      <alignment vertical="center"/>
    </xf>
    <xf numFmtId="0" fontId="16" fillId="4" borderId="11" xfId="0" applyFont="1" applyFill="1" applyBorder="1">
      <alignment vertical="center"/>
    </xf>
    <xf numFmtId="0" fontId="14" fillId="4" borderId="11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left" vertical="center"/>
    </xf>
    <xf numFmtId="24" fontId="16" fillId="0" borderId="13" xfId="0" applyNumberFormat="1" applyFont="1" applyBorder="1">
      <alignment vertical="center"/>
    </xf>
    <xf numFmtId="24" fontId="16" fillId="0" borderId="14" xfId="0" applyNumberFormat="1" applyFont="1" applyBorder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4" fillId="6" borderId="7" xfId="0" applyFont="1" applyFill="1" applyBorder="1">
      <alignment vertical="center"/>
    </xf>
    <xf numFmtId="0" fontId="14" fillId="6" borderId="8" xfId="0" applyFont="1" applyFill="1" applyBorder="1">
      <alignment vertical="center"/>
    </xf>
    <xf numFmtId="0" fontId="14" fillId="6" borderId="9" xfId="0" applyFont="1" applyFill="1" applyBorder="1">
      <alignment vertical="center"/>
    </xf>
  </cellXfs>
  <cellStyles count="2">
    <cellStyle name="常规" xfId="0" builtinId="0"/>
    <cellStyle name="千位分隔" xfId="1" builtinId="3"/>
  </cellStyles>
  <dxfs count="1">
    <dxf>
      <numFmt numFmtId="17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[日均收入.xlsx]订阅收入!数据透视表14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订阅收入!$U$3:$U$4</c:f>
              <c:strCache>
                <c:ptCount val="1"/>
                <c:pt idx="0">
                  <c:v>11072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订阅收入!$T$5:$T$20</c:f>
              <c:strCache>
                <c:ptCount val="15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</c:strCache>
            </c:strRef>
          </c:cat>
          <c:val>
            <c:numRef>
              <c:f>订阅收入!$U$5:$U$20</c:f>
              <c:numCache>
                <c:formatCode>_(* #,##0_);_(* \(#,##0\);_(* "-"??_);_(@_)</c:formatCode>
                <c:ptCount val="15"/>
                <c:pt idx="0">
                  <c:v>3819</c:v>
                </c:pt>
                <c:pt idx="1">
                  <c:v>4980</c:v>
                </c:pt>
                <c:pt idx="2">
                  <c:v>5860</c:v>
                </c:pt>
                <c:pt idx="3">
                  <c:v>7927</c:v>
                </c:pt>
                <c:pt idx="4">
                  <c:v>8399</c:v>
                </c:pt>
                <c:pt idx="5">
                  <c:v>7147</c:v>
                </c:pt>
                <c:pt idx="6">
                  <c:v>6849</c:v>
                </c:pt>
                <c:pt idx="7">
                  <c:v>7710</c:v>
                </c:pt>
                <c:pt idx="8">
                  <c:v>8638</c:v>
                </c:pt>
                <c:pt idx="9">
                  <c:v>9698</c:v>
                </c:pt>
                <c:pt idx="10">
                  <c:v>12540</c:v>
                </c:pt>
                <c:pt idx="11">
                  <c:v>12649</c:v>
                </c:pt>
                <c:pt idx="12">
                  <c:v>10540</c:v>
                </c:pt>
                <c:pt idx="13">
                  <c:v>10174</c:v>
                </c:pt>
                <c:pt idx="14">
                  <c:v>10518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B-1443-8334-07C1DB70C3CF}"/>
            </c:ext>
          </c:extLst>
        </c:ser>
        <c:ser>
          <c:idx val="1"/>
          <c:order val="1"/>
          <c:tx>
            <c:strRef>
              <c:f>订阅收入!$V$3:$V$4</c:f>
              <c:strCache>
                <c:ptCount val="1"/>
                <c:pt idx="0">
                  <c:v>11073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订阅收入!$T$5:$T$20</c:f>
              <c:strCache>
                <c:ptCount val="15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</c:strCache>
            </c:strRef>
          </c:cat>
          <c:val>
            <c:numRef>
              <c:f>订阅收入!$V$5:$V$20</c:f>
              <c:numCache>
                <c:formatCode>_(* #,##0_);_(* \(#,##0\);_(* "-"??_);_(@_)</c:formatCode>
                <c:ptCount val="15"/>
                <c:pt idx="0">
                  <c:v>3746</c:v>
                </c:pt>
                <c:pt idx="1">
                  <c:v>5014</c:v>
                </c:pt>
                <c:pt idx="2">
                  <c:v>6111</c:v>
                </c:pt>
                <c:pt idx="3">
                  <c:v>8087</c:v>
                </c:pt>
                <c:pt idx="4">
                  <c:v>8623</c:v>
                </c:pt>
                <c:pt idx="5">
                  <c:v>7669</c:v>
                </c:pt>
                <c:pt idx="6">
                  <c:v>7371</c:v>
                </c:pt>
                <c:pt idx="7">
                  <c:v>8033</c:v>
                </c:pt>
                <c:pt idx="8">
                  <c:v>8915</c:v>
                </c:pt>
                <c:pt idx="9">
                  <c:v>10226</c:v>
                </c:pt>
                <c:pt idx="10">
                  <c:v>13032</c:v>
                </c:pt>
                <c:pt idx="11">
                  <c:v>13126</c:v>
                </c:pt>
                <c:pt idx="12">
                  <c:v>11172</c:v>
                </c:pt>
                <c:pt idx="13">
                  <c:v>10643</c:v>
                </c:pt>
                <c:pt idx="14">
                  <c:v>10852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B-1443-8334-07C1DB70C3CF}"/>
            </c:ext>
          </c:extLst>
        </c:ser>
        <c:ser>
          <c:idx val="2"/>
          <c:order val="2"/>
          <c:tx>
            <c:strRef>
              <c:f>订阅收入!$W$3:$W$4</c:f>
              <c:strCache>
                <c:ptCount val="1"/>
                <c:pt idx="0">
                  <c:v>11074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订阅收入!$T$5:$T$20</c:f>
              <c:strCache>
                <c:ptCount val="15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</c:strCache>
            </c:strRef>
          </c:cat>
          <c:val>
            <c:numRef>
              <c:f>订阅收入!$W$5:$W$20</c:f>
              <c:numCache>
                <c:formatCode>_(* #,##0_);_(* \(#,##0\);_(* "-"??_);_(@_)</c:formatCode>
                <c:ptCount val="15"/>
                <c:pt idx="0">
                  <c:v>3845</c:v>
                </c:pt>
                <c:pt idx="1">
                  <c:v>4944</c:v>
                </c:pt>
                <c:pt idx="2">
                  <c:v>5795</c:v>
                </c:pt>
                <c:pt idx="3">
                  <c:v>7902</c:v>
                </c:pt>
                <c:pt idx="4">
                  <c:v>8493</c:v>
                </c:pt>
                <c:pt idx="5">
                  <c:v>7511</c:v>
                </c:pt>
                <c:pt idx="6">
                  <c:v>7128</c:v>
                </c:pt>
                <c:pt idx="7">
                  <c:v>7863</c:v>
                </c:pt>
                <c:pt idx="8">
                  <c:v>8899</c:v>
                </c:pt>
                <c:pt idx="9">
                  <c:v>9844</c:v>
                </c:pt>
                <c:pt idx="10">
                  <c:v>13169</c:v>
                </c:pt>
                <c:pt idx="11">
                  <c:v>12920</c:v>
                </c:pt>
                <c:pt idx="12">
                  <c:v>10753</c:v>
                </c:pt>
                <c:pt idx="13">
                  <c:v>10480</c:v>
                </c:pt>
                <c:pt idx="14">
                  <c:v>10739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4B-1443-8334-07C1DB70C3CF}"/>
            </c:ext>
          </c:extLst>
        </c:ser>
        <c:ser>
          <c:idx val="3"/>
          <c:order val="3"/>
          <c:tx>
            <c:strRef>
              <c:f>订阅收入!$X$3:$X$4</c:f>
              <c:strCache>
                <c:ptCount val="1"/>
                <c:pt idx="0">
                  <c:v>11075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订阅收入!$T$5:$T$20</c:f>
              <c:strCache>
                <c:ptCount val="15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</c:strCache>
            </c:strRef>
          </c:cat>
          <c:val>
            <c:numRef>
              <c:f>订阅收入!$X$5:$X$20</c:f>
              <c:numCache>
                <c:formatCode>_(* #,##0_);_(* \(#,##0\);_(* "-"??_);_(@_)</c:formatCode>
                <c:ptCount val="15"/>
                <c:pt idx="0">
                  <c:v>138</c:v>
                </c:pt>
                <c:pt idx="1">
                  <c:v>975</c:v>
                </c:pt>
                <c:pt idx="2">
                  <c:v>1555</c:v>
                </c:pt>
                <c:pt idx="3">
                  <c:v>2133</c:v>
                </c:pt>
                <c:pt idx="4">
                  <c:v>3484</c:v>
                </c:pt>
                <c:pt idx="5">
                  <c:v>4514</c:v>
                </c:pt>
                <c:pt idx="6">
                  <c:v>4677</c:v>
                </c:pt>
                <c:pt idx="7">
                  <c:v>5221</c:v>
                </c:pt>
                <c:pt idx="8">
                  <c:v>5262</c:v>
                </c:pt>
                <c:pt idx="9">
                  <c:v>5080</c:v>
                </c:pt>
                <c:pt idx="10">
                  <c:v>6112</c:v>
                </c:pt>
                <c:pt idx="11">
                  <c:v>6245</c:v>
                </c:pt>
                <c:pt idx="12">
                  <c:v>5618</c:v>
                </c:pt>
                <c:pt idx="13">
                  <c:v>5456</c:v>
                </c:pt>
                <c:pt idx="14">
                  <c:v>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4B-1443-8334-07C1DB70C3CF}"/>
            </c:ext>
          </c:extLst>
        </c:ser>
        <c:ser>
          <c:idx val="4"/>
          <c:order val="4"/>
          <c:tx>
            <c:strRef>
              <c:f>订阅收入!$Y$3:$Y$4</c:f>
              <c:strCache>
                <c:ptCount val="1"/>
                <c:pt idx="0">
                  <c:v>11076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订阅收入!$T$5:$T$20</c:f>
              <c:strCache>
                <c:ptCount val="15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</c:strCache>
            </c:strRef>
          </c:cat>
          <c:val>
            <c:numRef>
              <c:f>订阅收入!$Y$5:$Y$20</c:f>
              <c:numCache>
                <c:formatCode>_(* #,##0_);_(* \(#,##0\);_(* "-"??_);_(@_)</c:formatCode>
                <c:ptCount val="15"/>
                <c:pt idx="0">
                  <c:v>151</c:v>
                </c:pt>
                <c:pt idx="1">
                  <c:v>1035</c:v>
                </c:pt>
                <c:pt idx="2">
                  <c:v>1590</c:v>
                </c:pt>
                <c:pt idx="3">
                  <c:v>2255</c:v>
                </c:pt>
                <c:pt idx="4">
                  <c:v>3715</c:v>
                </c:pt>
                <c:pt idx="5">
                  <c:v>4697</c:v>
                </c:pt>
                <c:pt idx="6">
                  <c:v>4826</c:v>
                </c:pt>
                <c:pt idx="7">
                  <c:v>5323</c:v>
                </c:pt>
                <c:pt idx="8">
                  <c:v>5329</c:v>
                </c:pt>
                <c:pt idx="9">
                  <c:v>5428</c:v>
                </c:pt>
                <c:pt idx="10">
                  <c:v>6234</c:v>
                </c:pt>
                <c:pt idx="11">
                  <c:v>6703</c:v>
                </c:pt>
                <c:pt idx="12">
                  <c:v>5945</c:v>
                </c:pt>
                <c:pt idx="13">
                  <c:v>5920</c:v>
                </c:pt>
                <c:pt idx="14">
                  <c:v>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4B-1443-8334-07C1DB70C3CF}"/>
            </c:ext>
          </c:extLst>
        </c:ser>
        <c:ser>
          <c:idx val="5"/>
          <c:order val="5"/>
          <c:tx>
            <c:strRef>
              <c:f>订阅收入!$Z$3:$Z$4</c:f>
              <c:strCache>
                <c:ptCount val="1"/>
                <c:pt idx="0">
                  <c:v>11077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订阅收入!$T$5:$T$20</c:f>
              <c:strCache>
                <c:ptCount val="15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</c:strCache>
            </c:strRef>
          </c:cat>
          <c:val>
            <c:numRef>
              <c:f>订阅收入!$Z$5:$Z$20</c:f>
              <c:numCache>
                <c:formatCode>_(* #,##0_);_(* \(#,##0\);_(* "-"??_);_(@_)</c:formatCode>
                <c:ptCount val="15"/>
                <c:pt idx="0">
                  <c:v>166</c:v>
                </c:pt>
                <c:pt idx="1">
                  <c:v>972</c:v>
                </c:pt>
                <c:pt idx="2">
                  <c:v>1565</c:v>
                </c:pt>
                <c:pt idx="3">
                  <c:v>2276</c:v>
                </c:pt>
                <c:pt idx="4">
                  <c:v>3577</c:v>
                </c:pt>
                <c:pt idx="5">
                  <c:v>4559</c:v>
                </c:pt>
                <c:pt idx="6">
                  <c:v>4673</c:v>
                </c:pt>
                <c:pt idx="7">
                  <c:v>5360</c:v>
                </c:pt>
                <c:pt idx="8">
                  <c:v>5287</c:v>
                </c:pt>
                <c:pt idx="9">
                  <c:v>5204</c:v>
                </c:pt>
                <c:pt idx="10">
                  <c:v>6307</c:v>
                </c:pt>
                <c:pt idx="11">
                  <c:v>6514</c:v>
                </c:pt>
                <c:pt idx="12">
                  <c:v>5735</c:v>
                </c:pt>
                <c:pt idx="13">
                  <c:v>5551</c:v>
                </c:pt>
                <c:pt idx="14">
                  <c:v>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4B-1443-8334-07C1DB70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38143"/>
        <c:axId val="188030559"/>
      </c:lineChart>
      <c:catAx>
        <c:axId val="1884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030559"/>
        <c:crosses val="autoZero"/>
        <c:auto val="1"/>
        <c:lblAlgn val="ctr"/>
        <c:lblOffset val="100"/>
        <c:noMultiLvlLbl val="0"/>
      </c:catAx>
      <c:valAx>
        <c:axId val="18803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43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425450</xdr:colOff>
      <xdr:row>23</xdr:row>
      <xdr:rowOff>63500</xdr:rowOff>
    </xdr:from>
    <xdr:to>
      <xdr:col>20</xdr:col>
      <xdr:colOff>374650</xdr:colOff>
      <xdr:row>36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CD5161-6A3C-9F45-BF59-00CDE8D96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2.700770601848" createdVersion="6" refreshedVersion="6" minRefreshableVersion="3" recordCount="90" xr:uid="{FEF0E142-B5E6-814D-9FD1-8CCEFFF1CD5F}">
  <cacheSource type="worksheet">
    <worksheetSource ref="D1:O91" sheet="订阅收入"/>
  </cacheSource>
  <cacheFields count="12">
    <cacheField name="date" numFmtId="14">
      <sharedItems containsSemiMixedTypes="0" containsNonDate="0" containsDate="1" containsString="0" minDate="2025-04-03T00:00:00" maxDate="2025-04-18T00:00:00" count="15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</sharedItems>
    </cacheField>
    <cacheField name="platform" numFmtId="0">
      <sharedItems count="2">
        <s v="ANDROID"/>
        <s v="IOS"/>
      </sharedItems>
    </cacheField>
    <cacheField name="ab_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enter_abtest_uv" numFmtId="0">
      <sharedItems containsSemiMixedTypes="0" containsString="0" containsNumber="1" containsInteger="1" minValue="138" maxValue="13169"/>
    </cacheField>
    <cacheField name="sub_enter_uv" numFmtId="0">
      <sharedItems containsSemiMixedTypes="0" containsString="0" containsNumber="1" containsInteger="1" minValue="138" maxValue="9464"/>
    </cacheField>
    <cacheField name="sub_click_uv" numFmtId="0">
      <sharedItems containsSemiMixedTypes="0" containsString="0" containsNumber="1" containsInteger="1" minValue="28" maxValue="1943"/>
    </cacheField>
    <cacheField name="sub_success_uv" numFmtId="0">
      <sharedItems containsSemiMixedTypes="0" containsString="0" containsNumber="1" containsInteger="1" minValue="0" maxValue="893"/>
    </cacheField>
    <cacheField name="sub_success_to_paid_uv" numFmtId="0">
      <sharedItems containsSemiMixedTypes="0" containsString="0" containsNumber="1" containsInteger="1" minValue="0" maxValue="291"/>
    </cacheField>
    <cacheField name="sub_success_to_paid_gmv" numFmtId="0">
      <sharedItems containsSemiMixedTypes="0" containsString="0" containsNumber="1" minValue="0" maxValue="10712.06"/>
    </cacheField>
    <cacheField name="enter_uv" numFmtId="0">
      <sharedItems containsSemiMixedTypes="0" containsString="0" containsNumber="1" containsInteger="1" minValue="138" maxValue="13084"/>
    </cacheField>
    <cacheField name="enter_pv" numFmtId="0">
      <sharedItems containsSemiMixedTypes="0" containsString="0" containsNumber="1" containsInteger="1" minValue="476" maxValue="54965"/>
    </cacheField>
    <cacheField name="日均进入编辑器收入" numFmtId="0">
      <sharedItems containsSemiMixedTypes="0" containsString="0" containsNumber="1" minValue="0" maxValue="1.4275275013095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2.769381134261" createdVersion="6" refreshedVersion="6" minRefreshableVersion="3" recordCount="108" xr:uid="{4E8F68BA-4214-724C-B327-E2EC55DC10A1}">
  <cacheSource type="worksheet">
    <worksheetSource ref="B1:G109" sheet="广告收入"/>
  </cacheSource>
  <cacheFields count="6">
    <cacheField name="platform" numFmtId="0">
      <sharedItems/>
    </cacheField>
    <cacheField name="ab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event_date" numFmtId="14">
      <sharedItems containsSemiMixedTypes="0" containsNonDate="0" containsDate="1" containsString="0" minDate="2025-04-03T00:00:00" maxDate="2025-04-21T00:00:00" count="18">
        <d v="2025-04-13T00:00:00"/>
        <d v="2025-04-12T00:00:00"/>
        <d v="2025-04-05T00:00:00"/>
        <d v="2025-04-20T00:00:00"/>
        <d v="2025-04-16T00:00:00"/>
        <d v="2025-04-17T00:00:00"/>
        <d v="2025-04-03T00:00:00"/>
        <d v="2025-04-11T00:00:00"/>
        <d v="2025-04-18T00:00:00"/>
        <d v="2025-04-10T00:00:00"/>
        <d v="2025-04-14T00:00:00"/>
        <d v="2025-04-04T00:00:00"/>
        <d v="2025-04-08T00:00:00"/>
        <d v="2025-04-19T00:00:00"/>
        <d v="2025-04-07T00:00:00"/>
        <d v="2025-04-09T00:00:00"/>
        <d v="2025-04-06T00:00:00"/>
        <d v="2025-04-15T00:00:00"/>
      </sharedItems>
    </cacheField>
    <cacheField name="ads_bookings" numFmtId="0">
      <sharedItems containsSemiMixedTypes="0" containsString="0" containsNumber="1" minValue="0.24717500000000001" maxValue="136.05860200000001"/>
    </cacheField>
    <cacheField name="max_impression_pv" numFmtId="0">
      <sharedItems containsSemiMixedTypes="0" containsString="0" containsNumber="1" containsInteger="1" minValue="1370" maxValue="281901"/>
    </cacheField>
    <cacheField name="eCPM" numFmtId="0">
      <sharedItems containsSemiMixedTypes="0" containsString="0" containsNumber="1" minValue="6.4384999999999998E-2" maxValue="0.623068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5.620621412039" createdVersion="6" refreshedVersion="6" minRefreshableVersion="3" recordCount="108" xr:uid="{F6627E19-12E1-BC48-B2F5-6FE19CBD202F}">
  <cacheSource type="worksheet">
    <worksheetSource ref="C1:M109" sheet="订阅收入4.28"/>
  </cacheSource>
  <cacheFields count="11">
    <cacheField name="date" numFmtId="14">
      <sharedItems containsSemiMixedTypes="0" containsNonDate="0" containsDate="1" containsString="0" minDate="2025-04-03T00:00:00" maxDate="2025-04-21T00:00:00" count="18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</sharedItems>
    </cacheField>
    <cacheField name="platform" numFmtId="0">
      <sharedItems/>
    </cacheField>
    <cacheField name="ab_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enter_abtest_uv" numFmtId="0">
      <sharedItems containsSemiMixedTypes="0" containsString="0" containsNumber="1" containsInteger="1" minValue="138" maxValue="16146"/>
    </cacheField>
    <cacheField name="sub_enter_uv" numFmtId="0">
      <sharedItems containsSemiMixedTypes="0" containsString="0" containsNumber="1" containsInteger="1" minValue="138" maxValue="10110"/>
    </cacheField>
    <cacheField name="sub_click_uv" numFmtId="0">
      <sharedItems containsSemiMixedTypes="0" containsString="0" containsNumber="1" containsInteger="1" minValue="28" maxValue="2200"/>
    </cacheField>
    <cacheField name="sub_success_uv" numFmtId="0">
      <sharedItems containsSemiMixedTypes="0" containsString="0" containsNumber="1" containsInteger="1" minValue="0" maxValue="1138"/>
    </cacheField>
    <cacheField name="sub_success_to_paid_uv" numFmtId="0">
      <sharedItems containsSemiMixedTypes="0" containsString="0" containsNumber="1" containsInteger="1" minValue="0" maxValue="305"/>
    </cacheField>
    <cacheField name="sub_success_to_paid_gmv" numFmtId="0">
      <sharedItems containsSemiMixedTypes="0" containsString="0" containsNumber="1" minValue="0" maxValue="11034.3188022089" count="106">
        <n v="0"/>
        <n v="5373.2287342273503"/>
        <n v="3869.8605628027399"/>
        <n v="4402.44423964203"/>
        <n v="20.843417096728999"/>
        <n v="17.565368894285299"/>
        <n v="25.999884912621201"/>
        <n v="5691.3046911697802"/>
        <n v="4063.1916276834199"/>
        <n v="4210.7578655899197"/>
        <n v="155.018025148303"/>
        <n v="47.2116145951967"/>
        <n v="46.971025772399599"/>
        <n v="5287.1877037521799"/>
        <n v="5613.2461416749302"/>
        <n v="4241.0627280275003"/>
        <n v="218.58210166113199"/>
        <n v="27.5657683230835"/>
        <n v="95.845647259346805"/>
        <n v="8130.9976563730197"/>
        <n v="6349.9562922536998"/>
        <n v="6830.5523406590801"/>
        <n v="109.10494475107799"/>
        <n v="149.92032339048501"/>
        <n v="115.368806217041"/>
        <n v="8222.1219787098198"/>
        <n v="6377.6298579323202"/>
        <n v="5632.82340111956"/>
        <n v="138.36416709336501"/>
        <n v="81.576470313160996"/>
        <n v="207.511673109084"/>
        <n v="5188.6212655080899"/>
        <n v="5308.7544455673396"/>
        <n v="5158.8629067722904"/>
        <n v="270.00213073114799"/>
        <n v="144.988601792016"/>
        <n v="223.453299012006"/>
        <n v="5394.7294266691997"/>
        <n v="5056.2549775653997"/>
        <n v="4588.79837205692"/>
        <n v="226.276400485583"/>
        <n v="190.66338935650401"/>
        <n v="147.989834644517"/>
        <n v="5858.3078698536001"/>
        <n v="5146.8710247243798"/>
        <n v="5408.7485334985804"/>
        <n v="306.90208949793401"/>
        <n v="216.02798391791799"/>
        <n v="227.34648175585599"/>
        <n v="6303.9011862547804"/>
        <n v="4878.4909447670198"/>
        <n v="5255.0725897278098"/>
        <n v="301.15089036745701"/>
        <n v="79.433227941397803"/>
        <n v="280.32777008084798"/>
        <n v="6997.5249657603299"/>
        <n v="5796.5257138166799"/>
        <n v="4976.17332831968"/>
        <n v="398.36308891603301"/>
        <n v="241.87334205744099"/>
        <n v="330.96248389424602"/>
        <n v="9156.1174154279197"/>
        <n v="7457.2498090441104"/>
        <n v="8978.7726429037593"/>
        <n v="245.692884636114"/>
        <n v="284.024903303683"/>
        <n v="181.155148949861"/>
        <n v="10423.308085413701"/>
        <n v="7787.8032809379101"/>
        <n v="7680.8493677404404"/>
        <n v="358.67731481447498"/>
        <n v="172.21921912484001"/>
        <n v="153.48655878839301"/>
        <n v="8127.0664351787"/>
        <n v="5898.8250739536597"/>
        <n v="6230.62369424401"/>
        <n v="250.066102044535"/>
        <n v="204.88633530721401"/>
        <n v="151.44421816376101"/>
        <n v="7155.5245720698704"/>
        <n v="5697.6090685705503"/>
        <n v="4953.9419515080699"/>
        <n v="258.18073513371502"/>
        <n v="159.94009017439001"/>
        <n v="191.37326694261799"/>
        <n v="7046.5926718439196"/>
        <n v="5330.53619002092"/>
        <n v="6290.1363678505004"/>
        <n v="275.19750961400803"/>
        <n v="143.58217933510201"/>
        <n v="374.47224157130898"/>
        <n v="7350.1986641373096"/>
        <n v="6250.1335440495304"/>
        <n v="6797.0447959876101"/>
        <n v="251.78095841511899"/>
        <n v="239.07806034704799"/>
        <n v="332.475480801022"/>
        <n v="8636.1877512641804"/>
        <n v="7241.3780609146997"/>
        <n v="6023.2782224714501"/>
        <n v="269.28627143471601"/>
        <n v="180.19614805215801"/>
        <n v="271.44103366234299"/>
        <n v="11034.3188022089"/>
        <n v="8227.0434849335998"/>
        <n v="7294.0391793045701"/>
      </sharedItems>
    </cacheField>
    <cacheField name="enter_uv" numFmtId="0">
      <sharedItems containsSemiMixedTypes="0" containsString="0" containsNumber="1" containsInteger="1" minValue="138" maxValue="15964"/>
    </cacheField>
    <cacheField name="enter_pv" numFmtId="0">
      <sharedItems containsSemiMixedTypes="0" containsString="0" containsNumber="1" containsInteger="1" minValue="476" maxValue="64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n v="138"/>
    <n v="138"/>
    <n v="43"/>
    <n v="2"/>
    <n v="0"/>
    <n v="0"/>
    <n v="138"/>
    <n v="476"/>
    <n v="0"/>
  </r>
  <r>
    <x v="0"/>
    <x v="0"/>
    <x v="1"/>
    <n v="151"/>
    <n v="151"/>
    <n v="28"/>
    <n v="1"/>
    <n v="0"/>
    <n v="0"/>
    <n v="151"/>
    <n v="552"/>
    <n v="0"/>
  </r>
  <r>
    <x v="0"/>
    <x v="0"/>
    <x v="2"/>
    <n v="166"/>
    <n v="166"/>
    <n v="44"/>
    <n v="0"/>
    <n v="0"/>
    <n v="0"/>
    <n v="166"/>
    <n v="1327"/>
    <n v="0"/>
  </r>
  <r>
    <x v="0"/>
    <x v="1"/>
    <x v="3"/>
    <n v="3819"/>
    <n v="3644"/>
    <n v="987"/>
    <n v="485"/>
    <n v="144"/>
    <n v="5450.3"/>
    <n v="3818"/>
    <n v="13681"/>
    <n v="1.4275275013095863"/>
  </r>
  <r>
    <x v="0"/>
    <x v="1"/>
    <x v="4"/>
    <n v="3746"/>
    <n v="3547"/>
    <n v="667"/>
    <n v="372"/>
    <n v="91"/>
    <n v="3924.85"/>
    <n v="3746"/>
    <n v="14290"/>
    <n v="1.0477442605445808"/>
  </r>
  <r>
    <x v="0"/>
    <x v="1"/>
    <x v="5"/>
    <n v="3845"/>
    <n v="3684"/>
    <n v="748"/>
    <n v="369"/>
    <n v="105"/>
    <n v="4406.83"/>
    <n v="3843"/>
    <n v="14987"/>
    <n v="1.1467161072079104"/>
  </r>
  <r>
    <x v="1"/>
    <x v="0"/>
    <x v="0"/>
    <n v="975"/>
    <n v="964"/>
    <n v="274"/>
    <n v="20"/>
    <n v="3"/>
    <n v="20.8434171"/>
    <n v="973"/>
    <n v="3369"/>
    <n v="2.1421805858170606E-2"/>
  </r>
  <r>
    <x v="1"/>
    <x v="0"/>
    <x v="1"/>
    <n v="1035"/>
    <n v="1023"/>
    <n v="154"/>
    <n v="7"/>
    <n v="3"/>
    <n v="17.565368889999998"/>
    <n v="1033"/>
    <n v="3810"/>
    <n v="1.7004229322362049E-2"/>
  </r>
  <r>
    <x v="1"/>
    <x v="0"/>
    <x v="2"/>
    <n v="972"/>
    <n v="966"/>
    <n v="245"/>
    <n v="12"/>
    <n v="4"/>
    <n v="25.999884909999999"/>
    <n v="969"/>
    <n v="6600"/>
    <n v="2.6831666573787407E-2"/>
  </r>
  <r>
    <x v="1"/>
    <x v="1"/>
    <x v="3"/>
    <n v="4980"/>
    <n v="4366"/>
    <n v="1059"/>
    <n v="511"/>
    <n v="145"/>
    <n v="5675.48"/>
    <n v="4969"/>
    <n v="17866"/>
    <n v="1.1421775005031192"/>
  </r>
  <r>
    <x v="1"/>
    <x v="1"/>
    <x v="4"/>
    <n v="5014"/>
    <n v="4328"/>
    <n v="754"/>
    <n v="402"/>
    <n v="98"/>
    <n v="4123.37"/>
    <n v="5002"/>
    <n v="20211"/>
    <n v="0.82434426229508195"/>
  </r>
  <r>
    <x v="1"/>
    <x v="1"/>
    <x v="5"/>
    <n v="4944"/>
    <n v="4341"/>
    <n v="810"/>
    <n v="414"/>
    <n v="117"/>
    <n v="4223.75"/>
    <n v="4934"/>
    <n v="19568"/>
    <n v="0.85604985812728007"/>
  </r>
  <r>
    <x v="2"/>
    <x v="0"/>
    <x v="0"/>
    <n v="1555"/>
    <n v="1538"/>
    <n v="428"/>
    <n v="29"/>
    <n v="11"/>
    <n v="155.01802509999999"/>
    <n v="1531"/>
    <n v="5261"/>
    <n v="0.10125279235793598"/>
  </r>
  <r>
    <x v="2"/>
    <x v="0"/>
    <x v="1"/>
    <n v="1590"/>
    <n v="1560"/>
    <n v="224"/>
    <n v="6"/>
    <n v="2"/>
    <n v="47.211614599999997"/>
    <n v="1573"/>
    <n v="5523"/>
    <n v="3.0013741004450093E-2"/>
  </r>
  <r>
    <x v="2"/>
    <x v="0"/>
    <x v="2"/>
    <n v="1565"/>
    <n v="1547"/>
    <n v="344"/>
    <n v="21"/>
    <n v="8"/>
    <n v="39.229443619999998"/>
    <n v="1545"/>
    <n v="12824"/>
    <n v="2.5391225644012944E-2"/>
  </r>
  <r>
    <x v="2"/>
    <x v="1"/>
    <x v="3"/>
    <n v="5860"/>
    <n v="4969"/>
    <n v="1168"/>
    <n v="557"/>
    <n v="162"/>
    <n v="5617.13"/>
    <n v="5836"/>
    <n v="21390"/>
    <n v="0.96249657299520219"/>
  </r>
  <r>
    <x v="2"/>
    <x v="1"/>
    <x v="4"/>
    <n v="6111"/>
    <n v="5062"/>
    <n v="849"/>
    <n v="463"/>
    <n v="141"/>
    <n v="5516.48"/>
    <n v="6085"/>
    <n v="23603"/>
    <n v="0.90657025472473285"/>
  </r>
  <r>
    <x v="2"/>
    <x v="1"/>
    <x v="5"/>
    <n v="5795"/>
    <n v="4877"/>
    <n v="932"/>
    <n v="453"/>
    <n v="123"/>
    <n v="4323.54"/>
    <n v="5763"/>
    <n v="23174"/>
    <n v="0.75022384174908896"/>
  </r>
  <r>
    <x v="3"/>
    <x v="0"/>
    <x v="0"/>
    <n v="2133"/>
    <n v="2104"/>
    <n v="546"/>
    <n v="53"/>
    <n v="24"/>
    <n v="218.58210170000001"/>
    <n v="2101"/>
    <n v="7241"/>
    <n v="0.10403717358400762"/>
  </r>
  <r>
    <x v="3"/>
    <x v="0"/>
    <x v="1"/>
    <n v="2255"/>
    <n v="2209"/>
    <n v="296"/>
    <n v="11"/>
    <n v="5"/>
    <n v="50.05976004"/>
    <n v="2215"/>
    <n v="8333"/>
    <n v="2.2600343133182845E-2"/>
  </r>
  <r>
    <x v="3"/>
    <x v="0"/>
    <x v="2"/>
    <n v="2276"/>
    <n v="2232"/>
    <n v="468"/>
    <n v="20"/>
    <n v="7"/>
    <n v="95.845647260000007"/>
    <n v="2247"/>
    <n v="18592"/>
    <n v="4.2654938700489545E-2"/>
  </r>
  <r>
    <x v="3"/>
    <x v="1"/>
    <x v="3"/>
    <n v="7927"/>
    <n v="6491"/>
    <n v="1589"/>
    <n v="752"/>
    <n v="222"/>
    <n v="8684.75"/>
    <n v="7873"/>
    <n v="31569"/>
    <n v="1.1031055506160294"/>
  </r>
  <r>
    <x v="3"/>
    <x v="1"/>
    <x v="4"/>
    <n v="8087"/>
    <n v="6454"/>
    <n v="1108"/>
    <n v="588"/>
    <n v="154"/>
    <n v="6887.03"/>
    <n v="8047"/>
    <n v="32213"/>
    <n v="0.85585062756306696"/>
  </r>
  <r>
    <x v="3"/>
    <x v="1"/>
    <x v="5"/>
    <n v="7902"/>
    <n v="6485"/>
    <n v="1238"/>
    <n v="632"/>
    <n v="184"/>
    <n v="7428.73"/>
    <n v="7851"/>
    <n v="31709"/>
    <n v="0.94621449496879373"/>
  </r>
  <r>
    <x v="4"/>
    <x v="0"/>
    <x v="0"/>
    <n v="3484"/>
    <n v="3435"/>
    <n v="873"/>
    <n v="48"/>
    <n v="11"/>
    <n v="109.1049448"/>
    <n v="3427"/>
    <n v="11947"/>
    <n v="3.1836867464254452E-2"/>
  </r>
  <r>
    <x v="4"/>
    <x v="0"/>
    <x v="1"/>
    <n v="3715"/>
    <n v="3637"/>
    <n v="524"/>
    <n v="42"/>
    <n v="20"/>
    <n v="142.26256380000001"/>
    <n v="3652"/>
    <n v="15684"/>
    <n v="3.8954699835706465E-2"/>
  </r>
  <r>
    <x v="4"/>
    <x v="0"/>
    <x v="2"/>
    <n v="3577"/>
    <n v="3504"/>
    <n v="713"/>
    <n v="41"/>
    <n v="15"/>
    <n v="132.81986040000001"/>
    <n v="3528"/>
    <n v="25021"/>
    <n v="3.7647352721088441E-2"/>
  </r>
  <r>
    <x v="4"/>
    <x v="1"/>
    <x v="3"/>
    <n v="8399"/>
    <n v="6666"/>
    <n v="1519"/>
    <n v="723"/>
    <n v="228"/>
    <n v="8428.26"/>
    <n v="8352"/>
    <n v="33795"/>
    <n v="1.0091307471264368"/>
  </r>
  <r>
    <x v="4"/>
    <x v="1"/>
    <x v="4"/>
    <n v="8623"/>
    <n v="6742"/>
    <n v="1123"/>
    <n v="611"/>
    <n v="161"/>
    <n v="6361.81"/>
    <n v="8575"/>
    <n v="35365"/>
    <n v="0.7419020408163266"/>
  </r>
  <r>
    <x v="4"/>
    <x v="1"/>
    <x v="5"/>
    <n v="8493"/>
    <n v="6779"/>
    <n v="1238"/>
    <n v="640"/>
    <n v="162"/>
    <n v="5900.6"/>
    <n v="8448"/>
    <n v="34920"/>
    <n v="0.69846117424242427"/>
  </r>
  <r>
    <x v="5"/>
    <x v="0"/>
    <x v="0"/>
    <n v="4514"/>
    <n v="4424"/>
    <n v="1126"/>
    <n v="75"/>
    <n v="20"/>
    <n v="110.23416709999999"/>
    <n v="4426"/>
    <n v="15171"/>
    <n v="2.4906047695436057E-2"/>
  </r>
  <r>
    <x v="5"/>
    <x v="0"/>
    <x v="1"/>
    <n v="4697"/>
    <n v="4570"/>
    <n v="635"/>
    <n v="39"/>
    <n v="15"/>
    <n v="164.68185769999999"/>
    <n v="4588"/>
    <n v="17943"/>
    <n v="3.5894040475152572E-2"/>
  </r>
  <r>
    <x v="5"/>
    <x v="0"/>
    <x v="2"/>
    <n v="4559"/>
    <n v="4473"/>
    <n v="893"/>
    <n v="56"/>
    <n v="24"/>
    <n v="227.7903493"/>
    <n v="4478"/>
    <n v="16578"/>
    <n v="5.0868769383653416E-2"/>
  </r>
  <r>
    <x v="5"/>
    <x v="1"/>
    <x v="3"/>
    <n v="7147"/>
    <n v="5383"/>
    <n v="1139"/>
    <n v="536"/>
    <n v="148"/>
    <n v="5564.74"/>
    <n v="7081"/>
    <n v="26840"/>
    <n v="0.78586922751023869"/>
  </r>
  <r>
    <x v="5"/>
    <x v="1"/>
    <x v="4"/>
    <n v="7669"/>
    <n v="5717"/>
    <n v="935"/>
    <n v="508"/>
    <n v="146"/>
    <n v="5494.49"/>
    <n v="7602"/>
    <n v="31950"/>
    <n v="0.7227690081557484"/>
  </r>
  <r>
    <x v="5"/>
    <x v="1"/>
    <x v="5"/>
    <n v="7511"/>
    <n v="5746"/>
    <n v="1070"/>
    <n v="536"/>
    <n v="139"/>
    <n v="6746.94"/>
    <n v="7430"/>
    <n v="29760"/>
    <n v="0.90806729475100934"/>
  </r>
  <r>
    <x v="6"/>
    <x v="0"/>
    <x v="0"/>
    <n v="4677"/>
    <n v="4556"/>
    <n v="1091"/>
    <n v="81"/>
    <n v="32"/>
    <n v="291.58172359999998"/>
    <n v="4541"/>
    <n v="16146"/>
    <n v="6.4210905879762165E-2"/>
  </r>
  <r>
    <x v="6"/>
    <x v="0"/>
    <x v="1"/>
    <n v="4826"/>
    <n v="4672"/>
    <n v="676"/>
    <n v="40"/>
    <n v="18"/>
    <n v="287.88199109999999"/>
    <n v="4670"/>
    <n v="18525"/>
    <n v="6.1644965974304064E-2"/>
  </r>
  <r>
    <x v="6"/>
    <x v="0"/>
    <x v="2"/>
    <n v="4673"/>
    <n v="4547"/>
    <n v="897"/>
    <n v="67"/>
    <n v="23"/>
    <n v="223.45329899999999"/>
    <n v="4521"/>
    <n v="17945"/>
    <n v="4.9425635700066355E-2"/>
  </r>
  <r>
    <x v="6"/>
    <x v="1"/>
    <x v="3"/>
    <n v="6849"/>
    <n v="4967"/>
    <n v="1173"/>
    <n v="530"/>
    <n v="154"/>
    <n v="5543.88"/>
    <n v="6788"/>
    <n v="26488"/>
    <n v="0.81671773718326457"/>
  </r>
  <r>
    <x v="6"/>
    <x v="1"/>
    <x v="4"/>
    <n v="7371"/>
    <n v="5228"/>
    <n v="895"/>
    <n v="472"/>
    <n v="131"/>
    <n v="5894.13"/>
    <n v="7305"/>
    <n v="30164"/>
    <n v="0.80686242299794664"/>
  </r>
  <r>
    <x v="6"/>
    <x v="1"/>
    <x v="5"/>
    <n v="7128"/>
    <n v="5237"/>
    <n v="1038"/>
    <n v="511"/>
    <n v="128"/>
    <n v="5466.64"/>
    <n v="7072"/>
    <n v="27564"/>
    <n v="0.77299773755656109"/>
  </r>
  <r>
    <x v="7"/>
    <x v="0"/>
    <x v="0"/>
    <n v="5221"/>
    <n v="5063"/>
    <n v="1215"/>
    <n v="79"/>
    <n v="27"/>
    <n v="280.24640049999999"/>
    <n v="5040"/>
    <n v="18979"/>
    <n v="5.5604444543650794E-2"/>
  </r>
  <r>
    <x v="7"/>
    <x v="0"/>
    <x v="1"/>
    <n v="5323"/>
    <n v="5139"/>
    <n v="692"/>
    <n v="55"/>
    <n v="28"/>
    <n v="217.89499169999999"/>
    <n v="5137"/>
    <n v="20418"/>
    <n v="4.2416778606190385E-2"/>
  </r>
  <r>
    <x v="7"/>
    <x v="0"/>
    <x v="2"/>
    <n v="5360"/>
    <n v="5204"/>
    <n v="955"/>
    <n v="58"/>
    <n v="20"/>
    <n v="147.98983459999999"/>
    <n v="5158"/>
    <n v="19202"/>
    <n v="2.8691321170996511E-2"/>
  </r>
  <r>
    <x v="7"/>
    <x v="1"/>
    <x v="3"/>
    <n v="7710"/>
    <n v="5508"/>
    <n v="1218"/>
    <n v="569"/>
    <n v="167"/>
    <n v="6121.4"/>
    <n v="7638"/>
    <n v="28859"/>
    <n v="0.80144016758313685"/>
  </r>
  <r>
    <x v="7"/>
    <x v="1"/>
    <x v="4"/>
    <n v="8033"/>
    <n v="5597"/>
    <n v="883"/>
    <n v="452"/>
    <n v="141"/>
    <n v="5177.6499999999996"/>
    <n v="7942"/>
    <n v="29880"/>
    <n v="0.65193276252833032"/>
  </r>
  <r>
    <x v="7"/>
    <x v="1"/>
    <x v="5"/>
    <n v="7863"/>
    <n v="5740"/>
    <n v="1047"/>
    <n v="490"/>
    <n v="149"/>
    <n v="5353.76"/>
    <n v="7764"/>
    <n v="29635"/>
    <n v="0.68956208140133957"/>
  </r>
  <r>
    <x v="8"/>
    <x v="0"/>
    <x v="0"/>
    <n v="5262"/>
    <n v="5099"/>
    <n v="1163"/>
    <n v="93"/>
    <n v="33"/>
    <n v="306.90208949999999"/>
    <n v="5066"/>
    <n v="19573"/>
    <n v="6.0580751973943935E-2"/>
  </r>
  <r>
    <x v="8"/>
    <x v="0"/>
    <x v="1"/>
    <n v="5329"/>
    <n v="5135"/>
    <n v="691"/>
    <n v="48"/>
    <n v="25"/>
    <n v="309.51074640000002"/>
    <n v="5097"/>
    <n v="21789"/>
    <n v="6.0724101706886406E-2"/>
  </r>
  <r>
    <x v="8"/>
    <x v="0"/>
    <x v="2"/>
    <n v="5287"/>
    <n v="5128"/>
    <n v="961"/>
    <n v="61"/>
    <n v="26"/>
    <n v="255.36086689999999"/>
    <n v="5056"/>
    <n v="20713"/>
    <n v="5.0506500573575946E-2"/>
  </r>
  <r>
    <x v="8"/>
    <x v="1"/>
    <x v="3"/>
    <n v="8638"/>
    <n v="6164"/>
    <n v="1276"/>
    <n v="585"/>
    <n v="181"/>
    <n v="6624.59"/>
    <n v="8525"/>
    <n v="31954"/>
    <n v="0.77707800586510267"/>
  </r>
  <r>
    <x v="8"/>
    <x v="1"/>
    <x v="4"/>
    <n v="8915"/>
    <n v="6256"/>
    <n v="1012"/>
    <n v="469"/>
    <n v="151"/>
    <n v="4897.93"/>
    <n v="8796"/>
    <n v="34888"/>
    <n v="0.55683606184629375"/>
  </r>
  <r>
    <x v="8"/>
    <x v="1"/>
    <x v="5"/>
    <n v="8899"/>
    <n v="6427"/>
    <n v="1111"/>
    <n v="524"/>
    <n v="157"/>
    <n v="5344.1"/>
    <n v="8777"/>
    <n v="34434"/>
    <n v="0.60887546997835251"/>
  </r>
  <r>
    <x v="9"/>
    <x v="0"/>
    <x v="0"/>
    <n v="5080"/>
    <n v="4879"/>
    <n v="1022"/>
    <n v="85"/>
    <n v="31"/>
    <n v="291.03171730000003"/>
    <n v="4878"/>
    <n v="19369"/>
    <n v="5.9662098667486681E-2"/>
  </r>
  <r>
    <x v="9"/>
    <x v="0"/>
    <x v="1"/>
    <n v="5428"/>
    <n v="5209"/>
    <n v="701"/>
    <n v="31"/>
    <n v="10"/>
    <n v="85.226747520000004"/>
    <n v="5163"/>
    <n v="21461"/>
    <n v="1.6507214317257411E-2"/>
  </r>
  <r>
    <x v="9"/>
    <x v="0"/>
    <x v="2"/>
    <n v="5204"/>
    <n v="5030"/>
    <n v="940"/>
    <n v="57"/>
    <n v="25"/>
    <n v="287.38222089999999"/>
    <n v="4959"/>
    <n v="20789"/>
    <n v="5.7951647691066747E-2"/>
  </r>
  <r>
    <x v="9"/>
    <x v="1"/>
    <x v="3"/>
    <n v="9698"/>
    <n v="6784"/>
    <n v="1310"/>
    <n v="600"/>
    <n v="208"/>
    <n v="6940.32"/>
    <n v="9626"/>
    <n v="36206"/>
    <n v="0.72099729898192388"/>
  </r>
  <r>
    <x v="9"/>
    <x v="1"/>
    <x v="4"/>
    <n v="10226"/>
    <n v="7049"/>
    <n v="1026"/>
    <n v="498"/>
    <n v="165"/>
    <n v="6191.99"/>
    <n v="10139"/>
    <n v="40039"/>
    <n v="0.61071012920406353"/>
  </r>
  <r>
    <x v="9"/>
    <x v="1"/>
    <x v="5"/>
    <n v="9844"/>
    <n v="6951"/>
    <n v="1150"/>
    <n v="476"/>
    <n v="141"/>
    <n v="4864.3999999999996"/>
    <n v="9758"/>
    <n v="38033"/>
    <n v="0.49850379176060666"/>
  </r>
  <r>
    <x v="10"/>
    <x v="0"/>
    <x v="0"/>
    <n v="6112"/>
    <n v="5872"/>
    <n v="1267"/>
    <n v="113"/>
    <n v="37"/>
    <n v="398.36308889999998"/>
    <n v="5871"/>
    <n v="23495"/>
    <n v="6.7852680786918751E-2"/>
  </r>
  <r>
    <x v="10"/>
    <x v="0"/>
    <x v="1"/>
    <n v="6234"/>
    <n v="5970"/>
    <n v="843"/>
    <n v="49"/>
    <n v="25"/>
    <n v="272.26048550000002"/>
    <n v="5955"/>
    <n v="25096"/>
    <n v="4.57196449202351E-2"/>
  </r>
  <r>
    <x v="10"/>
    <x v="0"/>
    <x v="2"/>
    <n v="6307"/>
    <n v="6102"/>
    <n v="1067"/>
    <n v="74"/>
    <n v="32"/>
    <n v="353.95759199999998"/>
    <n v="6015"/>
    <n v="25160"/>
    <n v="5.8845817456359098E-2"/>
  </r>
  <r>
    <x v="10"/>
    <x v="1"/>
    <x v="3"/>
    <n v="12540"/>
    <n v="8882"/>
    <n v="1792"/>
    <n v="869"/>
    <n v="287"/>
    <n v="9280.9"/>
    <n v="12467"/>
    <n v="49084"/>
    <n v="0.74443731451030715"/>
  </r>
  <r>
    <x v="10"/>
    <x v="1"/>
    <x v="4"/>
    <n v="13032"/>
    <n v="9046"/>
    <n v="1420"/>
    <n v="708"/>
    <n v="220"/>
    <n v="7524.34"/>
    <n v="12944"/>
    <n v="53184"/>
    <n v="0.58129944375772558"/>
  </r>
  <r>
    <x v="10"/>
    <x v="1"/>
    <x v="5"/>
    <n v="13169"/>
    <n v="9464"/>
    <n v="1603"/>
    <n v="751"/>
    <n v="240"/>
    <n v="9164.26"/>
    <n v="13084"/>
    <n v="54593"/>
    <n v="0.70041730357688781"/>
  </r>
  <r>
    <x v="11"/>
    <x v="0"/>
    <x v="0"/>
    <n v="6245"/>
    <n v="5991"/>
    <n v="1280"/>
    <n v="90"/>
    <n v="33"/>
    <n v="253.8577597"/>
    <n v="5924"/>
    <n v="25356"/>
    <n v="4.2852423987170832E-2"/>
  </r>
  <r>
    <x v="11"/>
    <x v="0"/>
    <x v="1"/>
    <n v="6703"/>
    <n v="6432"/>
    <n v="899"/>
    <n v="61"/>
    <n v="37"/>
    <n v="358.81318199999998"/>
    <n v="6362"/>
    <n v="27856"/>
    <n v="5.6399431310908514E-2"/>
  </r>
  <r>
    <x v="11"/>
    <x v="0"/>
    <x v="2"/>
    <n v="6514"/>
    <n v="6245"/>
    <n v="1123"/>
    <n v="54"/>
    <n v="25"/>
    <n v="181.1551489"/>
    <n v="6182"/>
    <n v="25906"/>
    <n v="2.9303647508896798E-2"/>
  </r>
  <r>
    <x v="11"/>
    <x v="1"/>
    <x v="3"/>
    <n v="12649"/>
    <n v="8871"/>
    <n v="1943"/>
    <n v="893"/>
    <n v="291"/>
    <n v="10712.06"/>
    <n v="12504"/>
    <n v="50096"/>
    <n v="0.85669065898912344"/>
  </r>
  <r>
    <x v="11"/>
    <x v="1"/>
    <x v="4"/>
    <n v="13126"/>
    <n v="8824"/>
    <n v="1395"/>
    <n v="655"/>
    <n v="205"/>
    <n v="8019.07"/>
    <n v="12988"/>
    <n v="54965"/>
    <n v="0.61742146596858638"/>
  </r>
  <r>
    <x v="11"/>
    <x v="1"/>
    <x v="5"/>
    <n v="12920"/>
    <n v="9031"/>
    <n v="1593"/>
    <n v="697"/>
    <n v="215"/>
    <n v="7902.42"/>
    <n v="12764"/>
    <n v="52802"/>
    <n v="0.61911783140081478"/>
  </r>
  <r>
    <x v="12"/>
    <x v="0"/>
    <x v="0"/>
    <n v="5618"/>
    <n v="5355"/>
    <n v="1135"/>
    <n v="100"/>
    <n v="38"/>
    <n v="364.47201960000001"/>
    <n v="5291"/>
    <n v="23798"/>
    <n v="6.8885280589680589E-2"/>
  </r>
  <r>
    <x v="12"/>
    <x v="0"/>
    <x v="1"/>
    <n v="5945"/>
    <n v="5665"/>
    <n v="763"/>
    <n v="53"/>
    <n v="22"/>
    <n v="221.27339449999999"/>
    <n v="5587"/>
    <n v="24125"/>
    <n v="3.9605046447109361E-2"/>
  </r>
  <r>
    <x v="12"/>
    <x v="0"/>
    <x v="2"/>
    <n v="5735"/>
    <n v="5472"/>
    <n v="987"/>
    <n v="71"/>
    <n v="22"/>
    <n v="183.23060810000001"/>
    <n v="5415"/>
    <n v="23883"/>
    <n v="3.3837600757156049E-2"/>
  </r>
  <r>
    <x v="12"/>
    <x v="1"/>
    <x v="3"/>
    <n v="10540"/>
    <n v="6997"/>
    <n v="1468"/>
    <n v="672"/>
    <n v="208"/>
    <n v="8098.9"/>
    <n v="10453"/>
    <n v="39902"/>
    <n v="0.77479192576293887"/>
  </r>
  <r>
    <x v="12"/>
    <x v="1"/>
    <x v="4"/>
    <n v="11172"/>
    <n v="7238"/>
    <n v="1160"/>
    <n v="509"/>
    <n v="160"/>
    <n v="6397.72"/>
    <n v="11069"/>
    <n v="44164"/>
    <n v="0.57798536453157467"/>
  </r>
  <r>
    <x v="12"/>
    <x v="1"/>
    <x v="5"/>
    <n v="10753"/>
    <n v="7163"/>
    <n v="1322"/>
    <n v="567"/>
    <n v="172"/>
    <n v="6516.05"/>
    <n v="10660"/>
    <n v="43142"/>
    <n v="0.61126172607879925"/>
  </r>
  <r>
    <x v="13"/>
    <x v="0"/>
    <x v="0"/>
    <n v="5456"/>
    <n v="5182"/>
    <n v="1028"/>
    <n v="79"/>
    <n v="25"/>
    <n v="242.40834240000001"/>
    <n v="5146"/>
    <n v="22351"/>
    <n v="4.7106168363777692E-2"/>
  </r>
  <r>
    <x v="13"/>
    <x v="0"/>
    <x v="1"/>
    <n v="5920"/>
    <n v="5632"/>
    <n v="782"/>
    <n v="45"/>
    <n v="24"/>
    <n v="261.29055290000002"/>
    <n v="5546"/>
    <n v="24458"/>
    <n v="4.7113334457266502E-2"/>
  </r>
  <r>
    <x v="13"/>
    <x v="0"/>
    <x v="2"/>
    <n v="5551"/>
    <n v="5307"/>
    <n v="932"/>
    <n v="54"/>
    <n v="19"/>
    <n v="242.33252859999999"/>
    <n v="5199"/>
    <n v="24349"/>
    <n v="4.6611373071744566E-2"/>
  </r>
  <r>
    <x v="13"/>
    <x v="1"/>
    <x v="3"/>
    <n v="10174"/>
    <n v="6626"/>
    <n v="1534"/>
    <n v="666"/>
    <n v="203"/>
    <n v="7498.79"/>
    <n v="10078"/>
    <n v="39854"/>
    <n v="0.74407521333597937"/>
  </r>
  <r>
    <x v="13"/>
    <x v="1"/>
    <x v="4"/>
    <n v="10643"/>
    <n v="6671"/>
    <n v="1071"/>
    <n v="492"/>
    <n v="159"/>
    <n v="5871.13"/>
    <n v="10556"/>
    <n v="42201"/>
    <n v="0.55618889730958698"/>
  </r>
  <r>
    <x v="13"/>
    <x v="1"/>
    <x v="5"/>
    <n v="10480"/>
    <n v="6890"/>
    <n v="1190"/>
    <n v="499"/>
    <n v="141"/>
    <n v="4907.3599999999997"/>
    <n v="10386"/>
    <n v="41589"/>
    <n v="0.47249759291353743"/>
  </r>
  <r>
    <x v="14"/>
    <x v="0"/>
    <x v="0"/>
    <n v="5887"/>
    <n v="5585"/>
    <n v="1160"/>
    <n v="83"/>
    <n v="33"/>
    <n v="283.21806199999997"/>
    <n v="5577"/>
    <n v="23225"/>
    <n v="5.0783227900304817E-2"/>
  </r>
  <r>
    <x v="14"/>
    <x v="0"/>
    <x v="1"/>
    <n v="6253"/>
    <n v="5931"/>
    <n v="780"/>
    <n v="46"/>
    <n v="20"/>
    <n v="159.7525503"/>
    <n v="5866"/>
    <n v="26535"/>
    <n v="2.7233643078758949E-2"/>
  </r>
  <r>
    <x v="14"/>
    <x v="0"/>
    <x v="2"/>
    <n v="6016"/>
    <n v="5744"/>
    <n v="947"/>
    <n v="69"/>
    <n v="21"/>
    <n v="147.02828969999999"/>
    <n v="5652"/>
    <n v="24417"/>
    <n v="2.6013497823779191E-2"/>
  </r>
  <r>
    <x v="14"/>
    <x v="1"/>
    <x v="3"/>
    <n v="10518"/>
    <n v="6658"/>
    <n v="1373"/>
    <n v="605"/>
    <n v="209"/>
    <n v="7774.93"/>
    <n v="10437"/>
    <n v="43633"/>
    <n v="0.74493915876209638"/>
  </r>
  <r>
    <x v="14"/>
    <x v="1"/>
    <x v="4"/>
    <n v="10852"/>
    <n v="6672"/>
    <n v="1103"/>
    <n v="508"/>
    <n v="153"/>
    <n v="5276.19"/>
    <n v="10781"/>
    <n v="44642"/>
    <n v="0.48939708746869487"/>
  </r>
  <r>
    <x v="14"/>
    <x v="1"/>
    <x v="5"/>
    <n v="10739"/>
    <n v="6889"/>
    <n v="1188"/>
    <n v="527"/>
    <n v="167"/>
    <n v="6670.7"/>
    <n v="10665"/>
    <n v="41988"/>
    <n v="0.62547585560243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ANDROID"/>
    <x v="0"/>
    <x v="0"/>
    <n v="26.309021999999999"/>
    <n v="182021"/>
    <n v="0.144538"/>
  </r>
  <r>
    <s v="ANDROID"/>
    <x v="0"/>
    <x v="1"/>
    <n v="23.859189000000001"/>
    <n v="145929"/>
    <n v="0.16349900000000001"/>
  </r>
  <r>
    <s v="ANDROID"/>
    <x v="0"/>
    <x v="2"/>
    <n v="4.4943609999999996"/>
    <n v="47446"/>
    <n v="9.4726000000000005E-2"/>
  </r>
  <r>
    <s v="ANDROID"/>
    <x v="0"/>
    <x v="3"/>
    <n v="28.736927999999999"/>
    <n v="239790"/>
    <n v="0.119842"/>
  </r>
  <r>
    <s v="ANDROID"/>
    <x v="0"/>
    <x v="4"/>
    <n v="22.254390999999998"/>
    <n v="171275"/>
    <n v="0.12993399999999999"/>
  </r>
  <r>
    <s v="ANDROID"/>
    <x v="0"/>
    <x v="5"/>
    <n v="19.471549"/>
    <n v="179514"/>
    <n v="0.10846799999999999"/>
  </r>
  <r>
    <s v="ANDROID"/>
    <x v="0"/>
    <x v="6"/>
    <n v="0.24717500000000001"/>
    <n v="3839"/>
    <n v="6.4384999999999998E-2"/>
  </r>
  <r>
    <s v="ANDROID"/>
    <x v="0"/>
    <x v="7"/>
    <n v="19.810310999999999"/>
    <n v="156186"/>
    <n v="0.12683800000000001"/>
  </r>
  <r>
    <s v="ANDROID"/>
    <x v="0"/>
    <x v="8"/>
    <n v="20.708539999999999"/>
    <n v="179905"/>
    <n v="0.115108"/>
  </r>
  <r>
    <s v="ANDROID"/>
    <x v="0"/>
    <x v="9"/>
    <n v="18.793115"/>
    <n v="163014"/>
    <n v="0.115285"/>
  </r>
  <r>
    <s v="ANDROID"/>
    <x v="0"/>
    <x v="10"/>
    <n v="28.387494"/>
    <n v="188604"/>
    <n v="0.15051400000000001"/>
  </r>
  <r>
    <s v="ANDROID"/>
    <x v="0"/>
    <x v="11"/>
    <n v="2.3184619999999998"/>
    <n v="28224"/>
    <n v="8.2144999999999996E-2"/>
  </r>
  <r>
    <s v="ANDROID"/>
    <x v="0"/>
    <x v="12"/>
    <n v="15.134511"/>
    <n v="151476"/>
    <n v="9.9914000000000003E-2"/>
  </r>
  <r>
    <s v="ANDROID"/>
    <x v="0"/>
    <x v="13"/>
    <n v="27.478953000000001"/>
    <n v="220444"/>
    <n v="0.124653"/>
  </r>
  <r>
    <s v="ANDROID"/>
    <x v="0"/>
    <x v="14"/>
    <n v="12.126794"/>
    <n v="114223"/>
    <n v="0.106168"/>
  </r>
  <r>
    <s v="ANDROID"/>
    <x v="0"/>
    <x v="15"/>
    <n v="18.852551999999999"/>
    <n v="149156"/>
    <n v="0.12639500000000001"/>
  </r>
  <r>
    <s v="ANDROID"/>
    <x v="0"/>
    <x v="16"/>
    <n v="7.2050260000000002"/>
    <n v="66196"/>
    <n v="0.108844"/>
  </r>
  <r>
    <s v="ANDROID"/>
    <x v="0"/>
    <x v="17"/>
    <n v="21.603071"/>
    <n v="166896"/>
    <n v="0.12944"/>
  </r>
  <r>
    <s v="ANDROID"/>
    <x v="1"/>
    <x v="14"/>
    <n v="7.4859879999999999"/>
    <n v="41466"/>
    <n v="0.180533"/>
  </r>
  <r>
    <s v="ANDROID"/>
    <x v="1"/>
    <x v="4"/>
    <n v="17.789268"/>
    <n v="91946"/>
    <n v="0.19347500000000001"/>
  </r>
  <r>
    <s v="ANDROID"/>
    <x v="1"/>
    <x v="2"/>
    <n v="1.7626329999999999"/>
    <n v="15652"/>
    <n v="0.11261400000000001"/>
  </r>
  <r>
    <s v="ANDROID"/>
    <x v="1"/>
    <x v="8"/>
    <n v="15.510014999999999"/>
    <n v="98812"/>
    <n v="0.15696499999999999"/>
  </r>
  <r>
    <s v="ANDROID"/>
    <x v="1"/>
    <x v="13"/>
    <n v="15.9846"/>
    <n v="97932"/>
    <n v="0.163221"/>
  </r>
  <r>
    <s v="ANDROID"/>
    <x v="1"/>
    <x v="5"/>
    <n v="14.026348"/>
    <n v="90558"/>
    <n v="0.154888"/>
  </r>
  <r>
    <s v="ANDROID"/>
    <x v="1"/>
    <x v="3"/>
    <n v="18.130642000000002"/>
    <n v="116192"/>
    <n v="0.15604000000000001"/>
  </r>
  <r>
    <s v="ANDROID"/>
    <x v="1"/>
    <x v="0"/>
    <n v="17.486823000000001"/>
    <n v="82445"/>
    <n v="0.21210300000000001"/>
  </r>
  <r>
    <s v="ANDROID"/>
    <x v="1"/>
    <x v="17"/>
    <n v="15.242993999999999"/>
    <n v="85588"/>
    <n v="0.17809700000000001"/>
  </r>
  <r>
    <s v="ANDROID"/>
    <x v="1"/>
    <x v="9"/>
    <n v="11.32324"/>
    <n v="63558"/>
    <n v="0.17815600000000001"/>
  </r>
  <r>
    <s v="ANDROID"/>
    <x v="1"/>
    <x v="6"/>
    <n v="0.51476900000000003"/>
    <n v="1370"/>
    <n v="0.37574400000000002"/>
  </r>
  <r>
    <s v="ANDROID"/>
    <x v="1"/>
    <x v="15"/>
    <n v="9.7037969999999998"/>
    <n v="55427"/>
    <n v="0.17507300000000001"/>
  </r>
  <r>
    <s v="ANDROID"/>
    <x v="1"/>
    <x v="12"/>
    <n v="8.5252370000000006"/>
    <n v="51077"/>
    <n v="0.16691"/>
  </r>
  <r>
    <s v="ANDROID"/>
    <x v="1"/>
    <x v="1"/>
    <n v="12.487258000000001"/>
    <n v="69821"/>
    <n v="0.17884700000000001"/>
  </r>
  <r>
    <s v="ANDROID"/>
    <x v="1"/>
    <x v="10"/>
    <n v="17.721533000000001"/>
    <n v="94993"/>
    <n v="0.186556"/>
  </r>
  <r>
    <s v="ANDROID"/>
    <x v="1"/>
    <x v="16"/>
    <n v="3.5511379999999999"/>
    <n v="21850"/>
    <n v="0.162523"/>
  </r>
  <r>
    <s v="ANDROID"/>
    <x v="1"/>
    <x v="11"/>
    <n v="0.90337199999999995"/>
    <n v="8391"/>
    <n v="0.10766000000000001"/>
  </r>
  <r>
    <s v="ANDROID"/>
    <x v="1"/>
    <x v="7"/>
    <n v="10.815092"/>
    <n v="67364"/>
    <n v="0.160547"/>
  </r>
  <r>
    <s v="ANDROID"/>
    <x v="2"/>
    <x v="3"/>
    <n v="26.288062"/>
    <n v="197564"/>
    <n v="0.13306100000000001"/>
  </r>
  <r>
    <s v="ANDROID"/>
    <x v="2"/>
    <x v="5"/>
    <n v="20.594314000000001"/>
    <n v="153830"/>
    <n v="0.133877"/>
  </r>
  <r>
    <s v="ANDROID"/>
    <x v="2"/>
    <x v="6"/>
    <n v="1.3158939999999999"/>
    <n v="5457"/>
    <n v="0.24113899999999999"/>
  </r>
  <r>
    <s v="ANDROID"/>
    <x v="2"/>
    <x v="0"/>
    <n v="21.378784"/>
    <n v="151280"/>
    <n v="0.141319"/>
  </r>
  <r>
    <s v="ANDROID"/>
    <x v="2"/>
    <x v="14"/>
    <n v="8.670693"/>
    <n v="91826"/>
    <n v="9.4424999999999995E-2"/>
  </r>
  <r>
    <s v="ANDROID"/>
    <x v="2"/>
    <x v="17"/>
    <n v="20.050840000000001"/>
    <n v="135877"/>
    <n v="0.147566"/>
  </r>
  <r>
    <s v="ANDROID"/>
    <x v="2"/>
    <x v="15"/>
    <n v="15.914393"/>
    <n v="112600"/>
    <n v="0.14133599999999999"/>
  </r>
  <r>
    <s v="ANDROID"/>
    <x v="2"/>
    <x v="12"/>
    <n v="14.377385"/>
    <n v="119527"/>
    <n v="0.120286"/>
  </r>
  <r>
    <s v="ANDROID"/>
    <x v="2"/>
    <x v="8"/>
    <n v="20.717357"/>
    <n v="157074"/>
    <n v="0.13189600000000001"/>
  </r>
  <r>
    <s v="ANDROID"/>
    <x v="2"/>
    <x v="2"/>
    <n v="9.1766190000000005"/>
    <n v="45843"/>
    <n v="0.20017499999999999"/>
  </r>
  <r>
    <s v="ANDROID"/>
    <x v="2"/>
    <x v="7"/>
    <n v="17.664477999999999"/>
    <n v="122556"/>
    <n v="0.14413400000000001"/>
  </r>
  <r>
    <s v="ANDROID"/>
    <x v="2"/>
    <x v="4"/>
    <n v="18.481843000000001"/>
    <n v="147053"/>
    <n v="0.12568199999999999"/>
  </r>
  <r>
    <s v="ANDROID"/>
    <x v="2"/>
    <x v="11"/>
    <n v="6.2545809999999999"/>
    <n v="31270"/>
    <n v="0.200019"/>
  </r>
  <r>
    <s v="ANDROID"/>
    <x v="2"/>
    <x v="16"/>
    <n v="5.9370149999999997"/>
    <n v="60092"/>
    <n v="9.8798999999999998E-2"/>
  </r>
  <r>
    <s v="ANDROID"/>
    <x v="2"/>
    <x v="9"/>
    <n v="17.495497"/>
    <n v="126924"/>
    <n v="0.13784199999999999"/>
  </r>
  <r>
    <s v="ANDROID"/>
    <x v="2"/>
    <x v="1"/>
    <n v="18.370998"/>
    <n v="121041"/>
    <n v="0.15177499999999999"/>
  </r>
  <r>
    <s v="ANDROID"/>
    <x v="2"/>
    <x v="13"/>
    <n v="24.480492000000002"/>
    <n v="174959"/>
    <n v="0.13992099999999999"/>
  </r>
  <r>
    <s v="ANDROID"/>
    <x v="2"/>
    <x v="10"/>
    <n v="22.086224999999999"/>
    <n v="157301"/>
    <n v="0.140407"/>
  </r>
  <r>
    <s v="IOS"/>
    <x v="3"/>
    <x v="14"/>
    <n v="59.492297000000001"/>
    <n v="163663"/>
    <n v="0.36350500000000002"/>
  </r>
  <r>
    <s v="IOS"/>
    <x v="3"/>
    <x v="10"/>
    <n v="98.65531"/>
    <n v="234788"/>
    <n v="0.42018899999999998"/>
  </r>
  <r>
    <s v="IOS"/>
    <x v="3"/>
    <x v="9"/>
    <n v="56.689926999999997"/>
    <n v="140018"/>
    <n v="0.40487600000000001"/>
  </r>
  <r>
    <s v="IOS"/>
    <x v="3"/>
    <x v="15"/>
    <n v="57.322868999999997"/>
    <n v="128431"/>
    <n v="0.44633200000000001"/>
  </r>
  <r>
    <s v="IOS"/>
    <x v="3"/>
    <x v="11"/>
    <n v="31.973966999999998"/>
    <n v="96107"/>
    <n v="0.33269100000000001"/>
  </r>
  <r>
    <s v="IOS"/>
    <x v="3"/>
    <x v="6"/>
    <n v="26.159939000000001"/>
    <n v="79524"/>
    <n v="0.328957"/>
  </r>
  <r>
    <s v="IOS"/>
    <x v="3"/>
    <x v="0"/>
    <n v="97.412998000000002"/>
    <n v="223421"/>
    <n v="0.436006"/>
  </r>
  <r>
    <s v="IOS"/>
    <x v="3"/>
    <x v="3"/>
    <n v="136.05860200000001"/>
    <n v="281901"/>
    <n v="0.48264699999999999"/>
  </r>
  <r>
    <s v="IOS"/>
    <x v="3"/>
    <x v="4"/>
    <n v="76.152828"/>
    <n v="184053"/>
    <n v="0.41375499999999998"/>
  </r>
  <r>
    <s v="IOS"/>
    <x v="3"/>
    <x v="1"/>
    <n v="78.489936999999998"/>
    <n v="169196"/>
    <n v="0.46389900000000001"/>
  </r>
  <r>
    <s v="IOS"/>
    <x v="3"/>
    <x v="8"/>
    <n v="77.205198999999993"/>
    <n v="197670"/>
    <n v="0.39057599999999998"/>
  </r>
  <r>
    <s v="IOS"/>
    <x v="3"/>
    <x v="7"/>
    <n v="64.834207000000006"/>
    <n v="148354"/>
    <n v="0.43702400000000002"/>
  </r>
  <r>
    <s v="IOS"/>
    <x v="3"/>
    <x v="12"/>
    <n v="56.700442000000002"/>
    <n v="141496"/>
    <n v="0.40072099999999999"/>
  </r>
  <r>
    <s v="IOS"/>
    <x v="3"/>
    <x v="5"/>
    <n v="99.701950999999994"/>
    <n v="193599"/>
    <n v="0.51499200000000001"/>
  </r>
  <r>
    <s v="IOS"/>
    <x v="3"/>
    <x v="13"/>
    <n v="85.517932000000002"/>
    <n v="216533"/>
    <n v="0.39494200000000002"/>
  </r>
  <r>
    <s v="IOS"/>
    <x v="3"/>
    <x v="16"/>
    <n v="58.785890999999999"/>
    <n v="157921"/>
    <n v="0.372249"/>
  </r>
  <r>
    <s v="IOS"/>
    <x v="3"/>
    <x v="2"/>
    <n v="40.916356999999998"/>
    <n v="112623"/>
    <n v="0.36330400000000002"/>
  </r>
  <r>
    <s v="IOS"/>
    <x v="3"/>
    <x v="17"/>
    <n v="84.837885999999997"/>
    <n v="185514"/>
    <n v="0.45731300000000003"/>
  </r>
  <r>
    <s v="IOS"/>
    <x v="4"/>
    <x v="16"/>
    <n v="32.646732"/>
    <n v="58328"/>
    <n v="0.55970900000000001"/>
  </r>
  <r>
    <s v="IOS"/>
    <x v="4"/>
    <x v="4"/>
    <n v="48.852733999999998"/>
    <n v="96982"/>
    <n v="0.50373000000000001"/>
  </r>
  <r>
    <s v="IOS"/>
    <x v="4"/>
    <x v="6"/>
    <n v="12.225545"/>
    <n v="23820"/>
    <n v="0.51324700000000001"/>
  </r>
  <r>
    <s v="IOS"/>
    <x v="4"/>
    <x v="11"/>
    <n v="17.23077"/>
    <n v="36270"/>
    <n v="0.47506900000000002"/>
  </r>
  <r>
    <s v="IOS"/>
    <x v="4"/>
    <x v="12"/>
    <n v="29.900027999999999"/>
    <n v="57513"/>
    <n v="0.51988299999999998"/>
  </r>
  <r>
    <s v="IOS"/>
    <x v="4"/>
    <x v="14"/>
    <n v="29.847252999999998"/>
    <n v="67603"/>
    <n v="0.44150800000000001"/>
  </r>
  <r>
    <s v="IOS"/>
    <x v="4"/>
    <x v="17"/>
    <n v="51.329884"/>
    <n v="93756"/>
    <n v="0.54748399999999997"/>
  </r>
  <r>
    <s v="IOS"/>
    <x v="4"/>
    <x v="3"/>
    <n v="92.659156999999993"/>
    <n v="148714"/>
    <n v="0.62306899999999998"/>
  </r>
  <r>
    <s v="IOS"/>
    <x v="4"/>
    <x v="5"/>
    <n v="50.691445999999999"/>
    <n v="98607"/>
    <n v="0.51407599999999998"/>
  </r>
  <r>
    <s v="IOS"/>
    <x v="4"/>
    <x v="13"/>
    <n v="65.20402"/>
    <n v="126479"/>
    <n v="0.51553199999999999"/>
  </r>
  <r>
    <s v="IOS"/>
    <x v="4"/>
    <x v="10"/>
    <n v="55.858781999999998"/>
    <n v="106688"/>
    <n v="0.52357100000000001"/>
  </r>
  <r>
    <s v="IOS"/>
    <x v="4"/>
    <x v="7"/>
    <n v="35.647669"/>
    <n v="71303"/>
    <n v="0.499946"/>
  </r>
  <r>
    <s v="IOS"/>
    <x v="4"/>
    <x v="9"/>
    <n v="33.670321999999999"/>
    <n v="62709"/>
    <n v="0.53693000000000002"/>
  </r>
  <r>
    <s v="IOS"/>
    <x v="4"/>
    <x v="8"/>
    <n v="54.977330000000002"/>
    <n v="107219"/>
    <n v="0.51275700000000002"/>
  </r>
  <r>
    <s v="IOS"/>
    <x v="4"/>
    <x v="0"/>
    <n v="54.638368"/>
    <n v="101863"/>
    <n v="0.53639099999999995"/>
  </r>
  <r>
    <s v="IOS"/>
    <x v="4"/>
    <x v="15"/>
    <n v="31.351858"/>
    <n v="59646"/>
    <n v="0.52563199999999999"/>
  </r>
  <r>
    <s v="IOS"/>
    <x v="4"/>
    <x v="1"/>
    <n v="44.299148000000002"/>
    <n v="81910"/>
    <n v="0.54082699999999995"/>
  </r>
  <r>
    <s v="IOS"/>
    <x v="4"/>
    <x v="2"/>
    <n v="22.347011999999999"/>
    <n v="42293"/>
    <n v="0.52838600000000002"/>
  </r>
  <r>
    <s v="IOS"/>
    <x v="5"/>
    <x v="3"/>
    <n v="124.774997"/>
    <n v="248851"/>
    <n v="0.50140399999999996"/>
  </r>
  <r>
    <s v="IOS"/>
    <x v="5"/>
    <x v="4"/>
    <n v="69.850221000000005"/>
    <n v="165713"/>
    <n v="0.42151300000000003"/>
  </r>
  <r>
    <s v="IOS"/>
    <x v="5"/>
    <x v="14"/>
    <n v="56.898380000000003"/>
    <n v="135782"/>
    <n v="0.41904200000000003"/>
  </r>
  <r>
    <s v="IOS"/>
    <x v="5"/>
    <x v="6"/>
    <n v="24.146625"/>
    <n v="65322"/>
    <n v="0.36965500000000001"/>
  </r>
  <r>
    <s v="IOS"/>
    <x v="5"/>
    <x v="1"/>
    <n v="68.682693"/>
    <n v="145194"/>
    <n v="0.47304099999999999"/>
  </r>
  <r>
    <s v="IOS"/>
    <x v="5"/>
    <x v="8"/>
    <n v="74.849125000000001"/>
    <n v="179464"/>
    <n v="0.41707"/>
  </r>
  <r>
    <s v="IOS"/>
    <x v="5"/>
    <x v="15"/>
    <n v="50.421228999999997"/>
    <n v="109441"/>
    <n v="0.46071600000000001"/>
  </r>
  <r>
    <s v="IOS"/>
    <x v="5"/>
    <x v="11"/>
    <n v="31.963325000000001"/>
    <n v="77850"/>
    <n v="0.410576"/>
  </r>
  <r>
    <s v="IOS"/>
    <x v="5"/>
    <x v="5"/>
    <n v="92.969859999999997"/>
    <n v="168611"/>
    <n v="0.55138699999999996"/>
  </r>
  <r>
    <s v="IOS"/>
    <x v="5"/>
    <x v="2"/>
    <n v="41.897632999999999"/>
    <n v="95744"/>
    <n v="0.43760100000000002"/>
  </r>
  <r>
    <s v="IOS"/>
    <x v="5"/>
    <x v="12"/>
    <n v="54.906188"/>
    <n v="121388"/>
    <n v="0.45232"/>
  </r>
  <r>
    <s v="IOS"/>
    <x v="5"/>
    <x v="7"/>
    <n v="59.683449000000003"/>
    <n v="131172"/>
    <n v="0.45500099999999999"/>
  </r>
  <r>
    <s v="IOS"/>
    <x v="5"/>
    <x v="13"/>
    <n v="82.213463000000004"/>
    <n v="199884"/>
    <n v="0.411306"/>
  </r>
  <r>
    <s v="IOS"/>
    <x v="5"/>
    <x v="9"/>
    <n v="53.622701999999997"/>
    <n v="120518"/>
    <n v="0.44493500000000002"/>
  </r>
  <r>
    <s v="IOS"/>
    <x v="5"/>
    <x v="0"/>
    <n v="96.648793999999995"/>
    <n v="200547"/>
    <n v="0.48192600000000002"/>
  </r>
  <r>
    <s v="IOS"/>
    <x v="5"/>
    <x v="16"/>
    <n v="52.701987000000003"/>
    <n v="123871"/>
    <n v="0.42545899999999998"/>
  </r>
  <r>
    <s v="IOS"/>
    <x v="5"/>
    <x v="17"/>
    <n v="78.835645"/>
    <n v="168180"/>
    <n v="0.46875800000000001"/>
  </r>
  <r>
    <s v="IOS"/>
    <x v="5"/>
    <x v="10"/>
    <n v="89.171366000000006"/>
    <n v="199286"/>
    <n v="0.447454000000000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ANDROID"/>
    <x v="0"/>
    <n v="138"/>
    <n v="138"/>
    <n v="43"/>
    <n v="2"/>
    <n v="0"/>
    <x v="0"/>
    <n v="138"/>
    <n v="476"/>
  </r>
  <r>
    <x v="0"/>
    <s v="ANDROID"/>
    <x v="1"/>
    <n v="151"/>
    <n v="151"/>
    <n v="28"/>
    <n v="1"/>
    <n v="0"/>
    <x v="0"/>
    <n v="151"/>
    <n v="508"/>
  </r>
  <r>
    <x v="0"/>
    <s v="ANDROID"/>
    <x v="2"/>
    <n v="166"/>
    <n v="166"/>
    <n v="44"/>
    <n v="0"/>
    <n v="0"/>
    <x v="0"/>
    <n v="166"/>
    <n v="651"/>
  </r>
  <r>
    <x v="0"/>
    <s v="IOS"/>
    <x v="3"/>
    <n v="3821"/>
    <n v="3638"/>
    <n v="987"/>
    <n v="485"/>
    <n v="144"/>
    <x v="1"/>
    <n v="3821"/>
    <n v="13455"/>
  </r>
  <r>
    <x v="0"/>
    <s v="IOS"/>
    <x v="4"/>
    <n v="3746"/>
    <n v="3537"/>
    <n v="666"/>
    <n v="372"/>
    <n v="93"/>
    <x v="2"/>
    <n v="3746"/>
    <n v="13740"/>
  </r>
  <r>
    <x v="0"/>
    <s v="IOS"/>
    <x v="5"/>
    <n v="3846"/>
    <n v="3677"/>
    <n v="745"/>
    <n v="368"/>
    <n v="104"/>
    <x v="3"/>
    <n v="3844"/>
    <n v="14584"/>
  </r>
  <r>
    <x v="1"/>
    <s v="ANDROID"/>
    <x v="0"/>
    <n v="975"/>
    <n v="964"/>
    <n v="273"/>
    <n v="20"/>
    <n v="3"/>
    <x v="4"/>
    <n v="973"/>
    <n v="2852"/>
  </r>
  <r>
    <x v="1"/>
    <s v="ANDROID"/>
    <x v="1"/>
    <n v="1033"/>
    <n v="1022"/>
    <n v="152"/>
    <n v="7"/>
    <n v="3"/>
    <x v="5"/>
    <n v="1031"/>
    <n v="3647"/>
  </r>
  <r>
    <x v="1"/>
    <s v="ANDROID"/>
    <x v="2"/>
    <n v="972"/>
    <n v="966"/>
    <n v="244"/>
    <n v="12"/>
    <n v="4"/>
    <x v="6"/>
    <n v="969"/>
    <n v="3542"/>
  </r>
  <r>
    <x v="1"/>
    <s v="IOS"/>
    <x v="3"/>
    <n v="4975"/>
    <n v="4355"/>
    <n v="1058"/>
    <n v="511"/>
    <n v="146"/>
    <x v="7"/>
    <n v="4964"/>
    <n v="17399"/>
  </r>
  <r>
    <x v="1"/>
    <s v="IOS"/>
    <x v="4"/>
    <n v="5008"/>
    <n v="4309"/>
    <n v="752"/>
    <n v="401"/>
    <n v="97"/>
    <x v="8"/>
    <n v="5000"/>
    <n v="19310"/>
  </r>
  <r>
    <x v="1"/>
    <s v="IOS"/>
    <x v="5"/>
    <n v="4936"/>
    <n v="4325"/>
    <n v="805"/>
    <n v="413"/>
    <n v="116"/>
    <x v="9"/>
    <n v="4928"/>
    <n v="18995"/>
  </r>
  <r>
    <x v="2"/>
    <s v="ANDROID"/>
    <x v="0"/>
    <n v="1553"/>
    <n v="1536"/>
    <n v="426"/>
    <n v="29"/>
    <n v="11"/>
    <x v="10"/>
    <n v="1530"/>
    <n v="4872"/>
  </r>
  <r>
    <x v="2"/>
    <s v="ANDROID"/>
    <x v="1"/>
    <n v="1588"/>
    <n v="1559"/>
    <n v="222"/>
    <n v="6"/>
    <n v="2"/>
    <x v="11"/>
    <n v="1571"/>
    <n v="5151"/>
  </r>
  <r>
    <x v="2"/>
    <s v="ANDROID"/>
    <x v="2"/>
    <n v="1562"/>
    <n v="1545"/>
    <n v="343"/>
    <n v="20"/>
    <n v="9"/>
    <x v="12"/>
    <n v="1542"/>
    <n v="5693"/>
  </r>
  <r>
    <x v="2"/>
    <s v="IOS"/>
    <x v="3"/>
    <n v="5844"/>
    <n v="4949"/>
    <n v="1165"/>
    <n v="555"/>
    <n v="162"/>
    <x v="13"/>
    <n v="5821"/>
    <n v="20570"/>
  </r>
  <r>
    <x v="2"/>
    <s v="IOS"/>
    <x v="4"/>
    <n v="6097"/>
    <n v="5036"/>
    <n v="844"/>
    <n v="462"/>
    <n v="143"/>
    <x v="14"/>
    <n v="6071"/>
    <n v="22486"/>
  </r>
  <r>
    <x v="2"/>
    <s v="IOS"/>
    <x v="5"/>
    <n v="5782"/>
    <n v="4853"/>
    <n v="929"/>
    <n v="451"/>
    <n v="121"/>
    <x v="15"/>
    <n v="5753"/>
    <n v="22205"/>
  </r>
  <r>
    <x v="3"/>
    <s v="ANDROID"/>
    <x v="0"/>
    <n v="2122"/>
    <n v="2092"/>
    <n v="542"/>
    <n v="53"/>
    <n v="24"/>
    <x v="16"/>
    <n v="2091"/>
    <n v="6811"/>
  </r>
  <r>
    <x v="3"/>
    <s v="ANDROID"/>
    <x v="1"/>
    <n v="2250"/>
    <n v="2204"/>
    <n v="294"/>
    <n v="11"/>
    <n v="5"/>
    <x v="17"/>
    <n v="2213"/>
    <n v="7963"/>
  </r>
  <r>
    <x v="3"/>
    <s v="ANDROID"/>
    <x v="2"/>
    <n v="2269"/>
    <n v="2226"/>
    <n v="466"/>
    <n v="20"/>
    <n v="7"/>
    <x v="18"/>
    <n v="2240"/>
    <n v="8173"/>
  </r>
  <r>
    <x v="3"/>
    <s v="IOS"/>
    <x v="3"/>
    <n v="7890"/>
    <n v="6450"/>
    <n v="1584"/>
    <n v="749"/>
    <n v="223"/>
    <x v="19"/>
    <n v="7841"/>
    <n v="30221"/>
  </r>
  <r>
    <x v="3"/>
    <s v="IOS"/>
    <x v="4"/>
    <n v="8058"/>
    <n v="6417"/>
    <n v="1101"/>
    <n v="585"/>
    <n v="153"/>
    <x v="20"/>
    <n v="8019"/>
    <n v="30538"/>
  </r>
  <r>
    <x v="3"/>
    <s v="IOS"/>
    <x v="5"/>
    <n v="7868"/>
    <n v="6448"/>
    <n v="1236"/>
    <n v="632"/>
    <n v="184"/>
    <x v="21"/>
    <n v="7821"/>
    <n v="29958"/>
  </r>
  <r>
    <x v="4"/>
    <s v="ANDROID"/>
    <x v="0"/>
    <n v="3474"/>
    <n v="3425"/>
    <n v="871"/>
    <n v="48"/>
    <n v="11"/>
    <x v="22"/>
    <n v="3417"/>
    <n v="11064"/>
  </r>
  <r>
    <x v="4"/>
    <s v="ANDROID"/>
    <x v="1"/>
    <n v="3710"/>
    <n v="3632"/>
    <n v="518"/>
    <n v="42"/>
    <n v="21"/>
    <x v="23"/>
    <n v="3648"/>
    <n v="14509"/>
  </r>
  <r>
    <x v="4"/>
    <s v="ANDROID"/>
    <x v="2"/>
    <n v="3565"/>
    <n v="3492"/>
    <n v="711"/>
    <n v="41"/>
    <n v="15"/>
    <x v="24"/>
    <n v="3515"/>
    <n v="12644"/>
  </r>
  <r>
    <x v="4"/>
    <s v="IOS"/>
    <x v="3"/>
    <n v="8360"/>
    <n v="6620"/>
    <n v="1515"/>
    <n v="723"/>
    <n v="228"/>
    <x v="25"/>
    <n v="8315"/>
    <n v="31889"/>
  </r>
  <r>
    <x v="4"/>
    <s v="IOS"/>
    <x v="4"/>
    <n v="8585"/>
    <n v="6705"/>
    <n v="1119"/>
    <n v="610"/>
    <n v="162"/>
    <x v="26"/>
    <n v="8540"/>
    <n v="33147"/>
  </r>
  <r>
    <x v="4"/>
    <s v="IOS"/>
    <x v="5"/>
    <n v="8453"/>
    <n v="6737"/>
    <n v="1234"/>
    <n v="637"/>
    <n v="164"/>
    <x v="27"/>
    <n v="8413"/>
    <n v="32888"/>
  </r>
  <r>
    <x v="5"/>
    <s v="ANDROID"/>
    <x v="0"/>
    <n v="4498"/>
    <n v="4407"/>
    <n v="1120"/>
    <n v="74"/>
    <n v="21"/>
    <x v="28"/>
    <n v="4409"/>
    <n v="13901"/>
  </r>
  <r>
    <x v="5"/>
    <s v="ANDROID"/>
    <x v="1"/>
    <n v="4683"/>
    <n v="4556"/>
    <n v="630"/>
    <n v="38"/>
    <n v="14"/>
    <x v="29"/>
    <n v="4574"/>
    <n v="16705"/>
  </r>
  <r>
    <x v="5"/>
    <s v="ANDROID"/>
    <x v="2"/>
    <n v="4541"/>
    <n v="4455"/>
    <n v="887"/>
    <n v="55"/>
    <n v="24"/>
    <x v="30"/>
    <n v="4464"/>
    <n v="15516"/>
  </r>
  <r>
    <x v="5"/>
    <s v="IOS"/>
    <x v="3"/>
    <n v="7110"/>
    <n v="5352"/>
    <n v="1138"/>
    <n v="536"/>
    <n v="148"/>
    <x v="31"/>
    <n v="7045"/>
    <n v="25150"/>
  </r>
  <r>
    <x v="5"/>
    <s v="IOS"/>
    <x v="4"/>
    <n v="7622"/>
    <n v="5678"/>
    <n v="932"/>
    <n v="507"/>
    <n v="147"/>
    <x v="32"/>
    <n v="7559"/>
    <n v="29103"/>
  </r>
  <r>
    <x v="5"/>
    <s v="IOS"/>
    <x v="5"/>
    <n v="7467"/>
    <n v="5708"/>
    <n v="1068"/>
    <n v="536"/>
    <n v="141"/>
    <x v="33"/>
    <n v="7392"/>
    <n v="27787"/>
  </r>
  <r>
    <x v="6"/>
    <s v="ANDROID"/>
    <x v="0"/>
    <n v="4648"/>
    <n v="4530"/>
    <n v="1088"/>
    <n v="81"/>
    <n v="32"/>
    <x v="34"/>
    <n v="4516"/>
    <n v="14487"/>
  </r>
  <r>
    <x v="6"/>
    <s v="ANDROID"/>
    <x v="1"/>
    <n v="4802"/>
    <n v="4647"/>
    <n v="671"/>
    <n v="39"/>
    <n v="17"/>
    <x v="35"/>
    <n v="4646"/>
    <n v="16930"/>
  </r>
  <r>
    <x v="6"/>
    <s v="ANDROID"/>
    <x v="2"/>
    <n v="4649"/>
    <n v="4523"/>
    <n v="890"/>
    <n v="65"/>
    <n v="23"/>
    <x v="36"/>
    <n v="4500"/>
    <n v="15810"/>
  </r>
  <r>
    <x v="6"/>
    <s v="IOS"/>
    <x v="3"/>
    <n v="6809"/>
    <n v="4929"/>
    <n v="1167"/>
    <n v="529"/>
    <n v="155"/>
    <x v="37"/>
    <n v="6750"/>
    <n v="25109"/>
  </r>
  <r>
    <x v="6"/>
    <s v="IOS"/>
    <x v="4"/>
    <n v="7315"/>
    <n v="5180"/>
    <n v="890"/>
    <n v="471"/>
    <n v="132"/>
    <x v="38"/>
    <n v="7253"/>
    <n v="28015"/>
  </r>
  <r>
    <x v="6"/>
    <s v="IOS"/>
    <x v="5"/>
    <n v="7081"/>
    <n v="5192"/>
    <n v="1031"/>
    <n v="511"/>
    <n v="128"/>
    <x v="39"/>
    <n v="7029"/>
    <n v="25832"/>
  </r>
  <r>
    <x v="7"/>
    <s v="ANDROID"/>
    <x v="0"/>
    <n v="5182"/>
    <n v="5027"/>
    <n v="1201"/>
    <n v="77"/>
    <n v="27"/>
    <x v="40"/>
    <n v="5005"/>
    <n v="16523"/>
  </r>
  <r>
    <x v="7"/>
    <s v="ANDROID"/>
    <x v="1"/>
    <n v="5279"/>
    <n v="5097"/>
    <n v="687"/>
    <n v="54"/>
    <n v="27"/>
    <x v="41"/>
    <n v="5099"/>
    <n v="18626"/>
  </r>
  <r>
    <x v="7"/>
    <s v="ANDROID"/>
    <x v="2"/>
    <n v="5321"/>
    <n v="5169"/>
    <n v="945"/>
    <n v="58"/>
    <n v="20"/>
    <x v="42"/>
    <n v="5120"/>
    <n v="17161"/>
  </r>
  <r>
    <x v="7"/>
    <s v="IOS"/>
    <x v="3"/>
    <n v="7636"/>
    <n v="5442"/>
    <n v="1215"/>
    <n v="566"/>
    <n v="166"/>
    <x v="43"/>
    <n v="7577"/>
    <n v="27154"/>
  </r>
  <r>
    <x v="7"/>
    <s v="IOS"/>
    <x v="4"/>
    <n v="7967"/>
    <n v="5535"/>
    <n v="879"/>
    <n v="452"/>
    <n v="142"/>
    <x v="44"/>
    <n v="7889"/>
    <n v="27993"/>
  </r>
  <r>
    <x v="7"/>
    <s v="IOS"/>
    <x v="5"/>
    <n v="7792"/>
    <n v="5674"/>
    <n v="1041"/>
    <n v="489"/>
    <n v="150"/>
    <x v="45"/>
    <n v="7709"/>
    <n v="27683"/>
  </r>
  <r>
    <x v="8"/>
    <s v="ANDROID"/>
    <x v="0"/>
    <n v="5206"/>
    <n v="5052"/>
    <n v="1156"/>
    <n v="93"/>
    <n v="33"/>
    <x v="46"/>
    <n v="5012"/>
    <n v="16442"/>
  </r>
  <r>
    <x v="8"/>
    <s v="ANDROID"/>
    <x v="1"/>
    <n v="5288"/>
    <n v="5097"/>
    <n v="686"/>
    <n v="45"/>
    <n v="24"/>
    <x v="47"/>
    <n v="5062"/>
    <n v="19115"/>
  </r>
  <r>
    <x v="8"/>
    <s v="ANDROID"/>
    <x v="2"/>
    <n v="5242"/>
    <n v="5089"/>
    <n v="952"/>
    <n v="61"/>
    <n v="26"/>
    <x v="48"/>
    <n v="5016"/>
    <n v="17875"/>
  </r>
  <r>
    <x v="8"/>
    <s v="IOS"/>
    <x v="3"/>
    <n v="8572"/>
    <n v="6105"/>
    <n v="1273"/>
    <n v="585"/>
    <n v="182"/>
    <x v="49"/>
    <n v="8466"/>
    <n v="30199"/>
  </r>
  <r>
    <x v="8"/>
    <s v="IOS"/>
    <x v="4"/>
    <n v="8836"/>
    <n v="6173"/>
    <n v="1002"/>
    <n v="465"/>
    <n v="152"/>
    <x v="50"/>
    <n v="8722"/>
    <n v="31935"/>
  </r>
  <r>
    <x v="8"/>
    <s v="IOS"/>
    <x v="5"/>
    <n v="8804"/>
    <n v="6341"/>
    <n v="1103"/>
    <n v="522"/>
    <n v="158"/>
    <x v="51"/>
    <n v="8689"/>
    <n v="32107"/>
  </r>
  <r>
    <x v="9"/>
    <s v="ANDROID"/>
    <x v="0"/>
    <n v="5015"/>
    <n v="4822"/>
    <n v="1017"/>
    <n v="84"/>
    <n v="33"/>
    <x v="52"/>
    <n v="4817"/>
    <n v="16317"/>
  </r>
  <r>
    <x v="9"/>
    <s v="ANDROID"/>
    <x v="1"/>
    <n v="5365"/>
    <n v="5152"/>
    <n v="693"/>
    <n v="29"/>
    <n v="9"/>
    <x v="53"/>
    <n v="5107"/>
    <n v="19025"/>
  </r>
  <r>
    <x v="9"/>
    <s v="ANDROID"/>
    <x v="2"/>
    <n v="5144"/>
    <n v="4971"/>
    <n v="925"/>
    <n v="53"/>
    <n v="25"/>
    <x v="54"/>
    <n v="4908"/>
    <n v="17927"/>
  </r>
  <r>
    <x v="9"/>
    <s v="IOS"/>
    <x v="3"/>
    <n v="9587"/>
    <n v="6694"/>
    <n v="1296"/>
    <n v="596"/>
    <n v="209"/>
    <x v="55"/>
    <n v="9523"/>
    <n v="33905"/>
  </r>
  <r>
    <x v="9"/>
    <s v="IOS"/>
    <x v="4"/>
    <n v="10120"/>
    <n v="6939"/>
    <n v="1014"/>
    <n v="495"/>
    <n v="164"/>
    <x v="56"/>
    <n v="10038"/>
    <n v="36909"/>
  </r>
  <r>
    <x v="9"/>
    <s v="IOS"/>
    <x v="5"/>
    <n v="9749"/>
    <n v="6864"/>
    <n v="1146"/>
    <n v="475"/>
    <n v="143"/>
    <x v="57"/>
    <n v="9670"/>
    <n v="35155"/>
  </r>
  <r>
    <x v="10"/>
    <s v="ANDROID"/>
    <x v="0"/>
    <n v="6026"/>
    <n v="5792"/>
    <n v="1257"/>
    <n v="113"/>
    <n v="37"/>
    <x v="58"/>
    <n v="5791"/>
    <n v="20350"/>
  </r>
  <r>
    <x v="10"/>
    <s v="ANDROID"/>
    <x v="1"/>
    <n v="6148"/>
    <n v="5893"/>
    <n v="830"/>
    <n v="48"/>
    <n v="25"/>
    <x v="59"/>
    <n v="5872"/>
    <n v="22433"/>
  </r>
  <r>
    <x v="10"/>
    <s v="ANDROID"/>
    <x v="2"/>
    <n v="6231"/>
    <n v="6033"/>
    <n v="1059"/>
    <n v="72"/>
    <n v="31"/>
    <x v="60"/>
    <n v="5950"/>
    <n v="22043"/>
  </r>
  <r>
    <x v="10"/>
    <s v="IOS"/>
    <x v="3"/>
    <n v="12415"/>
    <n v="8757"/>
    <n v="1777"/>
    <n v="867"/>
    <n v="286"/>
    <x v="61"/>
    <n v="12352"/>
    <n v="45802"/>
  </r>
  <r>
    <x v="10"/>
    <s v="IOS"/>
    <x v="4"/>
    <n v="12898"/>
    <n v="8913"/>
    <n v="1408"/>
    <n v="704"/>
    <n v="221"/>
    <x v="62"/>
    <n v="12818"/>
    <n v="49329"/>
  </r>
  <r>
    <x v="10"/>
    <s v="IOS"/>
    <x v="5"/>
    <n v="13008"/>
    <n v="9320"/>
    <n v="1586"/>
    <n v="746"/>
    <n v="237"/>
    <x v="63"/>
    <n v="12928"/>
    <n v="50137"/>
  </r>
  <r>
    <x v="11"/>
    <s v="ANDROID"/>
    <x v="0"/>
    <n v="6142"/>
    <n v="5897"/>
    <n v="1259"/>
    <n v="89"/>
    <n v="34"/>
    <x v="64"/>
    <n v="5830"/>
    <n v="20829"/>
  </r>
  <r>
    <x v="11"/>
    <s v="ANDROID"/>
    <x v="1"/>
    <n v="6607"/>
    <n v="6347"/>
    <n v="889"/>
    <n v="58"/>
    <n v="36"/>
    <x v="65"/>
    <n v="6270"/>
    <n v="24419"/>
  </r>
  <r>
    <x v="11"/>
    <s v="ANDROID"/>
    <x v="2"/>
    <n v="6425"/>
    <n v="6166"/>
    <n v="1107"/>
    <n v="51"/>
    <n v="25"/>
    <x v="66"/>
    <n v="6098"/>
    <n v="22406"/>
  </r>
  <r>
    <x v="11"/>
    <s v="IOS"/>
    <x v="3"/>
    <n v="12475"/>
    <n v="8721"/>
    <n v="1931"/>
    <n v="884"/>
    <n v="289"/>
    <x v="67"/>
    <n v="12343"/>
    <n v="46412"/>
  </r>
  <r>
    <x v="11"/>
    <s v="IOS"/>
    <x v="4"/>
    <n v="12930"/>
    <n v="8653"/>
    <n v="1379"/>
    <n v="652"/>
    <n v="205"/>
    <x v="68"/>
    <n v="12802"/>
    <n v="50110"/>
  </r>
  <r>
    <x v="11"/>
    <s v="IOS"/>
    <x v="5"/>
    <n v="12744"/>
    <n v="8882"/>
    <n v="1577"/>
    <n v="693"/>
    <n v="215"/>
    <x v="69"/>
    <n v="12591"/>
    <n v="49202"/>
  </r>
  <r>
    <x v="12"/>
    <s v="ANDROID"/>
    <x v="0"/>
    <n v="5513"/>
    <n v="5258"/>
    <n v="1121"/>
    <n v="98"/>
    <n v="37"/>
    <x v="70"/>
    <n v="5193"/>
    <n v="18622"/>
  </r>
  <r>
    <x v="12"/>
    <s v="ANDROID"/>
    <x v="1"/>
    <n v="5844"/>
    <n v="5573"/>
    <n v="749"/>
    <n v="48"/>
    <n v="21"/>
    <x v="71"/>
    <n v="5490"/>
    <n v="20360"/>
  </r>
  <r>
    <x v="12"/>
    <s v="ANDROID"/>
    <x v="2"/>
    <n v="5632"/>
    <n v="5378"/>
    <n v="973"/>
    <n v="71"/>
    <n v="23"/>
    <x v="72"/>
    <n v="5320"/>
    <n v="19182"/>
  </r>
  <r>
    <x v="12"/>
    <s v="IOS"/>
    <x v="3"/>
    <n v="10373"/>
    <n v="6867"/>
    <n v="1460"/>
    <n v="669"/>
    <n v="213"/>
    <x v="73"/>
    <n v="10291"/>
    <n v="36331"/>
  </r>
  <r>
    <x v="12"/>
    <s v="IOS"/>
    <x v="4"/>
    <n v="10979"/>
    <n v="7082"/>
    <n v="1147"/>
    <n v="506"/>
    <n v="158"/>
    <x v="74"/>
    <n v="10886"/>
    <n v="39882"/>
  </r>
  <r>
    <x v="12"/>
    <s v="IOS"/>
    <x v="5"/>
    <n v="10577"/>
    <n v="7033"/>
    <n v="1307"/>
    <n v="562"/>
    <n v="169"/>
    <x v="75"/>
    <n v="10489"/>
    <n v="39532"/>
  </r>
  <r>
    <x v="13"/>
    <s v="ANDROID"/>
    <x v="0"/>
    <n v="5342"/>
    <n v="5082"/>
    <n v="1017"/>
    <n v="78"/>
    <n v="26"/>
    <x v="76"/>
    <n v="5037"/>
    <n v="18108"/>
  </r>
  <r>
    <x v="13"/>
    <s v="ANDROID"/>
    <x v="1"/>
    <n v="5805"/>
    <n v="5530"/>
    <n v="769"/>
    <n v="43"/>
    <n v="25"/>
    <x v="77"/>
    <n v="5438"/>
    <n v="19702"/>
  </r>
  <r>
    <x v="13"/>
    <s v="ANDROID"/>
    <x v="2"/>
    <n v="5431"/>
    <n v="5192"/>
    <n v="917"/>
    <n v="54"/>
    <n v="19"/>
    <x v="78"/>
    <n v="5087"/>
    <n v="18320"/>
  </r>
  <r>
    <x v="13"/>
    <s v="IOS"/>
    <x v="3"/>
    <n v="9990"/>
    <n v="6494"/>
    <n v="1519"/>
    <n v="665"/>
    <n v="204"/>
    <x v="79"/>
    <n v="9902"/>
    <n v="36219"/>
  </r>
  <r>
    <x v="13"/>
    <s v="IOS"/>
    <x v="4"/>
    <n v="10459"/>
    <n v="6519"/>
    <n v="1052"/>
    <n v="485"/>
    <n v="160"/>
    <x v="80"/>
    <n v="10383"/>
    <n v="38028"/>
  </r>
  <r>
    <x v="13"/>
    <s v="IOS"/>
    <x v="5"/>
    <n v="10255"/>
    <n v="6736"/>
    <n v="1174"/>
    <n v="497"/>
    <n v="141"/>
    <x v="81"/>
    <n v="10169"/>
    <n v="37230"/>
  </r>
  <r>
    <x v="14"/>
    <s v="ANDROID"/>
    <x v="0"/>
    <n v="5755"/>
    <n v="5460"/>
    <n v="1140"/>
    <n v="82"/>
    <n v="33"/>
    <x v="82"/>
    <n v="5453"/>
    <n v="18701"/>
  </r>
  <r>
    <x v="14"/>
    <s v="ANDROID"/>
    <x v="1"/>
    <n v="6124"/>
    <n v="5811"/>
    <n v="764"/>
    <n v="45"/>
    <n v="21"/>
    <x v="83"/>
    <n v="5748"/>
    <n v="20504"/>
  </r>
  <r>
    <x v="14"/>
    <s v="ANDROID"/>
    <x v="2"/>
    <n v="5887"/>
    <n v="5625"/>
    <n v="934"/>
    <n v="68"/>
    <n v="23"/>
    <x v="84"/>
    <n v="5530"/>
    <n v="19489"/>
  </r>
  <r>
    <x v="14"/>
    <s v="IOS"/>
    <x v="3"/>
    <n v="10351"/>
    <n v="6520"/>
    <n v="1348"/>
    <n v="598"/>
    <n v="207"/>
    <x v="85"/>
    <n v="10284"/>
    <n v="39249"/>
  </r>
  <r>
    <x v="14"/>
    <s v="IOS"/>
    <x v="4"/>
    <n v="10620"/>
    <n v="6498"/>
    <n v="1092"/>
    <n v="502"/>
    <n v="154"/>
    <x v="86"/>
    <n v="10561"/>
    <n v="39518"/>
  </r>
  <r>
    <x v="14"/>
    <s v="IOS"/>
    <x v="5"/>
    <n v="10516"/>
    <n v="6731"/>
    <n v="1163"/>
    <n v="522"/>
    <n v="167"/>
    <x v="87"/>
    <n v="10450"/>
    <n v="37366"/>
  </r>
  <r>
    <x v="15"/>
    <s v="ANDROID"/>
    <x v="0"/>
    <n v="5943"/>
    <n v="5642"/>
    <n v="1094"/>
    <n v="82"/>
    <n v="32"/>
    <x v="88"/>
    <n v="5596"/>
    <n v="19034"/>
  </r>
  <r>
    <x v="15"/>
    <s v="ANDROID"/>
    <x v="1"/>
    <n v="6300"/>
    <n v="5980"/>
    <n v="780"/>
    <n v="54"/>
    <n v="25"/>
    <x v="89"/>
    <n v="5871"/>
    <n v="22274"/>
  </r>
  <r>
    <x v="15"/>
    <s v="ANDROID"/>
    <x v="2"/>
    <n v="6160"/>
    <n v="5897"/>
    <n v="997"/>
    <n v="75"/>
    <n v="31"/>
    <x v="90"/>
    <n v="5810"/>
    <n v="20723"/>
  </r>
  <r>
    <x v="15"/>
    <s v="IOS"/>
    <x v="3"/>
    <n v="10773"/>
    <n v="6759"/>
    <n v="1439"/>
    <n v="688"/>
    <n v="219"/>
    <x v="91"/>
    <n v="10647"/>
    <n v="40440"/>
  </r>
  <r>
    <x v="15"/>
    <s v="IOS"/>
    <x v="4"/>
    <n v="11523"/>
    <n v="7060"/>
    <n v="1142"/>
    <n v="533"/>
    <n v="161"/>
    <x v="92"/>
    <n v="11400"/>
    <n v="43475"/>
  </r>
  <r>
    <x v="15"/>
    <s v="IOS"/>
    <x v="5"/>
    <n v="11299"/>
    <n v="7220"/>
    <n v="1308"/>
    <n v="632"/>
    <n v="195"/>
    <x v="93"/>
    <n v="11174"/>
    <n v="42220"/>
  </r>
  <r>
    <x v="16"/>
    <s v="ANDROID"/>
    <x v="0"/>
    <n v="6810"/>
    <n v="6506"/>
    <n v="1144"/>
    <n v="83"/>
    <n v="34"/>
    <x v="94"/>
    <n v="6416"/>
    <n v="23314"/>
  </r>
  <r>
    <x v="16"/>
    <s v="ANDROID"/>
    <x v="1"/>
    <n v="7006"/>
    <n v="6680"/>
    <n v="774"/>
    <n v="64"/>
    <n v="29"/>
    <x v="95"/>
    <n v="6607"/>
    <n v="24810"/>
  </r>
  <r>
    <x v="16"/>
    <s v="ANDROID"/>
    <x v="2"/>
    <n v="6940"/>
    <n v="6654"/>
    <n v="1067"/>
    <n v="81"/>
    <n v="38"/>
    <x v="96"/>
    <n v="6557"/>
    <n v="23668"/>
  </r>
  <r>
    <x v="16"/>
    <s v="IOS"/>
    <x v="3"/>
    <n v="12373"/>
    <n v="7883"/>
    <n v="1805"/>
    <n v="909"/>
    <n v="275"/>
    <x v="97"/>
    <n v="12141"/>
    <n v="47540"/>
  </r>
  <r>
    <x v="16"/>
    <s v="IOS"/>
    <x v="4"/>
    <n v="13313"/>
    <n v="8250"/>
    <n v="1474"/>
    <n v="769"/>
    <n v="213"/>
    <x v="98"/>
    <n v="13052"/>
    <n v="52662"/>
  </r>
  <r>
    <x v="16"/>
    <s v="IOS"/>
    <x v="5"/>
    <n v="12744"/>
    <n v="8149"/>
    <n v="1559"/>
    <n v="725"/>
    <n v="183"/>
    <x v="99"/>
    <n v="12489"/>
    <n v="48526"/>
  </r>
  <r>
    <x v="17"/>
    <s v="ANDROID"/>
    <x v="0"/>
    <n v="7601"/>
    <n v="7204"/>
    <n v="1316"/>
    <n v="127"/>
    <n v="37"/>
    <x v="100"/>
    <n v="7232"/>
    <n v="26029"/>
  </r>
  <r>
    <x v="17"/>
    <s v="ANDROID"/>
    <x v="1"/>
    <n v="8005"/>
    <n v="7622"/>
    <n v="905"/>
    <n v="70"/>
    <n v="25"/>
    <x v="101"/>
    <n v="7550"/>
    <n v="27774"/>
  </r>
  <r>
    <x v="17"/>
    <s v="ANDROID"/>
    <x v="2"/>
    <n v="7825"/>
    <n v="7464"/>
    <n v="1158"/>
    <n v="92"/>
    <n v="34"/>
    <x v="102"/>
    <n v="7392"/>
    <n v="28059"/>
  </r>
  <r>
    <x v="17"/>
    <s v="IOS"/>
    <x v="3"/>
    <n v="15471"/>
    <n v="9751"/>
    <n v="2200"/>
    <n v="1138"/>
    <n v="305"/>
    <x v="103"/>
    <n v="15314"/>
    <n v="60830"/>
  </r>
  <r>
    <x v="17"/>
    <s v="IOS"/>
    <x v="4"/>
    <n v="16146"/>
    <n v="9940"/>
    <n v="1792"/>
    <n v="927"/>
    <n v="255"/>
    <x v="104"/>
    <n v="15964"/>
    <n v="64303"/>
  </r>
  <r>
    <x v="17"/>
    <s v="IOS"/>
    <x v="5"/>
    <n v="15649"/>
    <n v="10110"/>
    <n v="1819"/>
    <n v="927"/>
    <n v="237"/>
    <x v="105"/>
    <n v="15469"/>
    <n v="626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0B97B-BCFE-A048-8BAC-76EA0B30AA42}" name="数据透视表14" cacheId="3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T3:AA20" firstHeaderRow="1" firstDataRow="2" firstDataCol="1" rowPageCount="1" colPageCount="1"/>
  <pivotFields count="12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7">
        <item x="3"/>
        <item x="4"/>
        <item x="5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求和项:enter_abtest_uv" fld="3" baseField="0" baseItem="0"/>
  </dataFields>
  <formats count="1">
    <format dxfId="0">
      <pivotArea collapsedLevelsAreSubtotals="1" fieldPosition="0">
        <references count="2">
          <reference field="0" count="0"/>
          <reference field="2" count="0" selected="0"/>
        </references>
      </pivotArea>
    </format>
  </formats>
  <chartFormats count="6"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7D71B-CD18-2C4C-8B7E-BC73CA0279DF}" name="数据透视表1" cacheId="3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O3:V23" firstHeaderRow="1" firstDataRow="2" firstDataCol="1"/>
  <pivotFields count="11">
    <pivotField axis="axisRow"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Col" showAll="0">
      <items count="7"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07">
        <item x="0"/>
        <item x="5"/>
        <item x="4"/>
        <item x="6"/>
        <item x="17"/>
        <item x="12"/>
        <item x="11"/>
        <item x="53"/>
        <item x="29"/>
        <item x="18"/>
        <item x="22"/>
        <item x="24"/>
        <item x="28"/>
        <item x="89"/>
        <item x="35"/>
        <item x="42"/>
        <item x="23"/>
        <item x="78"/>
        <item x="72"/>
        <item x="10"/>
        <item x="83"/>
        <item x="71"/>
        <item x="101"/>
        <item x="66"/>
        <item x="41"/>
        <item x="84"/>
        <item x="77"/>
        <item x="30"/>
        <item x="47"/>
        <item x="16"/>
        <item x="36"/>
        <item x="40"/>
        <item x="48"/>
        <item x="95"/>
        <item x="59"/>
        <item x="64"/>
        <item x="76"/>
        <item x="94"/>
        <item x="82"/>
        <item x="100"/>
        <item x="34"/>
        <item x="102"/>
        <item x="88"/>
        <item x="54"/>
        <item x="65"/>
        <item x="52"/>
        <item x="46"/>
        <item x="60"/>
        <item x="96"/>
        <item x="70"/>
        <item x="90"/>
        <item x="58"/>
        <item x="2"/>
        <item x="8"/>
        <item x="9"/>
        <item x="15"/>
        <item x="3"/>
        <item x="39"/>
        <item x="50"/>
        <item x="81"/>
        <item x="57"/>
        <item x="38"/>
        <item x="44"/>
        <item x="33"/>
        <item x="31"/>
        <item x="51"/>
        <item x="13"/>
        <item x="32"/>
        <item x="86"/>
        <item x="1"/>
        <item x="37"/>
        <item x="45"/>
        <item x="14"/>
        <item x="27"/>
        <item x="7"/>
        <item x="80"/>
        <item x="56"/>
        <item x="43"/>
        <item x="74"/>
        <item x="99"/>
        <item x="75"/>
        <item x="92"/>
        <item x="87"/>
        <item x="49"/>
        <item x="20"/>
        <item x="26"/>
        <item x="93"/>
        <item x="21"/>
        <item x="55"/>
        <item x="85"/>
        <item x="79"/>
        <item x="98"/>
        <item x="105"/>
        <item x="91"/>
        <item x="62"/>
        <item x="69"/>
        <item x="68"/>
        <item x="73"/>
        <item x="19"/>
        <item x="25"/>
        <item x="104"/>
        <item x="97"/>
        <item x="63"/>
        <item x="61"/>
        <item x="67"/>
        <item x="103"/>
        <item t="default"/>
      </items>
    </pivotField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sub_success_to_paid_gmv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C6095-AE2F-6B4F-B639-D8CF7BEA0316}" name="数据透视表15" cacheId="3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N3:U23" firstHeaderRow="1" firstDataRow="2" firstDataCol="1"/>
  <pivotFields count="6">
    <pivotField showAll="0"/>
    <pivotField axis="axisCol" showAll="0">
      <items count="7">
        <item x="3"/>
        <item x="4"/>
        <item x="5"/>
        <item x="0"/>
        <item x="1"/>
        <item x="2"/>
        <item t="default"/>
      </items>
    </pivotField>
    <pivotField axis="axisRow" numFmtId="14" showAll="0">
      <items count="19">
        <item x="6"/>
        <item x="11"/>
        <item x="2"/>
        <item x="16"/>
        <item x="14"/>
        <item x="12"/>
        <item x="15"/>
        <item x="9"/>
        <item x="7"/>
        <item x="1"/>
        <item x="0"/>
        <item x="10"/>
        <item x="17"/>
        <item x="4"/>
        <item x="5"/>
        <item x="8"/>
        <item x="13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ads_booking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C4AB-2483-4948-A64D-096B485F6369}">
  <dimension ref="A1:AV109"/>
  <sheetViews>
    <sheetView topLeftCell="A43" workbookViewId="0">
      <selection activeCell="A43" sqref="A1:A1048576"/>
    </sheetView>
  </sheetViews>
  <sheetFormatPr baseColWidth="10" defaultRowHeight="16"/>
  <cols>
    <col min="20" max="20" width="23.83203125" bestFit="1" customWidth="1"/>
    <col min="21" max="21" width="10.5" bestFit="1" customWidth="1"/>
    <col min="22" max="23" width="9" bestFit="1" customWidth="1"/>
    <col min="24" max="26" width="7.83203125" bestFit="1" customWidth="1"/>
    <col min="27" max="27" width="9" bestFit="1" customWidth="1"/>
    <col min="32" max="33" width="12.83203125" bestFit="1" customWidth="1"/>
    <col min="34" max="34" width="18.6640625" customWidth="1"/>
    <col min="35" max="37" width="12.83203125" bestFit="1" customWidth="1"/>
    <col min="40" max="40" width="11.33203125" bestFit="1" customWidth="1"/>
    <col min="41" max="45" width="11" bestFit="1" customWidth="1"/>
    <col min="47" max="47" width="14.6640625" bestFit="1" customWidth="1"/>
    <col min="48" max="48" width="17" customWidth="1"/>
  </cols>
  <sheetData>
    <row r="1" spans="1:37" ht="42">
      <c r="D1" s="7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1" t="s">
        <v>102</v>
      </c>
      <c r="T1" s="12" t="s">
        <v>1</v>
      </c>
      <c r="U1" t="s">
        <v>107</v>
      </c>
    </row>
    <row r="2" spans="1:37">
      <c r="A2" s="2" t="s">
        <v>13</v>
      </c>
      <c r="D2" s="8">
        <v>45750</v>
      </c>
      <c r="E2" s="7" t="s">
        <v>11</v>
      </c>
      <c r="F2" s="7">
        <v>11075</v>
      </c>
      <c r="G2" s="7">
        <v>138</v>
      </c>
      <c r="H2" s="7">
        <v>138</v>
      </c>
      <c r="I2" s="7">
        <v>43</v>
      </c>
      <c r="J2" s="7">
        <v>2</v>
      </c>
      <c r="K2" s="7">
        <v>0</v>
      </c>
      <c r="L2" s="7">
        <v>0</v>
      </c>
      <c r="M2" s="7">
        <v>138</v>
      </c>
      <c r="N2" s="7">
        <v>476</v>
      </c>
      <c r="O2">
        <f>L2/M2</f>
        <v>0</v>
      </c>
      <c r="AE2" s="16" t="s">
        <v>105</v>
      </c>
    </row>
    <row r="3" spans="1:37">
      <c r="A3" s="3" t="s">
        <v>14</v>
      </c>
      <c r="D3" s="8">
        <v>45750</v>
      </c>
      <c r="E3" s="7" t="s">
        <v>11</v>
      </c>
      <c r="F3" s="7">
        <v>11076</v>
      </c>
      <c r="G3" s="7">
        <v>151</v>
      </c>
      <c r="H3" s="7">
        <v>151</v>
      </c>
      <c r="I3" s="7">
        <v>28</v>
      </c>
      <c r="J3" s="7">
        <v>1</v>
      </c>
      <c r="K3" s="7">
        <v>0</v>
      </c>
      <c r="L3" s="7">
        <v>0</v>
      </c>
      <c r="M3" s="7">
        <v>151</v>
      </c>
      <c r="N3" s="7">
        <v>552</v>
      </c>
      <c r="O3">
        <f t="shared" ref="O3:O66" si="0">L3/M3</f>
        <v>0</v>
      </c>
      <c r="T3" s="12" t="s">
        <v>155</v>
      </c>
      <c r="U3" s="12" t="s">
        <v>106</v>
      </c>
      <c r="AF3" s="16" t="s">
        <v>106</v>
      </c>
      <c r="AG3" s="16"/>
      <c r="AH3" s="16"/>
      <c r="AI3" s="16"/>
      <c r="AJ3" s="16"/>
      <c r="AK3" s="16"/>
    </row>
    <row r="4" spans="1:37">
      <c r="A4" s="3" t="s">
        <v>15</v>
      </c>
      <c r="D4" s="8">
        <v>45750</v>
      </c>
      <c r="E4" s="7" t="s">
        <v>11</v>
      </c>
      <c r="F4" s="7">
        <v>11077</v>
      </c>
      <c r="G4" s="7">
        <v>166</v>
      </c>
      <c r="H4" s="7">
        <v>166</v>
      </c>
      <c r="I4" s="7">
        <v>44</v>
      </c>
      <c r="J4" s="7">
        <v>0</v>
      </c>
      <c r="K4" s="7">
        <v>0</v>
      </c>
      <c r="L4" s="7">
        <v>0</v>
      </c>
      <c r="M4" s="7">
        <v>166</v>
      </c>
      <c r="N4" s="7">
        <v>1327</v>
      </c>
      <c r="O4">
        <f t="shared" si="0"/>
        <v>0</v>
      </c>
      <c r="T4" s="12" t="s">
        <v>103</v>
      </c>
      <c r="U4">
        <v>11072</v>
      </c>
      <c r="V4">
        <v>11073</v>
      </c>
      <c r="W4">
        <v>11074</v>
      </c>
      <c r="X4">
        <v>11075</v>
      </c>
      <c r="Y4">
        <v>11076</v>
      </c>
      <c r="Z4">
        <v>11077</v>
      </c>
      <c r="AA4" t="s">
        <v>104</v>
      </c>
      <c r="AE4" s="15" t="s">
        <v>103</v>
      </c>
      <c r="AF4" s="15">
        <v>11072</v>
      </c>
      <c r="AG4" s="15">
        <v>11073</v>
      </c>
      <c r="AH4" s="15">
        <v>11074</v>
      </c>
      <c r="AI4" s="15">
        <v>11075</v>
      </c>
      <c r="AJ4" s="15">
        <v>11076</v>
      </c>
      <c r="AK4" s="15">
        <v>11077</v>
      </c>
    </row>
    <row r="5" spans="1:37">
      <c r="A5" s="3" t="s">
        <v>16</v>
      </c>
      <c r="D5" s="8">
        <v>45750</v>
      </c>
      <c r="E5" s="7" t="s">
        <v>12</v>
      </c>
      <c r="F5" s="7">
        <v>11072</v>
      </c>
      <c r="G5" s="7">
        <v>3819</v>
      </c>
      <c r="H5" s="7">
        <v>3644</v>
      </c>
      <c r="I5" s="7">
        <v>987</v>
      </c>
      <c r="J5" s="7">
        <v>485</v>
      </c>
      <c r="K5" s="7">
        <v>144</v>
      </c>
      <c r="L5" s="9">
        <v>5450.3</v>
      </c>
      <c r="M5" s="7">
        <v>3818</v>
      </c>
      <c r="N5" s="7">
        <v>13681</v>
      </c>
      <c r="O5">
        <f t="shared" si="0"/>
        <v>1.4275275013095863</v>
      </c>
      <c r="T5" s="13">
        <v>45750</v>
      </c>
      <c r="U5" s="32">
        <v>3819</v>
      </c>
      <c r="V5" s="32">
        <v>3746</v>
      </c>
      <c r="W5" s="32">
        <v>3845</v>
      </c>
      <c r="X5" s="32">
        <v>138</v>
      </c>
      <c r="Y5" s="32">
        <v>151</v>
      </c>
      <c r="Z5" s="32">
        <v>166</v>
      </c>
      <c r="AA5" s="14">
        <v>11865</v>
      </c>
      <c r="AE5" s="13">
        <v>45750</v>
      </c>
      <c r="AF5" s="17">
        <v>1.4275275013095863</v>
      </c>
      <c r="AG5" s="17">
        <v>1.0477442605445808</v>
      </c>
      <c r="AH5" s="17">
        <v>1.1467161072079104</v>
      </c>
      <c r="AI5" s="17">
        <v>0</v>
      </c>
      <c r="AJ5" s="17">
        <v>0</v>
      </c>
      <c r="AK5" s="17">
        <v>0</v>
      </c>
    </row>
    <row r="6" spans="1:37">
      <c r="A6" s="4" t="s">
        <v>17</v>
      </c>
      <c r="D6" s="8">
        <v>45750</v>
      </c>
      <c r="E6" s="7" t="s">
        <v>12</v>
      </c>
      <c r="F6" s="7">
        <v>11073</v>
      </c>
      <c r="G6" s="7">
        <v>3746</v>
      </c>
      <c r="H6" s="7">
        <v>3547</v>
      </c>
      <c r="I6" s="7">
        <v>667</v>
      </c>
      <c r="J6" s="7">
        <v>372</v>
      </c>
      <c r="K6" s="7">
        <v>91</v>
      </c>
      <c r="L6" s="9">
        <v>3924.85</v>
      </c>
      <c r="M6" s="7">
        <v>3746</v>
      </c>
      <c r="N6" s="7">
        <v>14290</v>
      </c>
      <c r="O6">
        <f t="shared" si="0"/>
        <v>1.0477442605445808</v>
      </c>
      <c r="T6" s="13">
        <v>45751</v>
      </c>
      <c r="U6" s="32">
        <v>4980</v>
      </c>
      <c r="V6" s="32">
        <v>5014</v>
      </c>
      <c r="W6" s="32">
        <v>4944</v>
      </c>
      <c r="X6" s="32">
        <v>975</v>
      </c>
      <c r="Y6" s="32">
        <v>1035</v>
      </c>
      <c r="Z6" s="32">
        <v>972</v>
      </c>
      <c r="AA6" s="14">
        <v>17920</v>
      </c>
      <c r="AE6" s="13">
        <v>45751</v>
      </c>
      <c r="AF6" s="17">
        <v>1.1421775005031192</v>
      </c>
      <c r="AG6" s="17">
        <v>0.82434426229508195</v>
      </c>
      <c r="AH6" s="17">
        <v>0.85604985812728007</v>
      </c>
      <c r="AI6" s="17">
        <v>2.1421805858170606E-2</v>
      </c>
      <c r="AJ6" s="17">
        <v>1.7004229322362049E-2</v>
      </c>
      <c r="AK6" s="17">
        <v>2.6831666573787407E-2</v>
      </c>
    </row>
    <row r="7" spans="1:37">
      <c r="A7" s="4" t="s">
        <v>18</v>
      </c>
      <c r="D7" s="8">
        <v>45750</v>
      </c>
      <c r="E7" s="7" t="s">
        <v>12</v>
      </c>
      <c r="F7" s="7">
        <v>11074</v>
      </c>
      <c r="G7" s="7">
        <v>3845</v>
      </c>
      <c r="H7" s="7">
        <v>3684</v>
      </c>
      <c r="I7" s="7">
        <v>748</v>
      </c>
      <c r="J7" s="7">
        <v>369</v>
      </c>
      <c r="K7" s="7">
        <v>105</v>
      </c>
      <c r="L7" s="9">
        <v>4406.83</v>
      </c>
      <c r="M7" s="7">
        <v>3843</v>
      </c>
      <c r="N7" s="7">
        <v>14987</v>
      </c>
      <c r="O7">
        <f t="shared" si="0"/>
        <v>1.1467161072079104</v>
      </c>
      <c r="T7" s="13">
        <v>45752</v>
      </c>
      <c r="U7" s="32">
        <v>5860</v>
      </c>
      <c r="V7" s="32">
        <v>6111</v>
      </c>
      <c r="W7" s="32">
        <v>5795</v>
      </c>
      <c r="X7" s="32">
        <v>1555</v>
      </c>
      <c r="Y7" s="32">
        <v>1590</v>
      </c>
      <c r="Z7" s="32">
        <v>1565</v>
      </c>
      <c r="AA7" s="14">
        <v>22476</v>
      </c>
      <c r="AE7" s="13">
        <v>45752</v>
      </c>
      <c r="AF7" s="17">
        <v>0.96249657299520219</v>
      </c>
      <c r="AG7" s="17">
        <v>0.90657025472473285</v>
      </c>
      <c r="AH7" s="17">
        <v>0.75022384174908896</v>
      </c>
      <c r="AI7" s="17">
        <v>0.10125279235793598</v>
      </c>
      <c r="AJ7" s="17">
        <v>3.0013741004450093E-2</v>
      </c>
      <c r="AK7" s="17">
        <v>2.5391225644012944E-2</v>
      </c>
    </row>
    <row r="8" spans="1:37">
      <c r="A8" s="3" t="s">
        <v>19</v>
      </c>
      <c r="D8" s="8">
        <v>45751</v>
      </c>
      <c r="E8" s="7" t="s">
        <v>11</v>
      </c>
      <c r="F8" s="7">
        <v>11075</v>
      </c>
      <c r="G8" s="7">
        <v>975</v>
      </c>
      <c r="H8" s="7">
        <v>964</v>
      </c>
      <c r="I8" s="7">
        <v>274</v>
      </c>
      <c r="J8" s="7">
        <v>20</v>
      </c>
      <c r="K8" s="7">
        <v>3</v>
      </c>
      <c r="L8" s="7">
        <v>20.8434171</v>
      </c>
      <c r="M8" s="7">
        <v>973</v>
      </c>
      <c r="N8" s="7">
        <v>3369</v>
      </c>
      <c r="O8">
        <f t="shared" si="0"/>
        <v>2.1421805858170606E-2</v>
      </c>
      <c r="T8" s="13">
        <v>45753</v>
      </c>
      <c r="U8" s="32">
        <v>7927</v>
      </c>
      <c r="V8" s="32">
        <v>8087</v>
      </c>
      <c r="W8" s="32">
        <v>7902</v>
      </c>
      <c r="X8" s="32">
        <v>2133</v>
      </c>
      <c r="Y8" s="32">
        <v>2255</v>
      </c>
      <c r="Z8" s="32">
        <v>2276</v>
      </c>
      <c r="AA8" s="14">
        <v>30580</v>
      </c>
      <c r="AE8" s="13">
        <v>45753</v>
      </c>
      <c r="AF8" s="17">
        <v>1.1031055506160294</v>
      </c>
      <c r="AG8" s="17">
        <v>0.85585062756306696</v>
      </c>
      <c r="AH8" s="17">
        <v>0.94621449496879373</v>
      </c>
      <c r="AI8" s="17">
        <v>0.10403717358400762</v>
      </c>
      <c r="AJ8" s="17">
        <v>2.2600343133182845E-2</v>
      </c>
      <c r="AK8" s="17">
        <v>4.2654938700489545E-2</v>
      </c>
    </row>
    <row r="9" spans="1:37">
      <c r="A9" s="3" t="s">
        <v>20</v>
      </c>
      <c r="D9" s="8">
        <v>45751</v>
      </c>
      <c r="E9" s="7" t="s">
        <v>11</v>
      </c>
      <c r="F9" s="7">
        <v>11076</v>
      </c>
      <c r="G9" s="7">
        <v>1035</v>
      </c>
      <c r="H9" s="7">
        <v>1023</v>
      </c>
      <c r="I9" s="7">
        <v>154</v>
      </c>
      <c r="J9" s="7">
        <v>7</v>
      </c>
      <c r="K9" s="7">
        <v>3</v>
      </c>
      <c r="L9" s="7">
        <v>17.565368889999998</v>
      </c>
      <c r="M9" s="7">
        <v>1033</v>
      </c>
      <c r="N9" s="7">
        <v>3810</v>
      </c>
      <c r="O9">
        <f t="shared" si="0"/>
        <v>1.7004229322362049E-2</v>
      </c>
      <c r="T9" s="13">
        <v>45754</v>
      </c>
      <c r="U9" s="32">
        <v>8399</v>
      </c>
      <c r="V9" s="32">
        <v>8623</v>
      </c>
      <c r="W9" s="32">
        <v>8493</v>
      </c>
      <c r="X9" s="32">
        <v>3484</v>
      </c>
      <c r="Y9" s="32">
        <v>3715</v>
      </c>
      <c r="Z9" s="32">
        <v>3577</v>
      </c>
      <c r="AA9" s="14">
        <v>36291</v>
      </c>
      <c r="AE9" s="13">
        <v>45754</v>
      </c>
      <c r="AF9" s="17">
        <v>1.0091307471264368</v>
      </c>
      <c r="AG9" s="17">
        <v>0.7419020408163266</v>
      </c>
      <c r="AH9" s="17">
        <v>0.69846117424242427</v>
      </c>
      <c r="AI9" s="17">
        <v>3.1836867464254452E-2</v>
      </c>
      <c r="AJ9" s="17">
        <v>3.8954699835706465E-2</v>
      </c>
      <c r="AK9" s="17">
        <v>3.7647352721088441E-2</v>
      </c>
    </row>
    <row r="10" spans="1:37">
      <c r="A10" s="3" t="s">
        <v>21</v>
      </c>
      <c r="D10" s="8">
        <v>45751</v>
      </c>
      <c r="E10" s="7" t="s">
        <v>11</v>
      </c>
      <c r="F10" s="7">
        <v>11077</v>
      </c>
      <c r="G10" s="7">
        <v>972</v>
      </c>
      <c r="H10" s="7">
        <v>966</v>
      </c>
      <c r="I10" s="7">
        <v>245</v>
      </c>
      <c r="J10" s="7">
        <v>12</v>
      </c>
      <c r="K10" s="7">
        <v>4</v>
      </c>
      <c r="L10" s="7">
        <v>25.999884909999999</v>
      </c>
      <c r="M10" s="7">
        <v>969</v>
      </c>
      <c r="N10" s="7">
        <v>6600</v>
      </c>
      <c r="O10">
        <f t="shared" si="0"/>
        <v>2.6831666573787407E-2</v>
      </c>
      <c r="T10" s="13">
        <v>45755</v>
      </c>
      <c r="U10" s="32">
        <v>7147</v>
      </c>
      <c r="V10" s="32">
        <v>7669</v>
      </c>
      <c r="W10" s="32">
        <v>7511</v>
      </c>
      <c r="X10" s="32">
        <v>4514</v>
      </c>
      <c r="Y10" s="32">
        <v>4697</v>
      </c>
      <c r="Z10" s="32">
        <v>4559</v>
      </c>
      <c r="AA10" s="14">
        <v>36097</v>
      </c>
      <c r="AE10" s="18">
        <v>45755</v>
      </c>
      <c r="AF10" s="19">
        <v>0.78586922751023902</v>
      </c>
      <c r="AG10" s="19">
        <v>0.7227690081557484</v>
      </c>
      <c r="AH10" s="19">
        <v>0.90806729475100934</v>
      </c>
      <c r="AI10" s="19">
        <v>2.4906047695436057E-2</v>
      </c>
      <c r="AJ10" s="19">
        <v>3.5894040475152572E-2</v>
      </c>
      <c r="AK10" s="19">
        <v>5.0868769383653416E-2</v>
      </c>
    </row>
    <row r="11" spans="1:37">
      <c r="A11" s="3" t="s">
        <v>22</v>
      </c>
      <c r="D11" s="8">
        <v>45751</v>
      </c>
      <c r="E11" s="7" t="s">
        <v>12</v>
      </c>
      <c r="F11" s="7">
        <v>11072</v>
      </c>
      <c r="G11" s="7">
        <v>4980</v>
      </c>
      <c r="H11" s="7">
        <v>4366</v>
      </c>
      <c r="I11" s="7">
        <v>1059</v>
      </c>
      <c r="J11" s="7">
        <v>511</v>
      </c>
      <c r="K11" s="7">
        <v>145</v>
      </c>
      <c r="L11" s="9">
        <v>5675.48</v>
      </c>
      <c r="M11" s="7">
        <v>4969</v>
      </c>
      <c r="N11" s="7">
        <v>17866</v>
      </c>
      <c r="O11">
        <f t="shared" si="0"/>
        <v>1.1421775005031192</v>
      </c>
      <c r="T11" s="13">
        <v>45756</v>
      </c>
      <c r="U11" s="32">
        <v>6849</v>
      </c>
      <c r="V11" s="32">
        <v>7371</v>
      </c>
      <c r="W11" s="32">
        <v>7128</v>
      </c>
      <c r="X11" s="32">
        <v>4677</v>
      </c>
      <c r="Y11" s="32">
        <v>4826</v>
      </c>
      <c r="Z11" s="32">
        <v>4673</v>
      </c>
      <c r="AA11" s="14">
        <v>35524</v>
      </c>
      <c r="AE11" s="18">
        <v>45756</v>
      </c>
      <c r="AF11" s="19">
        <v>0.81671773718326457</v>
      </c>
      <c r="AG11" s="19">
        <v>0.80686242299794664</v>
      </c>
      <c r="AH11" s="19">
        <v>0.77299773755656109</v>
      </c>
      <c r="AI11" s="19">
        <v>6.4210905879762165E-2</v>
      </c>
      <c r="AJ11" s="19">
        <v>6.1644965974304064E-2</v>
      </c>
      <c r="AK11" s="19">
        <v>4.9425635700066355E-2</v>
      </c>
    </row>
    <row r="12" spans="1:37">
      <c r="A12" s="4" t="s">
        <v>23</v>
      </c>
      <c r="D12" s="8">
        <v>45751</v>
      </c>
      <c r="E12" s="7" t="s">
        <v>12</v>
      </c>
      <c r="F12" s="7">
        <v>11073</v>
      </c>
      <c r="G12" s="7">
        <v>5014</v>
      </c>
      <c r="H12" s="7">
        <v>4328</v>
      </c>
      <c r="I12" s="7">
        <v>754</v>
      </c>
      <c r="J12" s="7">
        <v>402</v>
      </c>
      <c r="K12" s="7">
        <v>98</v>
      </c>
      <c r="L12" s="9">
        <v>4123.37</v>
      </c>
      <c r="M12" s="7">
        <v>5002</v>
      </c>
      <c r="N12" s="7">
        <v>20211</v>
      </c>
      <c r="O12">
        <f t="shared" si="0"/>
        <v>0.82434426229508195</v>
      </c>
      <c r="T12" s="13">
        <v>45757</v>
      </c>
      <c r="U12" s="32">
        <v>7710</v>
      </c>
      <c r="V12" s="32">
        <v>8033</v>
      </c>
      <c r="W12" s="32">
        <v>7863</v>
      </c>
      <c r="X12" s="32">
        <v>5221</v>
      </c>
      <c r="Y12" s="32">
        <v>5323</v>
      </c>
      <c r="Z12" s="32">
        <v>5360</v>
      </c>
      <c r="AA12" s="14">
        <v>39510</v>
      </c>
      <c r="AE12" s="18">
        <v>45757</v>
      </c>
      <c r="AF12" s="19">
        <v>0.80144016758313685</v>
      </c>
      <c r="AG12" s="19">
        <v>0.65193276252833032</v>
      </c>
      <c r="AH12" s="19">
        <v>0.68956208140133957</v>
      </c>
      <c r="AI12" s="19">
        <v>5.5604444543650794E-2</v>
      </c>
      <c r="AJ12" s="19">
        <v>4.2416778606190385E-2</v>
      </c>
      <c r="AK12" s="19">
        <v>2.8691321170996511E-2</v>
      </c>
    </row>
    <row r="13" spans="1:37">
      <c r="A13" s="2" t="s">
        <v>24</v>
      </c>
      <c r="D13" s="8">
        <v>45751</v>
      </c>
      <c r="E13" s="7" t="s">
        <v>12</v>
      </c>
      <c r="F13" s="7">
        <v>11074</v>
      </c>
      <c r="G13" s="7">
        <v>4944</v>
      </c>
      <c r="H13" s="7">
        <v>4341</v>
      </c>
      <c r="I13" s="7">
        <v>810</v>
      </c>
      <c r="J13" s="7">
        <v>414</v>
      </c>
      <c r="K13" s="7">
        <v>117</v>
      </c>
      <c r="L13" s="9">
        <v>4223.75</v>
      </c>
      <c r="M13" s="7">
        <v>4934</v>
      </c>
      <c r="N13" s="7">
        <v>19568</v>
      </c>
      <c r="O13">
        <f t="shared" si="0"/>
        <v>0.85604985812728007</v>
      </c>
      <c r="T13" s="13">
        <v>45758</v>
      </c>
      <c r="U13" s="32">
        <v>8638</v>
      </c>
      <c r="V13" s="32">
        <v>8915</v>
      </c>
      <c r="W13" s="32">
        <v>8899</v>
      </c>
      <c r="X13" s="32">
        <v>5262</v>
      </c>
      <c r="Y13" s="32">
        <v>5329</v>
      </c>
      <c r="Z13" s="32">
        <v>5287</v>
      </c>
      <c r="AA13" s="14">
        <v>42330</v>
      </c>
      <c r="AE13" s="18">
        <v>45758</v>
      </c>
      <c r="AF13" s="19">
        <v>0.77707800586510267</v>
      </c>
      <c r="AG13" s="19">
        <v>0.55683606184629375</v>
      </c>
      <c r="AH13" s="19">
        <v>0.60887546997835251</v>
      </c>
      <c r="AI13" s="19">
        <v>6.0580751973943935E-2</v>
      </c>
      <c r="AJ13" s="19">
        <v>6.0724101706886406E-2</v>
      </c>
      <c r="AK13" s="19">
        <v>5.0506500573575946E-2</v>
      </c>
    </row>
    <row r="14" spans="1:37">
      <c r="A14" s="4" t="s">
        <v>25</v>
      </c>
      <c r="D14" s="8">
        <v>45752</v>
      </c>
      <c r="E14" s="7" t="s">
        <v>11</v>
      </c>
      <c r="F14" s="7">
        <v>11075</v>
      </c>
      <c r="G14" s="7">
        <v>1555</v>
      </c>
      <c r="H14" s="7">
        <v>1538</v>
      </c>
      <c r="I14" s="7">
        <v>428</v>
      </c>
      <c r="J14" s="7">
        <v>29</v>
      </c>
      <c r="K14" s="7">
        <v>11</v>
      </c>
      <c r="L14" s="7">
        <v>155.01802509999999</v>
      </c>
      <c r="M14" s="7">
        <v>1531</v>
      </c>
      <c r="N14" s="7">
        <v>5261</v>
      </c>
      <c r="O14">
        <f t="shared" si="0"/>
        <v>0.10125279235793598</v>
      </c>
      <c r="T14" s="13">
        <v>45759</v>
      </c>
      <c r="U14" s="32">
        <v>9698</v>
      </c>
      <c r="V14" s="32">
        <v>10226</v>
      </c>
      <c r="W14" s="32">
        <v>9844</v>
      </c>
      <c r="X14" s="32">
        <v>5080</v>
      </c>
      <c r="Y14" s="32">
        <v>5428</v>
      </c>
      <c r="Z14" s="32">
        <v>5204</v>
      </c>
      <c r="AA14" s="14">
        <v>45480</v>
      </c>
      <c r="AE14" s="18">
        <v>45759</v>
      </c>
      <c r="AF14" s="19">
        <v>0.72099729898192388</v>
      </c>
      <c r="AG14" s="19">
        <v>0.61071012920406353</v>
      </c>
      <c r="AH14" s="19">
        <v>0.49850379176060666</v>
      </c>
      <c r="AI14" s="19">
        <v>5.9662098667486681E-2</v>
      </c>
      <c r="AJ14" s="19">
        <v>1.6507214317257411E-2</v>
      </c>
      <c r="AK14" s="19">
        <v>5.7951647691066747E-2</v>
      </c>
    </row>
    <row r="15" spans="1:37">
      <c r="A15" s="4" t="s">
        <v>26</v>
      </c>
      <c r="D15" s="8">
        <v>45752</v>
      </c>
      <c r="E15" s="7" t="s">
        <v>11</v>
      </c>
      <c r="F15" s="7">
        <v>11076</v>
      </c>
      <c r="G15" s="7">
        <v>1590</v>
      </c>
      <c r="H15" s="7">
        <v>1560</v>
      </c>
      <c r="I15" s="7">
        <v>224</v>
      </c>
      <c r="J15" s="7">
        <v>6</v>
      </c>
      <c r="K15" s="7">
        <v>2</v>
      </c>
      <c r="L15" s="7">
        <v>47.211614599999997</v>
      </c>
      <c r="M15" s="7">
        <v>1573</v>
      </c>
      <c r="N15" s="7">
        <v>5523</v>
      </c>
      <c r="O15">
        <f t="shared" si="0"/>
        <v>3.0013741004450093E-2</v>
      </c>
      <c r="T15" s="13">
        <v>45760</v>
      </c>
      <c r="U15" s="32">
        <v>12540</v>
      </c>
      <c r="V15" s="32">
        <v>13032</v>
      </c>
      <c r="W15" s="32">
        <v>13169</v>
      </c>
      <c r="X15" s="32">
        <v>6112</v>
      </c>
      <c r="Y15" s="32">
        <v>6234</v>
      </c>
      <c r="Z15" s="32">
        <v>6307</v>
      </c>
      <c r="AA15" s="14">
        <v>57394</v>
      </c>
      <c r="AE15" s="18">
        <v>45760</v>
      </c>
      <c r="AF15" s="19">
        <v>0.74443731451030715</v>
      </c>
      <c r="AG15" s="19">
        <v>0.58129944375772558</v>
      </c>
      <c r="AH15" s="19">
        <v>0.70041730357688781</v>
      </c>
      <c r="AI15" s="19">
        <v>6.7852680786918751E-2</v>
      </c>
      <c r="AJ15" s="19">
        <v>4.57196449202351E-2</v>
      </c>
      <c r="AK15" s="19">
        <v>5.8845817456359098E-2</v>
      </c>
    </row>
    <row r="16" spans="1:37">
      <c r="A16" s="4" t="s">
        <v>27</v>
      </c>
      <c r="D16" s="8">
        <v>45752</v>
      </c>
      <c r="E16" s="7" t="s">
        <v>11</v>
      </c>
      <c r="F16" s="7">
        <v>11077</v>
      </c>
      <c r="G16" s="7">
        <v>1565</v>
      </c>
      <c r="H16" s="7">
        <v>1547</v>
      </c>
      <c r="I16" s="7">
        <v>344</v>
      </c>
      <c r="J16" s="7">
        <v>21</v>
      </c>
      <c r="K16" s="7">
        <v>8</v>
      </c>
      <c r="L16" s="7">
        <v>39.229443619999998</v>
      </c>
      <c r="M16" s="7">
        <v>1545</v>
      </c>
      <c r="N16" s="7">
        <v>12824</v>
      </c>
      <c r="O16">
        <f t="shared" si="0"/>
        <v>2.5391225644012944E-2</v>
      </c>
      <c r="T16" s="13">
        <v>45761</v>
      </c>
      <c r="U16" s="32">
        <v>12649</v>
      </c>
      <c r="V16" s="32">
        <v>13126</v>
      </c>
      <c r="W16" s="32">
        <v>12920</v>
      </c>
      <c r="X16" s="32">
        <v>6245</v>
      </c>
      <c r="Y16" s="32">
        <v>6703</v>
      </c>
      <c r="Z16" s="32">
        <v>6514</v>
      </c>
      <c r="AA16" s="14">
        <v>58157</v>
      </c>
      <c r="AE16" s="18">
        <v>45761</v>
      </c>
      <c r="AF16" s="19">
        <v>0.85669065898912344</v>
      </c>
      <c r="AG16" s="19">
        <v>0.61742146596858638</v>
      </c>
      <c r="AH16" s="19">
        <v>0.61911783140081478</v>
      </c>
      <c r="AI16" s="19">
        <v>4.2852423987170832E-2</v>
      </c>
      <c r="AJ16" s="19">
        <v>5.6399431310908514E-2</v>
      </c>
      <c r="AK16" s="19">
        <v>2.9303647508896798E-2</v>
      </c>
    </row>
    <row r="17" spans="1:48">
      <c r="A17" s="4" t="s">
        <v>28</v>
      </c>
      <c r="D17" s="8">
        <v>45752</v>
      </c>
      <c r="E17" s="7" t="s">
        <v>12</v>
      </c>
      <c r="F17" s="7">
        <v>11072</v>
      </c>
      <c r="G17" s="7">
        <v>5860</v>
      </c>
      <c r="H17" s="7">
        <v>4969</v>
      </c>
      <c r="I17" s="7">
        <v>1168</v>
      </c>
      <c r="J17" s="7">
        <v>557</v>
      </c>
      <c r="K17" s="7">
        <v>162</v>
      </c>
      <c r="L17" s="9">
        <v>5617.13</v>
      </c>
      <c r="M17" s="7">
        <v>5836</v>
      </c>
      <c r="N17" s="7">
        <v>21390</v>
      </c>
      <c r="O17">
        <f t="shared" si="0"/>
        <v>0.96249657299520219</v>
      </c>
      <c r="T17" s="13">
        <v>45762</v>
      </c>
      <c r="U17" s="32">
        <v>10540</v>
      </c>
      <c r="V17" s="32">
        <v>11172</v>
      </c>
      <c r="W17" s="32">
        <v>10753</v>
      </c>
      <c r="X17" s="32">
        <v>5618</v>
      </c>
      <c r="Y17" s="32">
        <v>5945</v>
      </c>
      <c r="Z17" s="32">
        <v>5735</v>
      </c>
      <c r="AA17" s="14">
        <v>49763</v>
      </c>
      <c r="AE17" s="18">
        <v>45762</v>
      </c>
      <c r="AF17" s="19">
        <v>0.77479192576293887</v>
      </c>
      <c r="AG17" s="19">
        <v>0.57798536453157467</v>
      </c>
      <c r="AH17" s="19">
        <v>0.61126172607879925</v>
      </c>
      <c r="AI17" s="19">
        <v>6.8885280589680589E-2</v>
      </c>
      <c r="AJ17" s="19">
        <v>3.9605046447109361E-2</v>
      </c>
      <c r="AK17" s="19">
        <v>3.3837600757156049E-2</v>
      </c>
    </row>
    <row r="18" spans="1:48">
      <c r="A18" s="4" t="s">
        <v>29</v>
      </c>
      <c r="D18" s="8">
        <v>45752</v>
      </c>
      <c r="E18" s="7" t="s">
        <v>12</v>
      </c>
      <c r="F18" s="7">
        <v>11073</v>
      </c>
      <c r="G18" s="7">
        <v>6111</v>
      </c>
      <c r="H18" s="7">
        <v>5062</v>
      </c>
      <c r="I18" s="7">
        <v>849</v>
      </c>
      <c r="J18" s="7">
        <v>463</v>
      </c>
      <c r="K18" s="7">
        <v>141</v>
      </c>
      <c r="L18" s="9">
        <v>5516.48</v>
      </c>
      <c r="M18" s="7">
        <v>6085</v>
      </c>
      <c r="N18" s="7">
        <v>23603</v>
      </c>
      <c r="O18">
        <f t="shared" si="0"/>
        <v>0.90657025472473285</v>
      </c>
      <c r="T18" s="13">
        <v>45763</v>
      </c>
      <c r="U18" s="32">
        <v>10174</v>
      </c>
      <c r="V18" s="32">
        <v>10643</v>
      </c>
      <c r="W18" s="32">
        <v>10480</v>
      </c>
      <c r="X18" s="32">
        <v>5456</v>
      </c>
      <c r="Y18" s="32">
        <v>5920</v>
      </c>
      <c r="Z18" s="32">
        <v>5551</v>
      </c>
      <c r="AA18" s="14">
        <v>48224</v>
      </c>
      <c r="AE18" s="18">
        <v>45763</v>
      </c>
      <c r="AF18" s="19">
        <v>0.74407521333597937</v>
      </c>
      <c r="AG18" s="19">
        <v>0.55618889730958698</v>
      </c>
      <c r="AH18" s="19">
        <v>0.47249759291353743</v>
      </c>
      <c r="AI18" s="19">
        <v>4.7106168363777692E-2</v>
      </c>
      <c r="AJ18" s="19">
        <v>4.7113334457266502E-2</v>
      </c>
      <c r="AK18" s="19">
        <v>4.6611373071744566E-2</v>
      </c>
    </row>
    <row r="19" spans="1:48">
      <c r="A19" s="4" t="s">
        <v>30</v>
      </c>
      <c r="D19" s="8">
        <v>45752</v>
      </c>
      <c r="E19" s="7" t="s">
        <v>12</v>
      </c>
      <c r="F19" s="7">
        <v>11074</v>
      </c>
      <c r="G19" s="7">
        <v>5795</v>
      </c>
      <c r="H19" s="7">
        <v>4877</v>
      </c>
      <c r="I19" s="7">
        <v>932</v>
      </c>
      <c r="J19" s="7">
        <v>453</v>
      </c>
      <c r="K19" s="7">
        <v>123</v>
      </c>
      <c r="L19" s="9">
        <v>4323.54</v>
      </c>
      <c r="M19" s="7">
        <v>5763</v>
      </c>
      <c r="N19" s="7">
        <v>23174</v>
      </c>
      <c r="O19">
        <f t="shared" si="0"/>
        <v>0.75022384174908896</v>
      </c>
      <c r="T19" s="13">
        <v>45764</v>
      </c>
      <c r="U19" s="32">
        <v>10518</v>
      </c>
      <c r="V19" s="32">
        <v>10852</v>
      </c>
      <c r="W19" s="32">
        <v>10739</v>
      </c>
      <c r="X19" s="32">
        <v>5887</v>
      </c>
      <c r="Y19" s="32">
        <v>6253</v>
      </c>
      <c r="Z19" s="32">
        <v>6016</v>
      </c>
      <c r="AA19" s="14">
        <v>50265</v>
      </c>
      <c r="AE19" s="13"/>
      <c r="AF19" s="17"/>
      <c r="AG19" s="17"/>
      <c r="AH19" s="17"/>
      <c r="AI19" s="17"/>
      <c r="AJ19" s="17"/>
      <c r="AK19" s="17"/>
    </row>
    <row r="20" spans="1:48">
      <c r="A20" s="4" t="s">
        <v>31</v>
      </c>
      <c r="D20" s="8">
        <v>45753</v>
      </c>
      <c r="E20" s="7" t="s">
        <v>11</v>
      </c>
      <c r="F20" s="7">
        <v>11075</v>
      </c>
      <c r="G20" s="7">
        <v>2133</v>
      </c>
      <c r="H20" s="7">
        <v>2104</v>
      </c>
      <c r="I20" s="7">
        <v>546</v>
      </c>
      <c r="J20" s="7">
        <v>53</v>
      </c>
      <c r="K20" s="7">
        <v>24</v>
      </c>
      <c r="L20" s="7">
        <v>218.58210170000001</v>
      </c>
      <c r="M20" s="7">
        <v>2101</v>
      </c>
      <c r="N20" s="7">
        <v>7241</v>
      </c>
      <c r="O20">
        <f t="shared" si="0"/>
        <v>0.10403717358400762</v>
      </c>
      <c r="T20" s="13" t="s">
        <v>104</v>
      </c>
      <c r="U20" s="14">
        <v>127448</v>
      </c>
      <c r="V20" s="14">
        <v>132620</v>
      </c>
      <c r="W20" s="14">
        <v>130285</v>
      </c>
      <c r="X20" s="14">
        <v>62357</v>
      </c>
      <c r="Y20" s="14">
        <v>65404</v>
      </c>
      <c r="Z20" s="14">
        <v>63762</v>
      </c>
      <c r="AA20" s="14">
        <v>581876</v>
      </c>
    </row>
    <row r="21" spans="1:48">
      <c r="A21" s="4" t="s">
        <v>32</v>
      </c>
      <c r="D21" s="8">
        <v>45753</v>
      </c>
      <c r="E21" s="7" t="s">
        <v>11</v>
      </c>
      <c r="F21" s="7">
        <v>11076</v>
      </c>
      <c r="G21" s="7">
        <v>2255</v>
      </c>
      <c r="H21" s="7">
        <v>2209</v>
      </c>
      <c r="I21" s="7">
        <v>296</v>
      </c>
      <c r="J21" s="7">
        <v>11</v>
      </c>
      <c r="K21" s="7">
        <v>5</v>
      </c>
      <c r="L21" s="7">
        <v>50.05976004</v>
      </c>
      <c r="M21" s="7">
        <v>2215</v>
      </c>
      <c r="N21" s="7">
        <v>8333</v>
      </c>
      <c r="O21">
        <f t="shared" si="0"/>
        <v>2.2600343133182845E-2</v>
      </c>
    </row>
    <row r="22" spans="1:48">
      <c r="A22" s="3" t="s">
        <v>33</v>
      </c>
      <c r="D22" s="8">
        <v>45753</v>
      </c>
      <c r="E22" s="7" t="s">
        <v>11</v>
      </c>
      <c r="F22" s="7">
        <v>11077</v>
      </c>
      <c r="G22" s="7">
        <v>2276</v>
      </c>
      <c r="H22" s="7">
        <v>2232</v>
      </c>
      <c r="I22" s="7">
        <v>468</v>
      </c>
      <c r="J22" s="7">
        <v>20</v>
      </c>
      <c r="K22" s="7">
        <v>7</v>
      </c>
      <c r="L22" s="7">
        <v>95.845647260000007</v>
      </c>
      <c r="M22" s="7">
        <v>2247</v>
      </c>
      <c r="N22" s="7">
        <v>18592</v>
      </c>
      <c r="O22">
        <f t="shared" si="0"/>
        <v>4.2654938700489545E-2</v>
      </c>
    </row>
    <row r="23" spans="1:48">
      <c r="A23" s="2" t="s">
        <v>34</v>
      </c>
      <c r="D23" s="8">
        <v>45753</v>
      </c>
      <c r="E23" s="7" t="s">
        <v>12</v>
      </c>
      <c r="F23" s="7">
        <v>11072</v>
      </c>
      <c r="G23" s="7">
        <v>7927</v>
      </c>
      <c r="H23" s="7">
        <v>6491</v>
      </c>
      <c r="I23" s="7">
        <v>1589</v>
      </c>
      <c r="J23" s="7">
        <v>752</v>
      </c>
      <c r="K23" s="7">
        <v>222</v>
      </c>
      <c r="L23" s="9">
        <v>8684.75</v>
      </c>
      <c r="M23" s="7">
        <v>7873</v>
      </c>
      <c r="N23" s="7">
        <v>31569</v>
      </c>
      <c r="O23">
        <f t="shared" si="0"/>
        <v>1.1031055506160294</v>
      </c>
      <c r="AE23" s="16" t="s">
        <v>108</v>
      </c>
      <c r="AF23" s="16"/>
      <c r="AG23" s="16"/>
      <c r="AH23" s="16"/>
      <c r="AI23" s="16"/>
      <c r="AJ23" s="16"/>
      <c r="AK23" s="16"/>
      <c r="AM23" s="16" t="s">
        <v>109</v>
      </c>
      <c r="AN23" s="16"/>
      <c r="AO23" s="16"/>
      <c r="AP23" s="16"/>
      <c r="AQ23" s="16"/>
      <c r="AR23" s="16"/>
      <c r="AS23" s="16"/>
    </row>
    <row r="24" spans="1:48">
      <c r="A24" s="3" t="s">
        <v>35</v>
      </c>
      <c r="D24" s="8">
        <v>45753</v>
      </c>
      <c r="E24" s="7" t="s">
        <v>12</v>
      </c>
      <c r="F24" s="7">
        <v>11073</v>
      </c>
      <c r="G24" s="7">
        <v>8087</v>
      </c>
      <c r="H24" s="7">
        <v>6454</v>
      </c>
      <c r="I24" s="7">
        <v>1108</v>
      </c>
      <c r="J24" s="7">
        <v>588</v>
      </c>
      <c r="K24" s="7">
        <v>154</v>
      </c>
      <c r="L24" s="9">
        <v>6887.03</v>
      </c>
      <c r="M24" s="7">
        <v>8047</v>
      </c>
      <c r="N24" s="7">
        <v>32213</v>
      </c>
      <c r="O24">
        <f t="shared" si="0"/>
        <v>0.85585062756306696</v>
      </c>
      <c r="AE24" s="15" t="s">
        <v>103</v>
      </c>
      <c r="AF24" s="15">
        <v>11072</v>
      </c>
      <c r="AG24" s="15">
        <v>11073</v>
      </c>
      <c r="AH24" s="15">
        <v>11074</v>
      </c>
      <c r="AI24" s="15">
        <v>11075</v>
      </c>
      <c r="AJ24" s="15">
        <v>11076</v>
      </c>
      <c r="AK24" s="15">
        <v>11077</v>
      </c>
      <c r="AM24" s="15" t="s">
        <v>103</v>
      </c>
      <c r="AN24" s="15">
        <v>11072</v>
      </c>
      <c r="AO24" s="15">
        <v>11073</v>
      </c>
      <c r="AP24" s="15">
        <v>11074</v>
      </c>
      <c r="AQ24" s="15">
        <v>11075</v>
      </c>
      <c r="AR24" s="15">
        <v>11076</v>
      </c>
      <c r="AS24" s="15">
        <v>11077</v>
      </c>
      <c r="AU24" t="s">
        <v>156</v>
      </c>
      <c r="AV24" t="s">
        <v>157</v>
      </c>
    </row>
    <row r="25" spans="1:48">
      <c r="A25" s="5" t="s">
        <v>36</v>
      </c>
      <c r="D25" s="8">
        <v>45753</v>
      </c>
      <c r="E25" s="7" t="s">
        <v>12</v>
      </c>
      <c r="F25" s="7">
        <v>11074</v>
      </c>
      <c r="G25" s="7">
        <v>7902</v>
      </c>
      <c r="H25" s="7">
        <v>6485</v>
      </c>
      <c r="I25" s="7">
        <v>1238</v>
      </c>
      <c r="J25" s="7">
        <v>632</v>
      </c>
      <c r="K25" s="7">
        <v>184</v>
      </c>
      <c r="L25" s="9">
        <v>7428.73</v>
      </c>
      <c r="M25" s="7">
        <v>7851</v>
      </c>
      <c r="N25" s="7">
        <v>31709</v>
      </c>
      <c r="O25">
        <f t="shared" si="0"/>
        <v>0.94621449496879373</v>
      </c>
      <c r="AE25" s="13">
        <v>45750</v>
      </c>
      <c r="AF25" s="14">
        <v>3818</v>
      </c>
      <c r="AG25" s="14">
        <v>3746</v>
      </c>
      <c r="AH25" s="14">
        <v>3843</v>
      </c>
      <c r="AI25" s="14">
        <v>138</v>
      </c>
      <c r="AJ25" s="14">
        <v>151</v>
      </c>
      <c r="AK25" s="14">
        <v>166</v>
      </c>
      <c r="AM25" s="13">
        <v>45750</v>
      </c>
      <c r="AN25" s="20">
        <v>5450.3</v>
      </c>
      <c r="AO25" s="20">
        <v>3924.85</v>
      </c>
      <c r="AP25" s="20">
        <v>4406.83</v>
      </c>
      <c r="AQ25" s="20">
        <v>0</v>
      </c>
      <c r="AR25" s="20">
        <v>0</v>
      </c>
      <c r="AS25" s="20">
        <v>0</v>
      </c>
      <c r="AU25" s="32">
        <f>AO25-AN25+AR25-AQ25</f>
        <v>-1525.4500000000003</v>
      </c>
      <c r="AV25" s="32">
        <f>AP25-AN25+AS25-AQ25</f>
        <v>-1043.4700000000003</v>
      </c>
    </row>
    <row r="26" spans="1:48">
      <c r="A26" s="4" t="s">
        <v>37</v>
      </c>
      <c r="D26" s="8">
        <v>45754</v>
      </c>
      <c r="E26" s="7" t="s">
        <v>11</v>
      </c>
      <c r="F26" s="7">
        <v>11075</v>
      </c>
      <c r="G26" s="7">
        <v>3484</v>
      </c>
      <c r="H26" s="7">
        <v>3435</v>
      </c>
      <c r="I26" s="7">
        <v>873</v>
      </c>
      <c r="J26" s="7">
        <v>48</v>
      </c>
      <c r="K26" s="7">
        <v>11</v>
      </c>
      <c r="L26" s="7">
        <v>109.1049448</v>
      </c>
      <c r="M26" s="7">
        <v>3427</v>
      </c>
      <c r="N26" s="7">
        <v>11947</v>
      </c>
      <c r="O26">
        <f t="shared" si="0"/>
        <v>3.1836867464254452E-2</v>
      </c>
      <c r="AE26" s="13">
        <v>45751</v>
      </c>
      <c r="AF26" s="14">
        <v>4969</v>
      </c>
      <c r="AG26" s="14">
        <v>5002</v>
      </c>
      <c r="AH26" s="14">
        <v>4934</v>
      </c>
      <c r="AI26" s="14">
        <v>973</v>
      </c>
      <c r="AJ26" s="14">
        <v>1033</v>
      </c>
      <c r="AK26" s="14">
        <v>969</v>
      </c>
      <c r="AM26" s="13">
        <v>45751</v>
      </c>
      <c r="AN26" s="20">
        <v>5675.48</v>
      </c>
      <c r="AO26" s="20">
        <v>4123.37</v>
      </c>
      <c r="AP26" s="20">
        <v>4223.75</v>
      </c>
      <c r="AQ26" s="20">
        <v>20.8434171</v>
      </c>
      <c r="AR26" s="20">
        <v>17.565368889999998</v>
      </c>
      <c r="AS26" s="20">
        <v>25.999884909999999</v>
      </c>
      <c r="AU26" s="32">
        <f t="shared" ref="AU26:AU39" si="1">AO26-AN26+AR26-AQ26</f>
        <v>-1555.3880482099996</v>
      </c>
      <c r="AV26" s="32">
        <f t="shared" ref="AV26:AV39" si="2">AP26-AN26+AS26-AQ26</f>
        <v>-1446.5735321899995</v>
      </c>
    </row>
    <row r="27" spans="1:48">
      <c r="A27" s="3" t="s">
        <v>38</v>
      </c>
      <c r="D27" s="8">
        <v>45754</v>
      </c>
      <c r="E27" s="7" t="s">
        <v>11</v>
      </c>
      <c r="F27" s="7">
        <v>11076</v>
      </c>
      <c r="G27" s="7">
        <v>3715</v>
      </c>
      <c r="H27" s="7">
        <v>3637</v>
      </c>
      <c r="I27" s="7">
        <v>524</v>
      </c>
      <c r="J27" s="7">
        <v>42</v>
      </c>
      <c r="K27" s="7">
        <v>20</v>
      </c>
      <c r="L27" s="7">
        <v>142.26256380000001</v>
      </c>
      <c r="M27" s="7">
        <v>3652</v>
      </c>
      <c r="N27" s="7">
        <v>15684</v>
      </c>
      <c r="O27">
        <f t="shared" si="0"/>
        <v>3.8954699835706465E-2</v>
      </c>
      <c r="AE27" s="13">
        <v>45752</v>
      </c>
      <c r="AF27" s="14">
        <v>5836</v>
      </c>
      <c r="AG27" s="14">
        <v>6085</v>
      </c>
      <c r="AH27" s="14">
        <v>5763</v>
      </c>
      <c r="AI27" s="14">
        <v>1531</v>
      </c>
      <c r="AJ27" s="14">
        <v>1573</v>
      </c>
      <c r="AK27" s="14">
        <v>1545</v>
      </c>
      <c r="AM27" s="13">
        <v>45752</v>
      </c>
      <c r="AN27" s="20">
        <v>5617.13</v>
      </c>
      <c r="AO27" s="20">
        <v>5516.48</v>
      </c>
      <c r="AP27" s="20">
        <v>4323.54</v>
      </c>
      <c r="AQ27" s="20">
        <v>155.01802509999999</v>
      </c>
      <c r="AR27" s="20">
        <v>47.211614599999997</v>
      </c>
      <c r="AS27" s="20">
        <v>39.229443619999998</v>
      </c>
      <c r="AU27" s="32">
        <f t="shared" si="1"/>
        <v>-208.45641050000054</v>
      </c>
      <c r="AV27" s="32">
        <f t="shared" si="2"/>
        <v>-1409.3785814800001</v>
      </c>
    </row>
    <row r="28" spans="1:48">
      <c r="A28" s="3" t="s">
        <v>39</v>
      </c>
      <c r="D28" s="8">
        <v>45754</v>
      </c>
      <c r="E28" s="7" t="s">
        <v>11</v>
      </c>
      <c r="F28" s="7">
        <v>11077</v>
      </c>
      <c r="G28" s="7">
        <v>3577</v>
      </c>
      <c r="H28" s="7">
        <v>3504</v>
      </c>
      <c r="I28" s="7">
        <v>713</v>
      </c>
      <c r="J28" s="7">
        <v>41</v>
      </c>
      <c r="K28" s="7">
        <v>15</v>
      </c>
      <c r="L28" s="7">
        <v>132.81986040000001</v>
      </c>
      <c r="M28" s="7">
        <v>3528</v>
      </c>
      <c r="N28" s="7">
        <v>25021</v>
      </c>
      <c r="O28">
        <f t="shared" si="0"/>
        <v>3.7647352721088441E-2</v>
      </c>
      <c r="AE28" s="13">
        <v>45753</v>
      </c>
      <c r="AF28" s="14">
        <v>7873</v>
      </c>
      <c r="AG28" s="14">
        <v>8047</v>
      </c>
      <c r="AH28" s="14">
        <v>7851</v>
      </c>
      <c r="AI28" s="14">
        <v>2101</v>
      </c>
      <c r="AJ28" s="14">
        <v>2215</v>
      </c>
      <c r="AK28" s="14">
        <v>2247</v>
      </c>
      <c r="AM28" s="33">
        <v>45753</v>
      </c>
      <c r="AN28" s="34">
        <v>8684.75</v>
      </c>
      <c r="AO28" s="34">
        <v>6887.03</v>
      </c>
      <c r="AP28" s="34">
        <v>7428.73</v>
      </c>
      <c r="AQ28" s="34">
        <v>218.58210170000001</v>
      </c>
      <c r="AR28" s="34">
        <v>50.05976004</v>
      </c>
      <c r="AS28" s="34">
        <v>95.845647260000007</v>
      </c>
      <c r="AT28" s="35"/>
      <c r="AU28" s="36">
        <f t="shared" si="1"/>
        <v>-1966.2423416600004</v>
      </c>
      <c r="AV28" s="36">
        <f t="shared" si="2"/>
        <v>-1378.7564544400004</v>
      </c>
    </row>
    <row r="29" spans="1:48">
      <c r="A29" s="3" t="s">
        <v>40</v>
      </c>
      <c r="D29" s="8">
        <v>45754</v>
      </c>
      <c r="E29" s="7" t="s">
        <v>12</v>
      </c>
      <c r="F29" s="7">
        <v>11072</v>
      </c>
      <c r="G29" s="7">
        <v>8399</v>
      </c>
      <c r="H29" s="7">
        <v>6666</v>
      </c>
      <c r="I29" s="7">
        <v>1519</v>
      </c>
      <c r="J29" s="7">
        <v>723</v>
      </c>
      <c r="K29" s="7">
        <v>228</v>
      </c>
      <c r="L29" s="9">
        <v>8428.26</v>
      </c>
      <c r="M29" s="7">
        <v>8352</v>
      </c>
      <c r="N29" s="7">
        <v>33795</v>
      </c>
      <c r="O29">
        <f t="shared" si="0"/>
        <v>1.0091307471264368</v>
      </c>
      <c r="AE29" s="13">
        <v>45754</v>
      </c>
      <c r="AF29" s="14">
        <v>8352</v>
      </c>
      <c r="AG29" s="14">
        <v>8575</v>
      </c>
      <c r="AH29" s="14">
        <v>8448</v>
      </c>
      <c r="AI29" s="14">
        <v>3427</v>
      </c>
      <c r="AJ29" s="14">
        <v>3652</v>
      </c>
      <c r="AK29" s="14">
        <v>3528</v>
      </c>
      <c r="AM29" s="37">
        <v>45754</v>
      </c>
      <c r="AN29" s="38">
        <v>8428.26</v>
      </c>
      <c r="AO29" s="38">
        <v>6361.81</v>
      </c>
      <c r="AP29" s="38">
        <v>5900.6</v>
      </c>
      <c r="AQ29" s="38">
        <v>109.1049448</v>
      </c>
      <c r="AR29" s="38">
        <v>142.26256380000001</v>
      </c>
      <c r="AS29" s="38">
        <v>132.81986040000001</v>
      </c>
      <c r="AT29" s="39"/>
      <c r="AU29" s="40">
        <f t="shared" si="1"/>
        <v>-2033.2923809999998</v>
      </c>
      <c r="AV29" s="40">
        <f t="shared" si="2"/>
        <v>-2503.9450843999998</v>
      </c>
    </row>
    <row r="30" spans="1:48">
      <c r="A30" s="6" t="s">
        <v>41</v>
      </c>
      <c r="D30" s="8">
        <v>45754</v>
      </c>
      <c r="E30" s="7" t="s">
        <v>12</v>
      </c>
      <c r="F30" s="7">
        <v>11073</v>
      </c>
      <c r="G30" s="7">
        <v>8623</v>
      </c>
      <c r="H30" s="7">
        <v>6742</v>
      </c>
      <c r="I30" s="7">
        <v>1123</v>
      </c>
      <c r="J30" s="7">
        <v>611</v>
      </c>
      <c r="K30" s="7">
        <v>161</v>
      </c>
      <c r="L30" s="9">
        <v>6361.81</v>
      </c>
      <c r="M30" s="7">
        <v>8575</v>
      </c>
      <c r="N30" s="7">
        <v>35365</v>
      </c>
      <c r="O30">
        <f t="shared" si="0"/>
        <v>0.7419020408163266</v>
      </c>
      <c r="AE30" s="13">
        <v>45755</v>
      </c>
      <c r="AF30" s="14">
        <v>7081</v>
      </c>
      <c r="AG30" s="14">
        <v>7602</v>
      </c>
      <c r="AH30" s="14">
        <v>7430</v>
      </c>
      <c r="AI30" s="14">
        <v>4426</v>
      </c>
      <c r="AJ30" s="14">
        <v>4588</v>
      </c>
      <c r="AK30" s="14">
        <v>4478</v>
      </c>
      <c r="AM30" s="37">
        <v>45755</v>
      </c>
      <c r="AN30" s="38">
        <v>5564.74</v>
      </c>
      <c r="AO30" s="38">
        <v>5494.49</v>
      </c>
      <c r="AP30" s="38">
        <v>6746.94</v>
      </c>
      <c r="AQ30" s="38">
        <v>110.23416709999999</v>
      </c>
      <c r="AR30" s="38">
        <v>164.68185769999999</v>
      </c>
      <c r="AS30" s="38">
        <v>227.7903493</v>
      </c>
      <c r="AT30" s="39"/>
      <c r="AU30" s="40">
        <f t="shared" si="1"/>
        <v>-15.802309399999999</v>
      </c>
      <c r="AV30" s="40">
        <f t="shared" si="2"/>
        <v>1299.7561821999998</v>
      </c>
    </row>
    <row r="31" spans="1:48">
      <c r="A31" s="4" t="s">
        <v>42</v>
      </c>
      <c r="D31" s="8">
        <v>45754</v>
      </c>
      <c r="E31" s="7" t="s">
        <v>12</v>
      </c>
      <c r="F31" s="7">
        <v>11074</v>
      </c>
      <c r="G31" s="7">
        <v>8493</v>
      </c>
      <c r="H31" s="7">
        <v>6779</v>
      </c>
      <c r="I31" s="7">
        <v>1238</v>
      </c>
      <c r="J31" s="7">
        <v>640</v>
      </c>
      <c r="K31" s="7">
        <v>162</v>
      </c>
      <c r="L31" s="9">
        <v>5900.6</v>
      </c>
      <c r="M31" s="7">
        <v>8448</v>
      </c>
      <c r="N31" s="7">
        <v>34920</v>
      </c>
      <c r="O31">
        <f t="shared" si="0"/>
        <v>0.69846117424242427</v>
      </c>
      <c r="AE31" s="13">
        <v>45756</v>
      </c>
      <c r="AF31" s="14">
        <v>6788</v>
      </c>
      <c r="AG31" s="14">
        <v>7305</v>
      </c>
      <c r="AH31" s="14">
        <v>7072</v>
      </c>
      <c r="AI31" s="14">
        <v>4541</v>
      </c>
      <c r="AJ31" s="14">
        <v>4670</v>
      </c>
      <c r="AK31" s="14">
        <v>4521</v>
      </c>
      <c r="AM31" s="37">
        <v>45756</v>
      </c>
      <c r="AN31" s="38">
        <v>5543.88</v>
      </c>
      <c r="AO31" s="38">
        <v>5894.13</v>
      </c>
      <c r="AP31" s="38">
        <v>5466.64</v>
      </c>
      <c r="AQ31" s="38">
        <v>291.58172359999998</v>
      </c>
      <c r="AR31" s="38">
        <v>287.88199109999999</v>
      </c>
      <c r="AS31" s="38">
        <v>223.45329899999999</v>
      </c>
      <c r="AT31" s="39"/>
      <c r="AU31" s="40">
        <f t="shared" si="1"/>
        <v>346.55026750000007</v>
      </c>
      <c r="AV31" s="40">
        <f t="shared" si="2"/>
        <v>-145.36842459999977</v>
      </c>
    </row>
    <row r="32" spans="1:48">
      <c r="A32" s="3" t="s">
        <v>15</v>
      </c>
      <c r="D32" s="8">
        <v>45755</v>
      </c>
      <c r="E32" s="7" t="s">
        <v>11</v>
      </c>
      <c r="F32" s="7">
        <v>11075</v>
      </c>
      <c r="G32" s="7">
        <v>4514</v>
      </c>
      <c r="H32" s="7">
        <v>4424</v>
      </c>
      <c r="I32" s="7">
        <v>1126</v>
      </c>
      <c r="J32" s="7">
        <v>75</v>
      </c>
      <c r="K32" s="7">
        <v>20</v>
      </c>
      <c r="L32" s="7">
        <v>110.23416709999999</v>
      </c>
      <c r="M32" s="7">
        <v>4426</v>
      </c>
      <c r="N32" s="7">
        <v>15171</v>
      </c>
      <c r="O32">
        <f t="shared" si="0"/>
        <v>2.4906047695436057E-2</v>
      </c>
      <c r="AE32" s="13">
        <v>45757</v>
      </c>
      <c r="AF32" s="14">
        <v>7638</v>
      </c>
      <c r="AG32" s="14">
        <v>7942</v>
      </c>
      <c r="AH32" s="14">
        <v>7764</v>
      </c>
      <c r="AI32" s="14">
        <v>5040</v>
      </c>
      <c r="AJ32" s="14">
        <v>5137</v>
      </c>
      <c r="AK32" s="14">
        <v>5158</v>
      </c>
      <c r="AM32" s="37">
        <v>45757</v>
      </c>
      <c r="AN32" s="38">
        <v>6121.4</v>
      </c>
      <c r="AO32" s="38">
        <v>5177.6499999999996</v>
      </c>
      <c r="AP32" s="38">
        <v>5353.76</v>
      </c>
      <c r="AQ32" s="38">
        <v>280.24640049999999</v>
      </c>
      <c r="AR32" s="38">
        <v>217.89499169999999</v>
      </c>
      <c r="AS32" s="38">
        <v>147.98983459999999</v>
      </c>
      <c r="AT32" s="39"/>
      <c r="AU32" s="40">
        <f t="shared" si="1"/>
        <v>-1006.1014087999999</v>
      </c>
      <c r="AV32" s="40">
        <f t="shared" si="2"/>
        <v>-899.89656589999936</v>
      </c>
    </row>
    <row r="33" spans="1:48">
      <c r="A33" s="3" t="s">
        <v>43</v>
      </c>
      <c r="D33" s="8">
        <v>45755</v>
      </c>
      <c r="E33" s="7" t="s">
        <v>11</v>
      </c>
      <c r="F33" s="7">
        <v>11076</v>
      </c>
      <c r="G33" s="7">
        <v>4697</v>
      </c>
      <c r="H33" s="7">
        <v>4570</v>
      </c>
      <c r="I33" s="7">
        <v>635</v>
      </c>
      <c r="J33" s="7">
        <v>39</v>
      </c>
      <c r="K33" s="7">
        <v>15</v>
      </c>
      <c r="L33" s="7">
        <v>164.68185769999999</v>
      </c>
      <c r="M33" s="7">
        <v>4588</v>
      </c>
      <c r="N33" s="7">
        <v>17943</v>
      </c>
      <c r="O33">
        <f t="shared" si="0"/>
        <v>3.5894040475152572E-2</v>
      </c>
      <c r="AE33" s="13">
        <v>45758</v>
      </c>
      <c r="AF33" s="14">
        <v>8525</v>
      </c>
      <c r="AG33" s="14">
        <v>8796</v>
      </c>
      <c r="AH33" s="14">
        <v>8777</v>
      </c>
      <c r="AI33" s="14">
        <v>5066</v>
      </c>
      <c r="AJ33" s="14">
        <v>5097</v>
      </c>
      <c r="AK33" s="14">
        <v>5056</v>
      </c>
      <c r="AM33" s="37">
        <v>45758</v>
      </c>
      <c r="AN33" s="38">
        <v>6624.59</v>
      </c>
      <c r="AO33" s="38">
        <v>4897.93</v>
      </c>
      <c r="AP33" s="38">
        <v>5344.1</v>
      </c>
      <c r="AQ33" s="38">
        <v>306.90208949999999</v>
      </c>
      <c r="AR33" s="38">
        <v>309.51074640000002</v>
      </c>
      <c r="AS33" s="38">
        <v>255.36086689999999</v>
      </c>
      <c r="AT33" s="39"/>
      <c r="AU33" s="40">
        <f t="shared" si="1"/>
        <v>-1724.0513430999999</v>
      </c>
      <c r="AV33" s="40">
        <f t="shared" si="2"/>
        <v>-1332.0312225999996</v>
      </c>
    </row>
    <row r="34" spans="1:48">
      <c r="A34" s="3" t="s">
        <v>44</v>
      </c>
      <c r="D34" s="8">
        <v>45755</v>
      </c>
      <c r="E34" s="7" t="s">
        <v>11</v>
      </c>
      <c r="F34" s="7">
        <v>11077</v>
      </c>
      <c r="G34" s="7">
        <v>4559</v>
      </c>
      <c r="H34" s="7">
        <v>4473</v>
      </c>
      <c r="I34" s="7">
        <v>893</v>
      </c>
      <c r="J34" s="7">
        <v>56</v>
      </c>
      <c r="K34" s="7">
        <v>24</v>
      </c>
      <c r="L34" s="7">
        <v>227.7903493</v>
      </c>
      <c r="M34" s="7">
        <v>4478</v>
      </c>
      <c r="N34" s="7">
        <v>16578</v>
      </c>
      <c r="O34">
        <f t="shared" si="0"/>
        <v>5.0868769383653416E-2</v>
      </c>
      <c r="AE34" s="13">
        <v>45759</v>
      </c>
      <c r="AF34" s="14">
        <v>9626</v>
      </c>
      <c r="AG34" s="14">
        <v>10139</v>
      </c>
      <c r="AH34" s="14">
        <v>9758</v>
      </c>
      <c r="AI34" s="14">
        <v>4878</v>
      </c>
      <c r="AJ34" s="14">
        <v>5163</v>
      </c>
      <c r="AK34" s="14">
        <v>4959</v>
      </c>
      <c r="AM34" s="13">
        <v>45759</v>
      </c>
      <c r="AN34" s="20">
        <v>6940.32</v>
      </c>
      <c r="AO34" s="20">
        <v>6191.99</v>
      </c>
      <c r="AP34" s="20">
        <v>4864.3999999999996</v>
      </c>
      <c r="AQ34" s="20">
        <v>291.03171730000003</v>
      </c>
      <c r="AR34" s="20">
        <v>85.226747520000004</v>
      </c>
      <c r="AS34" s="20">
        <v>287.38222089999999</v>
      </c>
      <c r="AU34" s="32">
        <f t="shared" si="1"/>
        <v>-954.13496977999989</v>
      </c>
      <c r="AV34" s="32">
        <f t="shared" si="2"/>
        <v>-2079.5694963999999</v>
      </c>
    </row>
    <row r="35" spans="1:48">
      <c r="A35" s="4" t="s">
        <v>45</v>
      </c>
      <c r="D35" s="8">
        <v>45755</v>
      </c>
      <c r="E35" s="7" t="s">
        <v>12</v>
      </c>
      <c r="F35" s="7">
        <v>11072</v>
      </c>
      <c r="G35" s="7">
        <v>7147</v>
      </c>
      <c r="H35" s="7">
        <v>5383</v>
      </c>
      <c r="I35" s="7">
        <v>1139</v>
      </c>
      <c r="J35" s="7">
        <v>536</v>
      </c>
      <c r="K35" s="7">
        <v>148</v>
      </c>
      <c r="L35" s="9">
        <v>5564.74</v>
      </c>
      <c r="M35" s="7">
        <v>7081</v>
      </c>
      <c r="N35" s="7">
        <v>26840</v>
      </c>
      <c r="O35">
        <f t="shared" si="0"/>
        <v>0.78586922751023869</v>
      </c>
      <c r="AE35" s="13">
        <v>45760</v>
      </c>
      <c r="AF35" s="14">
        <v>12467</v>
      </c>
      <c r="AG35" s="14">
        <v>12944</v>
      </c>
      <c r="AH35" s="14">
        <v>13084</v>
      </c>
      <c r="AI35" s="14">
        <v>5871</v>
      </c>
      <c r="AJ35" s="14">
        <v>5955</v>
      </c>
      <c r="AK35" s="14">
        <v>6015</v>
      </c>
      <c r="AM35" s="13">
        <v>45760</v>
      </c>
      <c r="AN35" s="20">
        <v>9280.9</v>
      </c>
      <c r="AO35" s="20">
        <v>7524.34</v>
      </c>
      <c r="AP35" s="20">
        <v>9164.26</v>
      </c>
      <c r="AQ35" s="20">
        <v>398.36308889999998</v>
      </c>
      <c r="AR35" s="20">
        <v>272.26048550000002</v>
      </c>
      <c r="AS35" s="20">
        <v>353.95759199999998</v>
      </c>
      <c r="AU35" s="32">
        <f t="shared" si="1"/>
        <v>-1882.6626033999996</v>
      </c>
      <c r="AV35" s="32">
        <f t="shared" si="2"/>
        <v>-161.04549689999942</v>
      </c>
    </row>
    <row r="36" spans="1:48">
      <c r="A36" s="4" t="s">
        <v>46</v>
      </c>
      <c r="D36" s="8">
        <v>45755</v>
      </c>
      <c r="E36" s="7" t="s">
        <v>12</v>
      </c>
      <c r="F36" s="7">
        <v>11073</v>
      </c>
      <c r="G36" s="7">
        <v>7669</v>
      </c>
      <c r="H36" s="7">
        <v>5717</v>
      </c>
      <c r="I36" s="7">
        <v>935</v>
      </c>
      <c r="J36" s="7">
        <v>508</v>
      </c>
      <c r="K36" s="7">
        <v>146</v>
      </c>
      <c r="L36" s="9">
        <v>5494.49</v>
      </c>
      <c r="M36" s="7">
        <v>7602</v>
      </c>
      <c r="N36" s="7">
        <v>31950</v>
      </c>
      <c r="O36">
        <f t="shared" si="0"/>
        <v>0.7227690081557484</v>
      </c>
      <c r="AE36" s="13">
        <v>45761</v>
      </c>
      <c r="AF36" s="14">
        <v>12504</v>
      </c>
      <c r="AG36" s="14">
        <v>12988</v>
      </c>
      <c r="AH36" s="14">
        <v>12764</v>
      </c>
      <c r="AI36" s="14">
        <v>5924</v>
      </c>
      <c r="AJ36" s="14">
        <v>6362</v>
      </c>
      <c r="AK36" s="14">
        <v>6182</v>
      </c>
      <c r="AM36" s="13">
        <v>45761</v>
      </c>
      <c r="AN36" s="20">
        <v>10712.06</v>
      </c>
      <c r="AO36" s="20">
        <v>8019.07</v>
      </c>
      <c r="AP36" s="20">
        <v>7902.42</v>
      </c>
      <c r="AQ36" s="20">
        <v>253.8577597</v>
      </c>
      <c r="AR36" s="20">
        <v>358.81318199999998</v>
      </c>
      <c r="AS36" s="20">
        <v>181.1551489</v>
      </c>
      <c r="AU36" s="32">
        <f t="shared" si="1"/>
        <v>-2588.0345776999998</v>
      </c>
      <c r="AV36" s="32">
        <f t="shared" si="2"/>
        <v>-2882.3426107999994</v>
      </c>
    </row>
    <row r="37" spans="1:48">
      <c r="A37" s="4" t="s">
        <v>47</v>
      </c>
      <c r="D37" s="8">
        <v>45755</v>
      </c>
      <c r="E37" s="7" t="s">
        <v>12</v>
      </c>
      <c r="F37" s="7">
        <v>11074</v>
      </c>
      <c r="G37" s="7">
        <v>7511</v>
      </c>
      <c r="H37" s="7">
        <v>5746</v>
      </c>
      <c r="I37" s="7">
        <v>1070</v>
      </c>
      <c r="J37" s="7">
        <v>536</v>
      </c>
      <c r="K37" s="7">
        <v>139</v>
      </c>
      <c r="L37" s="9">
        <v>6746.94</v>
      </c>
      <c r="M37" s="7">
        <v>7430</v>
      </c>
      <c r="N37" s="7">
        <v>29760</v>
      </c>
      <c r="O37">
        <f t="shared" si="0"/>
        <v>0.90806729475100934</v>
      </c>
      <c r="AE37" s="13">
        <v>45762</v>
      </c>
      <c r="AF37" s="14">
        <v>10453</v>
      </c>
      <c r="AG37" s="14">
        <v>11069</v>
      </c>
      <c r="AH37" s="14">
        <v>10660</v>
      </c>
      <c r="AI37" s="14">
        <v>5291</v>
      </c>
      <c r="AJ37" s="14">
        <v>5587</v>
      </c>
      <c r="AK37" s="14">
        <v>5415</v>
      </c>
      <c r="AM37" s="13">
        <v>45762</v>
      </c>
      <c r="AN37" s="20">
        <v>8098.9</v>
      </c>
      <c r="AO37" s="20">
        <v>6397.72</v>
      </c>
      <c r="AP37" s="20">
        <v>6516.05</v>
      </c>
      <c r="AQ37" s="20">
        <v>364.47201960000001</v>
      </c>
      <c r="AR37" s="20">
        <v>221.27339449999999</v>
      </c>
      <c r="AS37" s="20">
        <v>183.23060810000001</v>
      </c>
      <c r="AU37" s="32">
        <f t="shared" si="1"/>
        <v>-1844.3786250999995</v>
      </c>
      <c r="AV37" s="32">
        <f t="shared" si="2"/>
        <v>-1764.0914114999996</v>
      </c>
    </row>
    <row r="38" spans="1:48">
      <c r="A38" s="4" t="s">
        <v>48</v>
      </c>
      <c r="D38" s="8">
        <v>45756</v>
      </c>
      <c r="E38" s="7" t="s">
        <v>11</v>
      </c>
      <c r="F38" s="7">
        <v>11075</v>
      </c>
      <c r="G38" s="7">
        <v>4677</v>
      </c>
      <c r="H38" s="7">
        <v>4556</v>
      </c>
      <c r="I38" s="7">
        <v>1091</v>
      </c>
      <c r="J38" s="7">
        <v>81</v>
      </c>
      <c r="K38" s="7">
        <v>32</v>
      </c>
      <c r="L38" s="7">
        <v>291.58172359999998</v>
      </c>
      <c r="M38" s="7">
        <v>4541</v>
      </c>
      <c r="N38" s="7">
        <v>16146</v>
      </c>
      <c r="O38">
        <f t="shared" si="0"/>
        <v>6.4210905879762165E-2</v>
      </c>
      <c r="AE38" s="13">
        <v>45763</v>
      </c>
      <c r="AF38" s="14">
        <v>10078</v>
      </c>
      <c r="AG38" s="14">
        <v>10556</v>
      </c>
      <c r="AH38" s="14">
        <v>10386</v>
      </c>
      <c r="AI38" s="14">
        <v>5146</v>
      </c>
      <c r="AJ38" s="14">
        <v>5546</v>
      </c>
      <c r="AK38" s="14">
        <v>5199</v>
      </c>
      <c r="AM38" s="13">
        <v>45763</v>
      </c>
      <c r="AN38" s="20">
        <v>7498.79</v>
      </c>
      <c r="AO38" s="20">
        <v>5871.13</v>
      </c>
      <c r="AP38" s="20">
        <v>4907.3599999999997</v>
      </c>
      <c r="AQ38" s="20">
        <v>242.40834240000001</v>
      </c>
      <c r="AR38" s="20">
        <v>261.29055290000002</v>
      </c>
      <c r="AS38" s="20">
        <v>242.33252859999999</v>
      </c>
      <c r="AU38" s="32">
        <f t="shared" si="1"/>
        <v>-1608.7777894999999</v>
      </c>
      <c r="AV38" s="32">
        <f t="shared" si="2"/>
        <v>-2591.5058138000004</v>
      </c>
    </row>
    <row r="39" spans="1:48">
      <c r="A39" s="2" t="s">
        <v>24</v>
      </c>
      <c r="D39" s="8">
        <v>45756</v>
      </c>
      <c r="E39" s="7" t="s">
        <v>11</v>
      </c>
      <c r="F39" s="7">
        <v>11076</v>
      </c>
      <c r="G39" s="7">
        <v>4826</v>
      </c>
      <c r="H39" s="7">
        <v>4672</v>
      </c>
      <c r="I39" s="7">
        <v>676</v>
      </c>
      <c r="J39" s="7">
        <v>40</v>
      </c>
      <c r="K39" s="7">
        <v>18</v>
      </c>
      <c r="L39" s="7">
        <v>287.88199109999999</v>
      </c>
      <c r="M39" s="7">
        <v>4670</v>
      </c>
      <c r="N39" s="7">
        <v>18525</v>
      </c>
      <c r="O39">
        <f t="shared" si="0"/>
        <v>6.1644965974304064E-2</v>
      </c>
      <c r="AE39" s="13">
        <v>45764</v>
      </c>
      <c r="AF39" s="14">
        <v>10437</v>
      </c>
      <c r="AG39" s="14">
        <v>10781</v>
      </c>
      <c r="AH39" s="14">
        <v>10665</v>
      </c>
      <c r="AI39" s="14">
        <v>5577</v>
      </c>
      <c r="AJ39" s="14">
        <v>5866</v>
      </c>
      <c r="AK39" s="14">
        <v>5652</v>
      </c>
      <c r="AM39" s="13">
        <v>45764</v>
      </c>
      <c r="AN39" s="20">
        <v>7774.93</v>
      </c>
      <c r="AO39" s="20">
        <v>5276.19</v>
      </c>
      <c r="AP39" s="20">
        <v>6670.7</v>
      </c>
      <c r="AQ39" s="20">
        <v>283.21806199999997</v>
      </c>
      <c r="AR39" s="20">
        <v>159.7525503</v>
      </c>
      <c r="AS39" s="20">
        <v>147.02828969999999</v>
      </c>
      <c r="AU39" s="32">
        <f t="shared" si="1"/>
        <v>-2622.2055117000004</v>
      </c>
      <c r="AV39" s="32">
        <f t="shared" si="2"/>
        <v>-1240.4197723000004</v>
      </c>
    </row>
    <row r="40" spans="1:48">
      <c r="A40" s="3" t="s">
        <v>33</v>
      </c>
      <c r="D40" s="8">
        <v>45756</v>
      </c>
      <c r="E40" s="7" t="s">
        <v>11</v>
      </c>
      <c r="F40" s="7">
        <v>11077</v>
      </c>
      <c r="G40" s="7">
        <v>4673</v>
      </c>
      <c r="H40" s="7">
        <v>4547</v>
      </c>
      <c r="I40" s="7">
        <v>897</v>
      </c>
      <c r="J40" s="7">
        <v>67</v>
      </c>
      <c r="K40" s="7">
        <v>23</v>
      </c>
      <c r="L40" s="7">
        <v>223.45329899999999</v>
      </c>
      <c r="M40" s="7">
        <v>4521</v>
      </c>
      <c r="N40" s="7">
        <v>17945</v>
      </c>
      <c r="O40">
        <f t="shared" si="0"/>
        <v>4.9425635700066355E-2</v>
      </c>
    </row>
    <row r="41" spans="1:48">
      <c r="A41" s="2" t="s">
        <v>49</v>
      </c>
      <c r="D41" s="8">
        <v>45756</v>
      </c>
      <c r="E41" s="7" t="s">
        <v>12</v>
      </c>
      <c r="F41" s="7">
        <v>11072</v>
      </c>
      <c r="G41" s="7">
        <v>6849</v>
      </c>
      <c r="H41" s="7">
        <v>4967</v>
      </c>
      <c r="I41" s="7">
        <v>1173</v>
      </c>
      <c r="J41" s="7">
        <v>530</v>
      </c>
      <c r="K41" s="7">
        <v>154</v>
      </c>
      <c r="L41" s="9">
        <v>5543.88</v>
      </c>
      <c r="M41" s="7">
        <v>6788</v>
      </c>
      <c r="N41" s="7">
        <v>26488</v>
      </c>
      <c r="O41">
        <f t="shared" si="0"/>
        <v>0.81671773718326457</v>
      </c>
      <c r="AU41" s="32">
        <f>AVERAGE(AU28:AU39)</f>
        <v>-1491.5944661366666</v>
      </c>
      <c r="AV41" s="32">
        <f>AVERAGE(AV28:AV39)</f>
        <v>-1306.6013476199998</v>
      </c>
    </row>
    <row r="42" spans="1:48">
      <c r="A42" s="3" t="s">
        <v>50</v>
      </c>
      <c r="D42" s="8">
        <v>45756</v>
      </c>
      <c r="E42" s="7" t="s">
        <v>12</v>
      </c>
      <c r="F42" s="7">
        <v>11073</v>
      </c>
      <c r="G42" s="7">
        <v>7371</v>
      </c>
      <c r="H42" s="7">
        <v>5228</v>
      </c>
      <c r="I42" s="7">
        <v>895</v>
      </c>
      <c r="J42" s="7">
        <v>472</v>
      </c>
      <c r="K42" s="7">
        <v>131</v>
      </c>
      <c r="L42" s="9">
        <v>5894.13</v>
      </c>
      <c r="M42" s="7">
        <v>7305</v>
      </c>
      <c r="N42" s="7">
        <v>30164</v>
      </c>
      <c r="O42">
        <f t="shared" si="0"/>
        <v>0.80686242299794664</v>
      </c>
      <c r="AU42" s="31">
        <f>AU41*365/0.33</f>
        <v>-1649793.8792117676</v>
      </c>
      <c r="AV42" s="31">
        <f>AV41*365/0.33</f>
        <v>-1445180.2784281815</v>
      </c>
    </row>
    <row r="43" spans="1:48">
      <c r="A43" s="5" t="s">
        <v>51</v>
      </c>
      <c r="D43" s="8">
        <v>45756</v>
      </c>
      <c r="E43" s="7" t="s">
        <v>12</v>
      </c>
      <c r="F43" s="7">
        <v>11074</v>
      </c>
      <c r="G43" s="7">
        <v>7128</v>
      </c>
      <c r="H43" s="7">
        <v>5237</v>
      </c>
      <c r="I43" s="7">
        <v>1038</v>
      </c>
      <c r="J43" s="7">
        <v>511</v>
      </c>
      <c r="K43" s="7">
        <v>128</v>
      </c>
      <c r="L43" s="9">
        <v>5466.64</v>
      </c>
      <c r="M43" s="7">
        <v>7072</v>
      </c>
      <c r="N43" s="7">
        <v>27564</v>
      </c>
      <c r="O43">
        <f t="shared" si="0"/>
        <v>0.77299773755656109</v>
      </c>
    </row>
    <row r="44" spans="1:48">
      <c r="A44" s="3" t="s">
        <v>52</v>
      </c>
      <c r="D44" s="8">
        <v>45757</v>
      </c>
      <c r="E44" s="7" t="s">
        <v>11</v>
      </c>
      <c r="F44" s="7">
        <v>11075</v>
      </c>
      <c r="G44" s="7">
        <v>5221</v>
      </c>
      <c r="H44" s="7">
        <v>5063</v>
      </c>
      <c r="I44" s="7">
        <v>1215</v>
      </c>
      <c r="J44" s="7">
        <v>79</v>
      </c>
      <c r="K44" s="7">
        <v>27</v>
      </c>
      <c r="L44" s="7">
        <v>280.24640049999999</v>
      </c>
      <c r="M44" s="7">
        <v>5040</v>
      </c>
      <c r="N44" s="7">
        <v>18979</v>
      </c>
      <c r="O44">
        <f t="shared" si="0"/>
        <v>5.5604444543650794E-2</v>
      </c>
    </row>
    <row r="45" spans="1:48">
      <c r="A45" s="3" t="s">
        <v>53</v>
      </c>
      <c r="D45" s="8">
        <v>45757</v>
      </c>
      <c r="E45" s="7" t="s">
        <v>11</v>
      </c>
      <c r="F45" s="7">
        <v>11076</v>
      </c>
      <c r="G45" s="7">
        <v>5323</v>
      </c>
      <c r="H45" s="7">
        <v>5139</v>
      </c>
      <c r="I45" s="7">
        <v>692</v>
      </c>
      <c r="J45" s="7">
        <v>55</v>
      </c>
      <c r="K45" s="7">
        <v>28</v>
      </c>
      <c r="L45" s="7">
        <v>217.89499169999999</v>
      </c>
      <c r="M45" s="7">
        <v>5137</v>
      </c>
      <c r="N45" s="7">
        <v>20418</v>
      </c>
      <c r="O45">
        <f t="shared" si="0"/>
        <v>4.2416778606190385E-2</v>
      </c>
      <c r="AU45" s="31"/>
    </row>
    <row r="46" spans="1:48">
      <c r="A46" s="3" t="s">
        <v>39</v>
      </c>
      <c r="D46" s="8">
        <v>45757</v>
      </c>
      <c r="E46" s="7" t="s">
        <v>11</v>
      </c>
      <c r="F46" s="7">
        <v>11077</v>
      </c>
      <c r="G46" s="7">
        <v>5360</v>
      </c>
      <c r="H46" s="7">
        <v>5204</v>
      </c>
      <c r="I46" s="7">
        <v>955</v>
      </c>
      <c r="J46" s="7">
        <v>58</v>
      </c>
      <c r="K46" s="7">
        <v>20</v>
      </c>
      <c r="L46" s="7">
        <v>147.98983459999999</v>
      </c>
      <c r="M46" s="7">
        <v>5158</v>
      </c>
      <c r="N46" s="7">
        <v>19202</v>
      </c>
      <c r="O46">
        <f t="shared" si="0"/>
        <v>2.8691321170996511E-2</v>
      </c>
    </row>
    <row r="47" spans="1:48">
      <c r="A47" s="6" t="s">
        <v>54</v>
      </c>
      <c r="D47" s="8">
        <v>45757</v>
      </c>
      <c r="E47" s="7" t="s">
        <v>12</v>
      </c>
      <c r="F47" s="7">
        <v>11072</v>
      </c>
      <c r="G47" s="7">
        <v>7710</v>
      </c>
      <c r="H47" s="7">
        <v>5508</v>
      </c>
      <c r="I47" s="7">
        <v>1218</v>
      </c>
      <c r="J47" s="7">
        <v>569</v>
      </c>
      <c r="K47" s="7">
        <v>167</v>
      </c>
      <c r="L47" s="9">
        <v>6121.4</v>
      </c>
      <c r="M47" s="7">
        <v>7638</v>
      </c>
      <c r="N47" s="7">
        <v>28859</v>
      </c>
      <c r="O47">
        <f t="shared" si="0"/>
        <v>0.80144016758313685</v>
      </c>
    </row>
    <row r="48" spans="1:48">
      <c r="D48" s="8">
        <v>45757</v>
      </c>
      <c r="E48" s="7" t="s">
        <v>12</v>
      </c>
      <c r="F48" s="7">
        <v>11073</v>
      </c>
      <c r="G48" s="7">
        <v>8033</v>
      </c>
      <c r="H48" s="7">
        <v>5597</v>
      </c>
      <c r="I48" s="7">
        <v>883</v>
      </c>
      <c r="J48" s="7">
        <v>452</v>
      </c>
      <c r="K48" s="7">
        <v>141</v>
      </c>
      <c r="L48" s="9">
        <v>5177.6499999999996</v>
      </c>
      <c r="M48" s="7">
        <v>7942</v>
      </c>
      <c r="N48" s="7">
        <v>29880</v>
      </c>
      <c r="O48">
        <f t="shared" si="0"/>
        <v>0.65193276252833032</v>
      </c>
    </row>
    <row r="49" spans="1:37">
      <c r="A49" s="4" t="s">
        <v>55</v>
      </c>
      <c r="D49" s="8">
        <v>45757</v>
      </c>
      <c r="E49" s="7" t="s">
        <v>12</v>
      </c>
      <c r="F49" s="7">
        <v>11074</v>
      </c>
      <c r="G49" s="7">
        <v>7863</v>
      </c>
      <c r="H49" s="7">
        <v>5740</v>
      </c>
      <c r="I49" s="7">
        <v>1047</v>
      </c>
      <c r="J49" s="7">
        <v>490</v>
      </c>
      <c r="K49" s="7">
        <v>149</v>
      </c>
      <c r="L49" s="9">
        <v>5353.76</v>
      </c>
      <c r="M49" s="7">
        <v>7764</v>
      </c>
      <c r="N49" s="7">
        <v>29635</v>
      </c>
      <c r="O49">
        <f t="shared" si="0"/>
        <v>0.68956208140133957</v>
      </c>
      <c r="AE49" s="22"/>
      <c r="AF49" s="49" t="s">
        <v>110</v>
      </c>
      <c r="AG49" s="50"/>
      <c r="AH49" s="51"/>
      <c r="AI49" s="49" t="s">
        <v>111</v>
      </c>
      <c r="AJ49" s="50"/>
      <c r="AK49" s="51"/>
    </row>
    <row r="50" spans="1:37">
      <c r="A50" s="3" t="s">
        <v>15</v>
      </c>
      <c r="D50" s="8">
        <v>45758</v>
      </c>
      <c r="E50" s="7" t="s">
        <v>11</v>
      </c>
      <c r="F50" s="7">
        <v>11075</v>
      </c>
      <c r="G50" s="7">
        <v>5262</v>
      </c>
      <c r="H50" s="7">
        <v>5099</v>
      </c>
      <c r="I50" s="7">
        <v>1163</v>
      </c>
      <c r="J50" s="7">
        <v>93</v>
      </c>
      <c r="K50" s="7">
        <v>33</v>
      </c>
      <c r="L50" s="7">
        <v>306.90208949999999</v>
      </c>
      <c r="M50" s="7">
        <v>5066</v>
      </c>
      <c r="N50" s="7">
        <v>19573</v>
      </c>
      <c r="O50">
        <f t="shared" si="0"/>
        <v>6.0580751973943935E-2</v>
      </c>
      <c r="AE50" s="21" t="s">
        <v>0</v>
      </c>
      <c r="AF50" s="23" t="s">
        <v>112</v>
      </c>
      <c r="AG50" s="23" t="s">
        <v>113</v>
      </c>
      <c r="AH50" s="23" t="s">
        <v>114</v>
      </c>
      <c r="AI50" s="23" t="s">
        <v>112</v>
      </c>
      <c r="AJ50" s="23" t="s">
        <v>113</v>
      </c>
      <c r="AK50" s="23" t="s">
        <v>114</v>
      </c>
    </row>
    <row r="51" spans="1:37">
      <c r="A51" s="3" t="s">
        <v>167</v>
      </c>
      <c r="D51" s="8">
        <v>45758</v>
      </c>
      <c r="E51" s="7" t="s">
        <v>11</v>
      </c>
      <c r="F51" s="7">
        <v>11076</v>
      </c>
      <c r="G51" s="7">
        <v>5329</v>
      </c>
      <c r="H51" s="7">
        <v>5135</v>
      </c>
      <c r="I51" s="7">
        <v>691</v>
      </c>
      <c r="J51" s="7">
        <v>48</v>
      </c>
      <c r="K51" s="7">
        <v>25</v>
      </c>
      <c r="L51" s="7">
        <v>309.51074640000002</v>
      </c>
      <c r="M51" s="7">
        <v>5097</v>
      </c>
      <c r="N51" s="7">
        <v>21789</v>
      </c>
      <c r="O51">
        <f t="shared" si="0"/>
        <v>6.0724101706886406E-2</v>
      </c>
      <c r="AE51" s="24" t="s">
        <v>115</v>
      </c>
      <c r="AF51" s="26">
        <v>0.85729112600000001</v>
      </c>
      <c r="AG51" s="26">
        <v>0.70035612800000002</v>
      </c>
      <c r="AH51" s="26">
        <v>0.71989492099999997</v>
      </c>
      <c r="AI51" s="26">
        <v>5.4547304999999997E-2</v>
      </c>
      <c r="AJ51" s="26">
        <v>4.1216172000000002E-2</v>
      </c>
      <c r="AK51" s="26">
        <v>4.5747487000000003E-2</v>
      </c>
    </row>
    <row r="52" spans="1:37">
      <c r="A52" s="3" t="s">
        <v>56</v>
      </c>
      <c r="D52" s="8">
        <v>45758</v>
      </c>
      <c r="E52" s="7" t="s">
        <v>11</v>
      </c>
      <c r="F52" s="7">
        <v>11077</v>
      </c>
      <c r="G52" s="7">
        <v>5287</v>
      </c>
      <c r="H52" s="7">
        <v>5128</v>
      </c>
      <c r="I52" s="7">
        <v>961</v>
      </c>
      <c r="J52" s="7">
        <v>61</v>
      </c>
      <c r="K52" s="7">
        <v>26</v>
      </c>
      <c r="L52" s="7">
        <v>255.36086689999999</v>
      </c>
      <c r="M52" s="7">
        <v>5056</v>
      </c>
      <c r="N52" s="7">
        <v>20713</v>
      </c>
      <c r="O52">
        <f t="shared" si="0"/>
        <v>5.0506500573575946E-2</v>
      </c>
      <c r="AE52" s="24"/>
      <c r="AF52" s="25"/>
      <c r="AG52" s="25"/>
      <c r="AH52" s="25"/>
      <c r="AI52" s="25"/>
      <c r="AJ52" s="25"/>
      <c r="AK52" s="25"/>
    </row>
    <row r="53" spans="1:37">
      <c r="A53" s="6" t="s">
        <v>57</v>
      </c>
      <c r="D53" s="8">
        <v>45758</v>
      </c>
      <c r="E53" s="7" t="s">
        <v>12</v>
      </c>
      <c r="F53" s="7">
        <v>11072</v>
      </c>
      <c r="G53" s="7">
        <v>8638</v>
      </c>
      <c r="H53" s="7">
        <v>6164</v>
      </c>
      <c r="I53" s="7">
        <v>1276</v>
      </c>
      <c r="J53" s="7">
        <v>585</v>
      </c>
      <c r="K53" s="7">
        <v>181</v>
      </c>
      <c r="L53" s="9">
        <v>6624.59</v>
      </c>
      <c r="M53" s="7">
        <v>8525</v>
      </c>
      <c r="N53" s="7">
        <v>31954</v>
      </c>
      <c r="O53">
        <f t="shared" si="0"/>
        <v>0.77707800586510267</v>
      </c>
    </row>
    <row r="54" spans="1:37">
      <c r="A54" s="3" t="s">
        <v>58</v>
      </c>
      <c r="D54" s="8">
        <v>45758</v>
      </c>
      <c r="E54" s="7" t="s">
        <v>12</v>
      </c>
      <c r="F54" s="7">
        <v>11073</v>
      </c>
      <c r="G54" s="7">
        <v>8915</v>
      </c>
      <c r="H54" s="7">
        <v>6256</v>
      </c>
      <c r="I54" s="7">
        <v>1012</v>
      </c>
      <c r="J54" s="7">
        <v>469</v>
      </c>
      <c r="K54" s="7">
        <v>151</v>
      </c>
      <c r="L54" s="9">
        <v>4897.93</v>
      </c>
      <c r="M54" s="7">
        <v>8796</v>
      </c>
      <c r="N54" s="7">
        <v>34888</v>
      </c>
      <c r="O54">
        <f t="shared" si="0"/>
        <v>0.55683606184629375</v>
      </c>
    </row>
    <row r="55" spans="1:37">
      <c r="A55" s="6" t="s">
        <v>59</v>
      </c>
      <c r="D55" s="8">
        <v>45758</v>
      </c>
      <c r="E55" s="7" t="s">
        <v>12</v>
      </c>
      <c r="F55" s="7">
        <v>11074</v>
      </c>
      <c r="G55" s="7">
        <v>8899</v>
      </c>
      <c r="H55" s="7">
        <v>6427</v>
      </c>
      <c r="I55" s="7">
        <v>1111</v>
      </c>
      <c r="J55" s="7">
        <v>524</v>
      </c>
      <c r="K55" s="7">
        <v>157</v>
      </c>
      <c r="L55" s="9">
        <v>5344.1</v>
      </c>
      <c r="M55" s="7">
        <v>8777</v>
      </c>
      <c r="N55" s="7">
        <v>34434</v>
      </c>
      <c r="O55">
        <f t="shared" si="0"/>
        <v>0.60887546997835251</v>
      </c>
      <c r="AE55" s="22"/>
      <c r="AF55" s="21" t="s">
        <v>0</v>
      </c>
      <c r="AG55" s="24" t="s">
        <v>115</v>
      </c>
      <c r="AH55" t="s">
        <v>116</v>
      </c>
    </row>
    <row r="56" spans="1:37">
      <c r="A56" s="3" t="s">
        <v>168</v>
      </c>
      <c r="D56" s="8">
        <v>45759</v>
      </c>
      <c r="E56" s="7" t="s">
        <v>11</v>
      </c>
      <c r="F56" s="7">
        <v>11075</v>
      </c>
      <c r="G56" s="7">
        <v>5080</v>
      </c>
      <c r="H56" s="7">
        <v>4879</v>
      </c>
      <c r="I56" s="7">
        <v>1022</v>
      </c>
      <c r="J56" s="7">
        <v>85</v>
      </c>
      <c r="K56" s="7">
        <v>31</v>
      </c>
      <c r="L56" s="7">
        <v>291.03171730000003</v>
      </c>
      <c r="M56" s="7">
        <v>4878</v>
      </c>
      <c r="N56" s="7">
        <v>19369</v>
      </c>
      <c r="O56">
        <f t="shared" si="0"/>
        <v>5.9662098667486681E-2</v>
      </c>
      <c r="AE56" s="49" t="s">
        <v>110</v>
      </c>
      <c r="AF56" s="23" t="s">
        <v>112</v>
      </c>
      <c r="AG56" s="27">
        <v>0.85729112600000001</v>
      </c>
    </row>
    <row r="57" spans="1:37">
      <c r="A57" s="3" t="s">
        <v>60</v>
      </c>
      <c r="D57" s="8">
        <v>45759</v>
      </c>
      <c r="E57" s="7" t="s">
        <v>11</v>
      </c>
      <c r="F57" s="7">
        <v>11076</v>
      </c>
      <c r="G57" s="7">
        <v>5428</v>
      </c>
      <c r="H57" s="7">
        <v>5209</v>
      </c>
      <c r="I57" s="7">
        <v>701</v>
      </c>
      <c r="J57" s="7">
        <v>31</v>
      </c>
      <c r="K57" s="7">
        <v>10</v>
      </c>
      <c r="L57" s="7">
        <v>85.226747520000004</v>
      </c>
      <c r="M57" s="7">
        <v>5163</v>
      </c>
      <c r="N57" s="7">
        <v>21461</v>
      </c>
      <c r="O57">
        <f t="shared" si="0"/>
        <v>1.6507214317257411E-2</v>
      </c>
      <c r="AE57" s="50"/>
      <c r="AF57" s="23" t="s">
        <v>113</v>
      </c>
      <c r="AG57" s="27">
        <v>0.70035612800000002</v>
      </c>
    </row>
    <row r="58" spans="1:37">
      <c r="A58" s="6" t="s">
        <v>41</v>
      </c>
      <c r="D58" s="8">
        <v>45759</v>
      </c>
      <c r="E58" s="7" t="s">
        <v>11</v>
      </c>
      <c r="F58" s="7">
        <v>11077</v>
      </c>
      <c r="G58" s="7">
        <v>5204</v>
      </c>
      <c r="H58" s="7">
        <v>5030</v>
      </c>
      <c r="I58" s="7">
        <v>940</v>
      </c>
      <c r="J58" s="7">
        <v>57</v>
      </c>
      <c r="K58" s="7">
        <v>25</v>
      </c>
      <c r="L58" s="7">
        <v>287.38222089999999</v>
      </c>
      <c r="M58" s="7">
        <v>4959</v>
      </c>
      <c r="N58" s="7">
        <v>20789</v>
      </c>
      <c r="O58">
        <f t="shared" si="0"/>
        <v>5.7951647691066747E-2</v>
      </c>
      <c r="AE58" s="51"/>
      <c r="AF58" s="23" t="s">
        <v>114</v>
      </c>
      <c r="AG58" s="27">
        <v>0.71989492099999997</v>
      </c>
    </row>
    <row r="59" spans="1:37">
      <c r="A59" s="4" t="s">
        <v>61</v>
      </c>
      <c r="D59" s="8">
        <v>45759</v>
      </c>
      <c r="E59" s="7" t="s">
        <v>12</v>
      </c>
      <c r="F59" s="7">
        <v>11072</v>
      </c>
      <c r="G59" s="7">
        <v>9698</v>
      </c>
      <c r="H59" s="7">
        <v>6784</v>
      </c>
      <c r="I59" s="7">
        <v>1310</v>
      </c>
      <c r="J59" s="7">
        <v>600</v>
      </c>
      <c r="K59" s="7">
        <v>208</v>
      </c>
      <c r="L59" s="9">
        <v>6940.32</v>
      </c>
      <c r="M59" s="7">
        <v>9626</v>
      </c>
      <c r="N59" s="7">
        <v>36206</v>
      </c>
      <c r="O59">
        <f t="shared" si="0"/>
        <v>0.72099729898192388</v>
      </c>
      <c r="AE59" s="49" t="s">
        <v>111</v>
      </c>
      <c r="AF59" s="23" t="s">
        <v>112</v>
      </c>
      <c r="AG59" s="27">
        <v>5.4547304999999997E-2</v>
      </c>
    </row>
    <row r="60" spans="1:37">
      <c r="A60" s="3" t="s">
        <v>62</v>
      </c>
      <c r="D60" s="8">
        <v>45759</v>
      </c>
      <c r="E60" s="7" t="s">
        <v>12</v>
      </c>
      <c r="F60" s="7">
        <v>11073</v>
      </c>
      <c r="G60" s="7">
        <v>10226</v>
      </c>
      <c r="H60" s="7">
        <v>7049</v>
      </c>
      <c r="I60" s="7">
        <v>1026</v>
      </c>
      <c r="J60" s="7">
        <v>498</v>
      </c>
      <c r="K60" s="7">
        <v>165</v>
      </c>
      <c r="L60" s="9">
        <v>6191.99</v>
      </c>
      <c r="M60" s="7">
        <v>10139</v>
      </c>
      <c r="N60" s="7">
        <v>40039</v>
      </c>
      <c r="O60">
        <f t="shared" si="0"/>
        <v>0.61071012920406353</v>
      </c>
      <c r="AE60" s="50"/>
      <c r="AF60" s="23" t="s">
        <v>113</v>
      </c>
      <c r="AG60" s="27">
        <v>4.1216172000000002E-2</v>
      </c>
    </row>
    <row r="61" spans="1:37">
      <c r="A61" s="5" t="s">
        <v>63</v>
      </c>
      <c r="D61" s="8">
        <v>45759</v>
      </c>
      <c r="E61" s="7" t="s">
        <v>12</v>
      </c>
      <c r="F61" s="7">
        <v>11074</v>
      </c>
      <c r="G61" s="7">
        <v>9844</v>
      </c>
      <c r="H61" s="7">
        <v>6951</v>
      </c>
      <c r="I61" s="7">
        <v>1150</v>
      </c>
      <c r="J61" s="7">
        <v>476</v>
      </c>
      <c r="K61" s="7">
        <v>141</v>
      </c>
      <c r="L61" s="9">
        <v>4864.3999999999996</v>
      </c>
      <c r="M61" s="7">
        <v>9758</v>
      </c>
      <c r="N61" s="7">
        <v>38033</v>
      </c>
      <c r="O61">
        <f t="shared" si="0"/>
        <v>0.49850379176060666</v>
      </c>
      <c r="AE61" s="51"/>
      <c r="AF61" s="23" t="s">
        <v>114</v>
      </c>
      <c r="AG61" s="27">
        <v>4.5747487000000003E-2</v>
      </c>
    </row>
    <row r="62" spans="1:37">
      <c r="A62" s="4" t="s">
        <v>64</v>
      </c>
      <c r="D62" s="8">
        <v>45760</v>
      </c>
      <c r="E62" s="7" t="s">
        <v>11</v>
      </c>
      <c r="F62" s="7">
        <v>11075</v>
      </c>
      <c r="G62" s="7">
        <v>6112</v>
      </c>
      <c r="H62" s="7">
        <v>5872</v>
      </c>
      <c r="I62" s="7">
        <v>1267</v>
      </c>
      <c r="J62" s="7">
        <v>113</v>
      </c>
      <c r="K62" s="7">
        <v>37</v>
      </c>
      <c r="L62" s="7">
        <v>398.36308889999998</v>
      </c>
      <c r="M62" s="7">
        <v>5871</v>
      </c>
      <c r="N62" s="7">
        <v>23495</v>
      </c>
      <c r="O62">
        <f t="shared" si="0"/>
        <v>6.7852680786918751E-2</v>
      </c>
    </row>
    <row r="63" spans="1:37">
      <c r="A63" s="4" t="s">
        <v>65</v>
      </c>
      <c r="D63" s="8">
        <v>45760</v>
      </c>
      <c r="E63" s="7" t="s">
        <v>11</v>
      </c>
      <c r="F63" s="7">
        <v>11076</v>
      </c>
      <c r="G63" s="7">
        <v>6234</v>
      </c>
      <c r="H63" s="7">
        <v>5970</v>
      </c>
      <c r="I63" s="7">
        <v>843</v>
      </c>
      <c r="J63" s="7">
        <v>49</v>
      </c>
      <c r="K63" s="7">
        <v>25</v>
      </c>
      <c r="L63" s="7">
        <v>272.26048550000002</v>
      </c>
      <c r="M63" s="7">
        <v>5955</v>
      </c>
      <c r="N63" s="7">
        <v>25096</v>
      </c>
      <c r="O63">
        <f t="shared" si="0"/>
        <v>4.57196449202351E-2</v>
      </c>
    </row>
    <row r="64" spans="1:37">
      <c r="A64" s="3" t="s">
        <v>66</v>
      </c>
      <c r="D64" s="8">
        <v>45760</v>
      </c>
      <c r="E64" s="7" t="s">
        <v>11</v>
      </c>
      <c r="F64" s="7">
        <v>11077</v>
      </c>
      <c r="G64" s="7">
        <v>6307</v>
      </c>
      <c r="H64" s="7">
        <v>6102</v>
      </c>
      <c r="I64" s="7">
        <v>1067</v>
      </c>
      <c r="J64" s="7">
        <v>74</v>
      </c>
      <c r="K64" s="7">
        <v>32</v>
      </c>
      <c r="L64" s="7">
        <v>353.95759199999998</v>
      </c>
      <c r="M64" s="7">
        <v>6015</v>
      </c>
      <c r="N64" s="7">
        <v>25160</v>
      </c>
      <c r="O64">
        <f t="shared" si="0"/>
        <v>5.8845817456359098E-2</v>
      </c>
    </row>
    <row r="65" spans="1:15">
      <c r="A65" s="3" t="s">
        <v>67</v>
      </c>
      <c r="D65" s="8">
        <v>45760</v>
      </c>
      <c r="E65" s="7" t="s">
        <v>12</v>
      </c>
      <c r="F65" s="7">
        <v>11072</v>
      </c>
      <c r="G65" s="7">
        <v>12540</v>
      </c>
      <c r="H65" s="7">
        <v>8882</v>
      </c>
      <c r="I65" s="7">
        <v>1792</v>
      </c>
      <c r="J65" s="7">
        <v>869</v>
      </c>
      <c r="K65" s="7">
        <v>287</v>
      </c>
      <c r="L65" s="9">
        <v>9280.9</v>
      </c>
      <c r="M65" s="7">
        <v>12467</v>
      </c>
      <c r="N65" s="7">
        <v>49084</v>
      </c>
      <c r="O65">
        <f t="shared" si="0"/>
        <v>0.74443731451030715</v>
      </c>
    </row>
    <row r="66" spans="1:15">
      <c r="A66" s="3" t="s">
        <v>68</v>
      </c>
      <c r="D66" s="8">
        <v>45760</v>
      </c>
      <c r="E66" s="7" t="s">
        <v>12</v>
      </c>
      <c r="F66" s="7">
        <v>11073</v>
      </c>
      <c r="G66" s="7">
        <v>13032</v>
      </c>
      <c r="H66" s="7">
        <v>9046</v>
      </c>
      <c r="I66" s="7">
        <v>1420</v>
      </c>
      <c r="J66" s="7">
        <v>708</v>
      </c>
      <c r="K66" s="7">
        <v>220</v>
      </c>
      <c r="L66" s="9">
        <v>7524.34</v>
      </c>
      <c r="M66" s="7">
        <v>12944</v>
      </c>
      <c r="N66" s="7">
        <v>53184</v>
      </c>
      <c r="O66">
        <f t="shared" si="0"/>
        <v>0.58129944375772558</v>
      </c>
    </row>
    <row r="67" spans="1:15">
      <c r="A67" s="3" t="s">
        <v>69</v>
      </c>
      <c r="D67" s="8">
        <v>45760</v>
      </c>
      <c r="E67" s="7" t="s">
        <v>12</v>
      </c>
      <c r="F67" s="7">
        <v>11074</v>
      </c>
      <c r="G67" s="7">
        <v>13169</v>
      </c>
      <c r="H67" s="7">
        <v>9464</v>
      </c>
      <c r="I67" s="7">
        <v>1603</v>
      </c>
      <c r="J67" s="7">
        <v>751</v>
      </c>
      <c r="K67" s="7">
        <v>240</v>
      </c>
      <c r="L67" s="9">
        <v>9164.26</v>
      </c>
      <c r="M67" s="7">
        <v>13084</v>
      </c>
      <c r="N67" s="7">
        <v>54593</v>
      </c>
      <c r="O67">
        <f t="shared" ref="O67:O91" si="3">L67/M67</f>
        <v>0.70041730357688781</v>
      </c>
    </row>
    <row r="68" spans="1:15">
      <c r="A68" s="6" t="s">
        <v>41</v>
      </c>
      <c r="D68" s="8">
        <v>45761</v>
      </c>
      <c r="E68" s="7" t="s">
        <v>11</v>
      </c>
      <c r="F68" s="7">
        <v>11075</v>
      </c>
      <c r="G68" s="7">
        <v>6245</v>
      </c>
      <c r="H68" s="7">
        <v>5991</v>
      </c>
      <c r="I68" s="7">
        <v>1280</v>
      </c>
      <c r="J68" s="7">
        <v>90</v>
      </c>
      <c r="K68" s="7">
        <v>33</v>
      </c>
      <c r="L68" s="7">
        <v>253.8577597</v>
      </c>
      <c r="M68" s="7">
        <v>5924</v>
      </c>
      <c r="N68" s="7">
        <v>25356</v>
      </c>
      <c r="O68">
        <f t="shared" si="3"/>
        <v>4.2852423987170832E-2</v>
      </c>
    </row>
    <row r="69" spans="1:15">
      <c r="A69" s="3" t="s">
        <v>15</v>
      </c>
      <c r="D69" s="8">
        <v>45761</v>
      </c>
      <c r="E69" s="7" t="s">
        <v>11</v>
      </c>
      <c r="F69" s="7">
        <v>11076</v>
      </c>
      <c r="G69" s="7">
        <v>6703</v>
      </c>
      <c r="H69" s="7">
        <v>6432</v>
      </c>
      <c r="I69" s="7">
        <v>899</v>
      </c>
      <c r="J69" s="7">
        <v>61</v>
      </c>
      <c r="K69" s="7">
        <v>37</v>
      </c>
      <c r="L69" s="7">
        <v>358.81318199999998</v>
      </c>
      <c r="M69" s="7">
        <v>6362</v>
      </c>
      <c r="N69" s="7">
        <v>27856</v>
      </c>
      <c r="O69">
        <f t="shared" si="3"/>
        <v>5.6399431310908514E-2</v>
      </c>
    </row>
    <row r="70" spans="1:15">
      <c r="A70" s="5" t="s">
        <v>70</v>
      </c>
      <c r="D70" s="8">
        <v>45761</v>
      </c>
      <c r="E70" s="7" t="s">
        <v>11</v>
      </c>
      <c r="F70" s="7">
        <v>11077</v>
      </c>
      <c r="G70" s="7">
        <v>6514</v>
      </c>
      <c r="H70" s="7">
        <v>6245</v>
      </c>
      <c r="I70" s="7">
        <v>1123</v>
      </c>
      <c r="J70" s="7">
        <v>54</v>
      </c>
      <c r="K70" s="7">
        <v>25</v>
      </c>
      <c r="L70" s="7">
        <v>181.1551489</v>
      </c>
      <c r="M70" s="7">
        <v>6182</v>
      </c>
      <c r="N70" s="7">
        <v>25906</v>
      </c>
      <c r="O70">
        <f t="shared" si="3"/>
        <v>2.9303647508896798E-2</v>
      </c>
    </row>
    <row r="71" spans="1:15">
      <c r="A71" s="4" t="s">
        <v>71</v>
      </c>
      <c r="D71" s="8">
        <v>45761</v>
      </c>
      <c r="E71" s="7" t="s">
        <v>12</v>
      </c>
      <c r="F71" s="7">
        <v>11072</v>
      </c>
      <c r="G71" s="7">
        <v>12649</v>
      </c>
      <c r="H71" s="7">
        <v>8871</v>
      </c>
      <c r="I71" s="7">
        <v>1943</v>
      </c>
      <c r="J71" s="7">
        <v>893</v>
      </c>
      <c r="K71" s="7">
        <v>291</v>
      </c>
      <c r="L71" s="9">
        <v>10712.06</v>
      </c>
      <c r="M71" s="7">
        <v>12504</v>
      </c>
      <c r="N71" s="7">
        <v>50096</v>
      </c>
      <c r="O71">
        <f t="shared" si="3"/>
        <v>0.85669065898912344</v>
      </c>
    </row>
    <row r="72" spans="1:15">
      <c r="A72" s="4" t="s">
        <v>72</v>
      </c>
      <c r="D72" s="8">
        <v>45761</v>
      </c>
      <c r="E72" s="7" t="s">
        <v>12</v>
      </c>
      <c r="F72" s="7">
        <v>11073</v>
      </c>
      <c r="G72" s="7">
        <v>13126</v>
      </c>
      <c r="H72" s="7">
        <v>8824</v>
      </c>
      <c r="I72" s="7">
        <v>1395</v>
      </c>
      <c r="J72" s="7">
        <v>655</v>
      </c>
      <c r="K72" s="7">
        <v>205</v>
      </c>
      <c r="L72" s="9">
        <v>8019.07</v>
      </c>
      <c r="M72" s="7">
        <v>12988</v>
      </c>
      <c r="N72" s="7">
        <v>54965</v>
      </c>
      <c r="O72">
        <f t="shared" si="3"/>
        <v>0.61742146596858638</v>
      </c>
    </row>
    <row r="73" spans="1:15">
      <c r="A73" s="2" t="s">
        <v>73</v>
      </c>
      <c r="D73" s="8">
        <v>45761</v>
      </c>
      <c r="E73" s="7" t="s">
        <v>12</v>
      </c>
      <c r="F73" s="7">
        <v>11074</v>
      </c>
      <c r="G73" s="7">
        <v>12920</v>
      </c>
      <c r="H73" s="7">
        <v>9031</v>
      </c>
      <c r="I73" s="7">
        <v>1593</v>
      </c>
      <c r="J73" s="7">
        <v>697</v>
      </c>
      <c r="K73" s="7">
        <v>215</v>
      </c>
      <c r="L73" s="9">
        <v>7902.42</v>
      </c>
      <c r="M73" s="7">
        <v>12764</v>
      </c>
      <c r="N73" s="7">
        <v>52802</v>
      </c>
      <c r="O73">
        <f t="shared" si="3"/>
        <v>0.61911783140081478</v>
      </c>
    </row>
    <row r="74" spans="1:15">
      <c r="A74" s="4" t="s">
        <v>74</v>
      </c>
      <c r="D74" s="8">
        <v>45762</v>
      </c>
      <c r="E74" s="7" t="s">
        <v>11</v>
      </c>
      <c r="F74" s="7">
        <v>11075</v>
      </c>
      <c r="G74" s="7">
        <v>5618</v>
      </c>
      <c r="H74" s="7">
        <v>5355</v>
      </c>
      <c r="I74" s="7">
        <v>1135</v>
      </c>
      <c r="J74" s="7">
        <v>100</v>
      </c>
      <c r="K74" s="7">
        <v>38</v>
      </c>
      <c r="L74" s="7">
        <v>364.47201960000001</v>
      </c>
      <c r="M74" s="7">
        <v>5291</v>
      </c>
      <c r="N74" s="7">
        <v>23798</v>
      </c>
      <c r="O74">
        <f t="shared" si="3"/>
        <v>6.8885280589680589E-2</v>
      </c>
    </row>
    <row r="75" spans="1:15">
      <c r="A75" s="4" t="s">
        <v>75</v>
      </c>
      <c r="D75" s="8">
        <v>45762</v>
      </c>
      <c r="E75" s="7" t="s">
        <v>11</v>
      </c>
      <c r="F75" s="7">
        <v>11076</v>
      </c>
      <c r="G75" s="7">
        <v>5945</v>
      </c>
      <c r="H75" s="7">
        <v>5665</v>
      </c>
      <c r="I75" s="7">
        <v>763</v>
      </c>
      <c r="J75" s="7">
        <v>53</v>
      </c>
      <c r="K75" s="7">
        <v>22</v>
      </c>
      <c r="L75" s="7">
        <v>221.27339449999999</v>
      </c>
      <c r="M75" s="7">
        <v>5587</v>
      </c>
      <c r="N75" s="7">
        <v>24125</v>
      </c>
      <c r="O75">
        <f t="shared" si="3"/>
        <v>3.9605046447109361E-2</v>
      </c>
    </row>
    <row r="76" spans="1:15">
      <c r="A76" s="4" t="s">
        <v>76</v>
      </c>
      <c r="D76" s="8">
        <v>45762</v>
      </c>
      <c r="E76" s="7" t="s">
        <v>11</v>
      </c>
      <c r="F76" s="7">
        <v>11077</v>
      </c>
      <c r="G76" s="7">
        <v>5735</v>
      </c>
      <c r="H76" s="7">
        <v>5472</v>
      </c>
      <c r="I76" s="7">
        <v>987</v>
      </c>
      <c r="J76" s="7">
        <v>71</v>
      </c>
      <c r="K76" s="7">
        <v>22</v>
      </c>
      <c r="L76" s="7">
        <v>183.23060810000001</v>
      </c>
      <c r="M76" s="7">
        <v>5415</v>
      </c>
      <c r="N76" s="7">
        <v>23883</v>
      </c>
      <c r="O76">
        <f t="shared" si="3"/>
        <v>3.3837600757156049E-2</v>
      </c>
    </row>
    <row r="77" spans="1:15">
      <c r="A77" s="4" t="s">
        <v>77</v>
      </c>
      <c r="D77" s="8">
        <v>45762</v>
      </c>
      <c r="E77" s="7" t="s">
        <v>12</v>
      </c>
      <c r="F77" s="7">
        <v>11072</v>
      </c>
      <c r="G77" s="7">
        <v>10540</v>
      </c>
      <c r="H77" s="7">
        <v>6997</v>
      </c>
      <c r="I77" s="7">
        <v>1468</v>
      </c>
      <c r="J77" s="7">
        <v>672</v>
      </c>
      <c r="K77" s="7">
        <v>208</v>
      </c>
      <c r="L77" s="9">
        <v>8098.9</v>
      </c>
      <c r="M77" s="7">
        <v>10453</v>
      </c>
      <c r="N77" s="7">
        <v>39902</v>
      </c>
      <c r="O77">
        <f t="shared" si="3"/>
        <v>0.77479192576293887</v>
      </c>
    </row>
    <row r="78" spans="1:15">
      <c r="A78" s="3" t="s">
        <v>78</v>
      </c>
      <c r="D78" s="8">
        <v>45762</v>
      </c>
      <c r="E78" s="7" t="s">
        <v>12</v>
      </c>
      <c r="F78" s="7">
        <v>11073</v>
      </c>
      <c r="G78" s="7">
        <v>11172</v>
      </c>
      <c r="H78" s="7">
        <v>7238</v>
      </c>
      <c r="I78" s="7">
        <v>1160</v>
      </c>
      <c r="J78" s="7">
        <v>509</v>
      </c>
      <c r="K78" s="7">
        <v>160</v>
      </c>
      <c r="L78" s="9">
        <v>6397.72</v>
      </c>
      <c r="M78" s="7">
        <v>11069</v>
      </c>
      <c r="N78" s="7">
        <v>44164</v>
      </c>
      <c r="O78">
        <f t="shared" si="3"/>
        <v>0.57798536453157467</v>
      </c>
    </row>
    <row r="79" spans="1:15">
      <c r="A79" s="4" t="s">
        <v>79</v>
      </c>
      <c r="D79" s="8">
        <v>45762</v>
      </c>
      <c r="E79" s="7" t="s">
        <v>12</v>
      </c>
      <c r="F79" s="7">
        <v>11074</v>
      </c>
      <c r="G79" s="7">
        <v>10753</v>
      </c>
      <c r="H79" s="7">
        <v>7163</v>
      </c>
      <c r="I79" s="7">
        <v>1322</v>
      </c>
      <c r="J79" s="7">
        <v>567</v>
      </c>
      <c r="K79" s="7">
        <v>172</v>
      </c>
      <c r="L79" s="9">
        <v>6516.05</v>
      </c>
      <c r="M79" s="7">
        <v>10660</v>
      </c>
      <c r="N79" s="7">
        <v>43142</v>
      </c>
      <c r="O79">
        <f t="shared" si="3"/>
        <v>0.61126172607879925</v>
      </c>
    </row>
    <row r="80" spans="1:15">
      <c r="A80" s="3" t="s">
        <v>80</v>
      </c>
      <c r="D80" s="8">
        <v>45763</v>
      </c>
      <c r="E80" s="7" t="s">
        <v>11</v>
      </c>
      <c r="F80" s="7">
        <v>11075</v>
      </c>
      <c r="G80" s="7">
        <v>5456</v>
      </c>
      <c r="H80" s="7">
        <v>5182</v>
      </c>
      <c r="I80" s="7">
        <v>1028</v>
      </c>
      <c r="J80" s="7">
        <v>79</v>
      </c>
      <c r="K80" s="7">
        <v>25</v>
      </c>
      <c r="L80" s="7">
        <v>242.40834240000001</v>
      </c>
      <c r="M80" s="7">
        <v>5146</v>
      </c>
      <c r="N80" s="7">
        <v>22351</v>
      </c>
      <c r="O80">
        <f t="shared" si="3"/>
        <v>4.7106168363777692E-2</v>
      </c>
    </row>
    <row r="81" spans="1:15">
      <c r="A81" s="3" t="s">
        <v>81</v>
      </c>
      <c r="D81" s="8">
        <v>45763</v>
      </c>
      <c r="E81" s="7" t="s">
        <v>11</v>
      </c>
      <c r="F81" s="7">
        <v>11076</v>
      </c>
      <c r="G81" s="7">
        <v>5920</v>
      </c>
      <c r="H81" s="7">
        <v>5632</v>
      </c>
      <c r="I81" s="7">
        <v>782</v>
      </c>
      <c r="J81" s="7">
        <v>45</v>
      </c>
      <c r="K81" s="7">
        <v>24</v>
      </c>
      <c r="L81" s="7">
        <v>261.29055290000002</v>
      </c>
      <c r="M81" s="7">
        <v>5546</v>
      </c>
      <c r="N81" s="7">
        <v>24458</v>
      </c>
      <c r="O81">
        <f t="shared" si="3"/>
        <v>4.7113334457266502E-2</v>
      </c>
    </row>
    <row r="82" spans="1:15">
      <c r="D82" s="8">
        <v>45763</v>
      </c>
      <c r="E82" s="7" t="s">
        <v>11</v>
      </c>
      <c r="F82" s="7">
        <v>11077</v>
      </c>
      <c r="G82" s="7">
        <v>5551</v>
      </c>
      <c r="H82" s="7">
        <v>5307</v>
      </c>
      <c r="I82" s="7">
        <v>932</v>
      </c>
      <c r="J82" s="7">
        <v>54</v>
      </c>
      <c r="K82" s="7">
        <v>19</v>
      </c>
      <c r="L82" s="7">
        <v>242.33252859999999</v>
      </c>
      <c r="M82" s="7">
        <v>5199</v>
      </c>
      <c r="N82" s="7">
        <v>24349</v>
      </c>
      <c r="O82">
        <f t="shared" si="3"/>
        <v>4.6611373071744566E-2</v>
      </c>
    </row>
    <row r="83" spans="1:15">
      <c r="A83" s="2" t="s">
        <v>82</v>
      </c>
      <c r="D83" s="8">
        <v>45763</v>
      </c>
      <c r="E83" s="7" t="s">
        <v>12</v>
      </c>
      <c r="F83" s="7">
        <v>11072</v>
      </c>
      <c r="G83" s="7">
        <v>10174</v>
      </c>
      <c r="H83" s="7">
        <v>6626</v>
      </c>
      <c r="I83" s="7">
        <v>1534</v>
      </c>
      <c r="J83" s="7">
        <v>666</v>
      </c>
      <c r="K83" s="7">
        <v>203</v>
      </c>
      <c r="L83" s="9">
        <v>7498.79</v>
      </c>
      <c r="M83" s="7">
        <v>10078</v>
      </c>
      <c r="N83" s="7">
        <v>39854</v>
      </c>
      <c r="O83">
        <f t="shared" si="3"/>
        <v>0.74407521333597937</v>
      </c>
    </row>
    <row r="84" spans="1:15">
      <c r="A84" s="4" t="s">
        <v>83</v>
      </c>
      <c r="D84" s="8">
        <v>45763</v>
      </c>
      <c r="E84" s="7" t="s">
        <v>12</v>
      </c>
      <c r="F84" s="7">
        <v>11073</v>
      </c>
      <c r="G84" s="7">
        <v>10643</v>
      </c>
      <c r="H84" s="7">
        <v>6671</v>
      </c>
      <c r="I84" s="7">
        <v>1071</v>
      </c>
      <c r="J84" s="7">
        <v>492</v>
      </c>
      <c r="K84" s="7">
        <v>159</v>
      </c>
      <c r="L84" s="9">
        <v>5871.13</v>
      </c>
      <c r="M84" s="7">
        <v>10556</v>
      </c>
      <c r="N84" s="7">
        <v>42201</v>
      </c>
      <c r="O84">
        <f t="shared" si="3"/>
        <v>0.55618889730958698</v>
      </c>
    </row>
    <row r="85" spans="1:15">
      <c r="A85" s="4" t="s">
        <v>84</v>
      </c>
      <c r="D85" s="8">
        <v>45763</v>
      </c>
      <c r="E85" s="7" t="s">
        <v>12</v>
      </c>
      <c r="F85" s="7">
        <v>11074</v>
      </c>
      <c r="G85" s="7">
        <v>10480</v>
      </c>
      <c r="H85" s="7">
        <v>6890</v>
      </c>
      <c r="I85" s="7">
        <v>1190</v>
      </c>
      <c r="J85" s="7">
        <v>499</v>
      </c>
      <c r="K85" s="7">
        <v>141</v>
      </c>
      <c r="L85" s="9">
        <v>4907.3599999999997</v>
      </c>
      <c r="M85" s="7">
        <v>10386</v>
      </c>
      <c r="N85" s="7">
        <v>41589</v>
      </c>
      <c r="O85">
        <f t="shared" si="3"/>
        <v>0.47249759291353743</v>
      </c>
    </row>
    <row r="86" spans="1:15">
      <c r="D86" s="8">
        <v>45764</v>
      </c>
      <c r="E86" s="7" t="s">
        <v>11</v>
      </c>
      <c r="F86" s="7">
        <v>11075</v>
      </c>
      <c r="G86" s="7">
        <v>5887</v>
      </c>
      <c r="H86" s="7">
        <v>5585</v>
      </c>
      <c r="I86" s="7">
        <v>1160</v>
      </c>
      <c r="J86" s="7">
        <v>83</v>
      </c>
      <c r="K86" s="7">
        <v>33</v>
      </c>
      <c r="L86" s="7">
        <v>283.21806199999997</v>
      </c>
      <c r="M86" s="7">
        <v>5577</v>
      </c>
      <c r="N86" s="7">
        <v>23225</v>
      </c>
      <c r="O86">
        <f t="shared" si="3"/>
        <v>5.0783227900304817E-2</v>
      </c>
    </row>
    <row r="87" spans="1:15">
      <c r="A87" s="3" t="s">
        <v>85</v>
      </c>
      <c r="D87" s="8">
        <v>45764</v>
      </c>
      <c r="E87" s="7" t="s">
        <v>11</v>
      </c>
      <c r="F87" s="7">
        <v>11076</v>
      </c>
      <c r="G87" s="7">
        <v>6253</v>
      </c>
      <c r="H87" s="7">
        <v>5931</v>
      </c>
      <c r="I87" s="7">
        <v>780</v>
      </c>
      <c r="J87" s="7">
        <v>46</v>
      </c>
      <c r="K87" s="7">
        <v>20</v>
      </c>
      <c r="L87" s="7">
        <v>159.7525503</v>
      </c>
      <c r="M87" s="7">
        <v>5866</v>
      </c>
      <c r="N87" s="7">
        <v>26535</v>
      </c>
      <c r="O87">
        <f t="shared" si="3"/>
        <v>2.7233643078758949E-2</v>
      </c>
    </row>
    <row r="88" spans="1:15">
      <c r="A88" s="3" t="s">
        <v>86</v>
      </c>
      <c r="D88" s="8">
        <v>45764</v>
      </c>
      <c r="E88" s="7" t="s">
        <v>11</v>
      </c>
      <c r="F88" s="7">
        <v>11077</v>
      </c>
      <c r="G88" s="7">
        <v>6016</v>
      </c>
      <c r="H88" s="7">
        <v>5744</v>
      </c>
      <c r="I88" s="7">
        <v>947</v>
      </c>
      <c r="J88" s="7">
        <v>69</v>
      </c>
      <c r="K88" s="7">
        <v>21</v>
      </c>
      <c r="L88" s="7">
        <v>147.02828969999999</v>
      </c>
      <c r="M88" s="7">
        <v>5652</v>
      </c>
      <c r="N88" s="7">
        <v>24417</v>
      </c>
      <c r="O88">
        <f t="shared" si="3"/>
        <v>2.6013497823779191E-2</v>
      </c>
    </row>
    <row r="89" spans="1:15">
      <c r="A89" s="6" t="s">
        <v>87</v>
      </c>
      <c r="D89" s="8">
        <v>45764</v>
      </c>
      <c r="E89" s="7" t="s">
        <v>12</v>
      </c>
      <c r="F89" s="7">
        <v>11072</v>
      </c>
      <c r="G89" s="7">
        <v>10518</v>
      </c>
      <c r="H89" s="7">
        <v>6658</v>
      </c>
      <c r="I89" s="7">
        <v>1373</v>
      </c>
      <c r="J89" s="7">
        <v>605</v>
      </c>
      <c r="K89" s="7">
        <v>209</v>
      </c>
      <c r="L89" s="9">
        <v>7774.93</v>
      </c>
      <c r="M89" s="7">
        <v>10437</v>
      </c>
      <c r="N89" s="7">
        <v>43633</v>
      </c>
      <c r="O89">
        <f t="shared" si="3"/>
        <v>0.74493915876209638</v>
      </c>
    </row>
    <row r="90" spans="1:15">
      <c r="A90" s="5" t="s">
        <v>88</v>
      </c>
      <c r="D90" s="8">
        <v>45764</v>
      </c>
      <c r="E90" s="7" t="s">
        <v>12</v>
      </c>
      <c r="F90" s="7">
        <v>11073</v>
      </c>
      <c r="G90" s="7">
        <v>10852</v>
      </c>
      <c r="H90" s="7">
        <v>6672</v>
      </c>
      <c r="I90" s="7">
        <v>1103</v>
      </c>
      <c r="J90" s="7">
        <v>508</v>
      </c>
      <c r="K90" s="7">
        <v>153</v>
      </c>
      <c r="L90" s="9">
        <v>5276.19</v>
      </c>
      <c r="M90" s="7">
        <v>10781</v>
      </c>
      <c r="N90" s="7">
        <v>44642</v>
      </c>
      <c r="O90">
        <f t="shared" si="3"/>
        <v>0.48939708746869487</v>
      </c>
    </row>
    <row r="91" spans="1:15">
      <c r="A91" s="4" t="s">
        <v>89</v>
      </c>
      <c r="D91" s="8">
        <v>45764</v>
      </c>
      <c r="E91" s="7" t="s">
        <v>12</v>
      </c>
      <c r="F91" s="7">
        <v>11074</v>
      </c>
      <c r="G91" s="7">
        <v>10739</v>
      </c>
      <c r="H91" s="7">
        <v>6889</v>
      </c>
      <c r="I91" s="7">
        <v>1188</v>
      </c>
      <c r="J91" s="7">
        <v>527</v>
      </c>
      <c r="K91" s="7">
        <v>167</v>
      </c>
      <c r="L91" s="9">
        <v>6670.7</v>
      </c>
      <c r="M91" s="7">
        <v>10665</v>
      </c>
      <c r="N91" s="7">
        <v>41988</v>
      </c>
      <c r="O91">
        <f t="shared" si="3"/>
        <v>0.6254758556024379</v>
      </c>
    </row>
    <row r="92" spans="1:15">
      <c r="A92" s="4" t="s">
        <v>90</v>
      </c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5">
      <c r="A93" s="4" t="s">
        <v>91</v>
      </c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5">
      <c r="A94" s="3" t="s">
        <v>92</v>
      </c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5">
      <c r="A95" s="6" t="s">
        <v>93</v>
      </c>
      <c r="D95" s="8"/>
      <c r="E95" s="7"/>
      <c r="F95" s="7"/>
      <c r="G95" s="7"/>
      <c r="H95" s="7"/>
      <c r="I95" s="7"/>
      <c r="J95" s="7"/>
      <c r="K95" s="7"/>
      <c r="L95" s="9"/>
      <c r="M95" s="7"/>
      <c r="N95" s="7"/>
    </row>
    <row r="96" spans="1:15">
      <c r="A96" s="3" t="s">
        <v>15</v>
      </c>
      <c r="D96" s="8"/>
      <c r="E96" s="7"/>
      <c r="F96" s="7"/>
      <c r="G96" s="7"/>
      <c r="H96" s="7"/>
      <c r="I96" s="7"/>
      <c r="J96" s="7"/>
      <c r="K96" s="7"/>
      <c r="L96" s="9"/>
      <c r="M96" s="7"/>
      <c r="N96" s="7"/>
    </row>
    <row r="97" spans="1:14">
      <c r="A97" s="6" t="s">
        <v>94</v>
      </c>
      <c r="D97" s="8"/>
      <c r="E97" s="7"/>
      <c r="F97" s="7"/>
      <c r="G97" s="7"/>
      <c r="H97" s="7"/>
      <c r="I97" s="7"/>
      <c r="J97" s="7"/>
      <c r="K97" s="7"/>
      <c r="L97" s="9"/>
      <c r="M97" s="7"/>
      <c r="N97" s="7"/>
    </row>
    <row r="98" spans="1:14">
      <c r="A98" s="3" t="s">
        <v>95</v>
      </c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>
      <c r="A99" s="3" t="s">
        <v>96</v>
      </c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>
      <c r="A100" s="6" t="s">
        <v>97</v>
      </c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>
      <c r="A101" s="3" t="s">
        <v>98</v>
      </c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>
      <c r="A102" s="6" t="s">
        <v>99</v>
      </c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>
      <c r="A103" s="3" t="s">
        <v>100</v>
      </c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>
      <c r="A104" s="3" t="s">
        <v>101</v>
      </c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>
      <c r="A105" s="1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>
      <c r="A106" s="1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>
      <c r="A107" s="1"/>
      <c r="D107" s="8"/>
      <c r="E107" s="7"/>
      <c r="F107" s="7"/>
      <c r="G107" s="7"/>
      <c r="H107" s="7"/>
      <c r="I107" s="7"/>
      <c r="J107" s="7"/>
      <c r="K107" s="7"/>
      <c r="L107" s="9"/>
      <c r="M107" s="7"/>
      <c r="N107" s="7"/>
    </row>
    <row r="108" spans="1:14">
      <c r="A108" s="1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>
      <c r="A109" s="1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</row>
  </sheetData>
  <sortState ref="D2:O109">
    <sortCondition ref="D1"/>
  </sortState>
  <mergeCells count="4">
    <mergeCell ref="AE59:AE61"/>
    <mergeCell ref="AF49:AH49"/>
    <mergeCell ref="AI49:AK49"/>
    <mergeCell ref="AE56:AE58"/>
  </mergeCells>
  <phoneticPr fontId="3" type="noConversion"/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0A2A-00A9-174D-B564-DDA2CEDE5B01}">
  <dimension ref="A1:V109"/>
  <sheetViews>
    <sheetView workbookViewId="0">
      <selection sqref="A1:A1048576"/>
    </sheetView>
  </sheetViews>
  <sheetFormatPr baseColWidth="10" defaultRowHeight="16"/>
  <cols>
    <col min="15" max="15" width="33.83203125" bestFit="1" customWidth="1"/>
    <col min="16" max="22" width="15" bestFit="1" customWidth="1"/>
  </cols>
  <sheetData>
    <row r="1" spans="1:2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22">
      <c r="A2" s="2" t="s">
        <v>13</v>
      </c>
      <c r="C2" s="1">
        <v>45750</v>
      </c>
      <c r="D2" t="s">
        <v>11</v>
      </c>
      <c r="E2">
        <v>11075</v>
      </c>
      <c r="F2">
        <v>138</v>
      </c>
      <c r="G2">
        <v>138</v>
      </c>
      <c r="H2">
        <v>43</v>
      </c>
      <c r="I2">
        <v>2</v>
      </c>
      <c r="J2">
        <v>0</v>
      </c>
      <c r="K2">
        <v>0</v>
      </c>
      <c r="L2">
        <v>138</v>
      </c>
      <c r="M2">
        <v>476</v>
      </c>
    </row>
    <row r="3" spans="1:22">
      <c r="A3" s="3" t="s">
        <v>14</v>
      </c>
      <c r="C3" s="1">
        <v>45750</v>
      </c>
      <c r="D3" t="s">
        <v>11</v>
      </c>
      <c r="E3">
        <v>11076</v>
      </c>
      <c r="F3">
        <v>151</v>
      </c>
      <c r="G3">
        <v>151</v>
      </c>
      <c r="H3">
        <v>28</v>
      </c>
      <c r="I3">
        <v>1</v>
      </c>
      <c r="J3">
        <v>0</v>
      </c>
      <c r="K3">
        <v>0</v>
      </c>
      <c r="L3">
        <v>151</v>
      </c>
      <c r="M3">
        <v>508</v>
      </c>
      <c r="O3" s="12" t="s">
        <v>109</v>
      </c>
      <c r="P3" s="12" t="s">
        <v>106</v>
      </c>
    </row>
    <row r="4" spans="1:22">
      <c r="A4" s="3" t="s">
        <v>15</v>
      </c>
      <c r="C4" s="1">
        <v>45750</v>
      </c>
      <c r="D4" t="s">
        <v>11</v>
      </c>
      <c r="E4">
        <v>11077</v>
      </c>
      <c r="F4">
        <v>166</v>
      </c>
      <c r="G4">
        <v>166</v>
      </c>
      <c r="H4">
        <v>44</v>
      </c>
      <c r="I4">
        <v>0</v>
      </c>
      <c r="J4">
        <v>0</v>
      </c>
      <c r="K4">
        <v>0</v>
      </c>
      <c r="L4">
        <v>166</v>
      </c>
      <c r="M4">
        <v>651</v>
      </c>
      <c r="O4" s="12" t="s">
        <v>103</v>
      </c>
      <c r="P4">
        <v>11072</v>
      </c>
      <c r="Q4">
        <v>11073</v>
      </c>
      <c r="R4">
        <v>11074</v>
      </c>
      <c r="S4">
        <v>11075</v>
      </c>
      <c r="T4">
        <v>11076</v>
      </c>
      <c r="U4">
        <v>11077</v>
      </c>
      <c r="V4" t="s">
        <v>104</v>
      </c>
    </row>
    <row r="5" spans="1:22">
      <c r="A5" s="3" t="s">
        <v>16</v>
      </c>
      <c r="C5" s="1">
        <v>45750</v>
      </c>
      <c r="D5" t="s">
        <v>12</v>
      </c>
      <c r="E5">
        <v>11072</v>
      </c>
      <c r="F5">
        <v>3821</v>
      </c>
      <c r="G5">
        <v>3638</v>
      </c>
      <c r="H5">
        <v>987</v>
      </c>
      <c r="I5">
        <v>485</v>
      </c>
      <c r="J5">
        <v>144</v>
      </c>
      <c r="K5">
        <v>5373.2287342273503</v>
      </c>
      <c r="L5">
        <v>3821</v>
      </c>
      <c r="M5">
        <v>13455</v>
      </c>
      <c r="O5" s="13">
        <v>45750</v>
      </c>
      <c r="P5" s="14">
        <v>5373.2287342273503</v>
      </c>
      <c r="Q5" s="14">
        <v>3869.8605628027399</v>
      </c>
      <c r="R5" s="14">
        <v>4402.44423964203</v>
      </c>
      <c r="S5" s="14">
        <v>0</v>
      </c>
      <c r="T5" s="14">
        <v>0</v>
      </c>
      <c r="U5" s="14">
        <v>0</v>
      </c>
      <c r="V5" s="14">
        <v>13645.533536672119</v>
      </c>
    </row>
    <row r="6" spans="1:22">
      <c r="A6" s="4" t="s">
        <v>17</v>
      </c>
      <c r="C6" s="1">
        <v>45750</v>
      </c>
      <c r="D6" t="s">
        <v>12</v>
      </c>
      <c r="E6">
        <v>11073</v>
      </c>
      <c r="F6">
        <v>3746</v>
      </c>
      <c r="G6">
        <v>3537</v>
      </c>
      <c r="H6">
        <v>666</v>
      </c>
      <c r="I6">
        <v>372</v>
      </c>
      <c r="J6">
        <v>93</v>
      </c>
      <c r="K6">
        <v>3869.8605628027399</v>
      </c>
      <c r="L6">
        <v>3746</v>
      </c>
      <c r="M6">
        <v>13740</v>
      </c>
      <c r="O6" s="13">
        <v>45751</v>
      </c>
      <c r="P6" s="14">
        <v>5691.3046911697802</v>
      </c>
      <c r="Q6" s="14">
        <v>4063.1916276834199</v>
      </c>
      <c r="R6" s="14">
        <v>4210.7578655899197</v>
      </c>
      <c r="S6" s="14">
        <v>20.843417096728999</v>
      </c>
      <c r="T6" s="14">
        <v>17.565368894285299</v>
      </c>
      <c r="U6" s="14">
        <v>25.999884912621201</v>
      </c>
      <c r="V6" s="14">
        <v>14029.662855346754</v>
      </c>
    </row>
    <row r="7" spans="1:22">
      <c r="A7" s="4" t="s">
        <v>18</v>
      </c>
      <c r="C7" s="1">
        <v>45750</v>
      </c>
      <c r="D7" t="s">
        <v>12</v>
      </c>
      <c r="E7">
        <v>11074</v>
      </c>
      <c r="F7">
        <v>3846</v>
      </c>
      <c r="G7">
        <v>3677</v>
      </c>
      <c r="H7">
        <v>745</v>
      </c>
      <c r="I7">
        <v>368</v>
      </c>
      <c r="J7">
        <v>104</v>
      </c>
      <c r="K7">
        <v>4402.44423964203</v>
      </c>
      <c r="L7">
        <v>3844</v>
      </c>
      <c r="M7">
        <v>14584</v>
      </c>
      <c r="O7" s="13">
        <v>45752</v>
      </c>
      <c r="P7" s="14">
        <v>5287.1877037521799</v>
      </c>
      <c r="Q7" s="14">
        <v>5613.2461416749302</v>
      </c>
      <c r="R7" s="14">
        <v>4241.0627280275003</v>
      </c>
      <c r="S7" s="14">
        <v>155.018025148303</v>
      </c>
      <c r="T7" s="14">
        <v>47.2116145951967</v>
      </c>
      <c r="U7" s="14">
        <v>46.971025772399599</v>
      </c>
      <c r="V7" s="14">
        <v>15390.69723897051</v>
      </c>
    </row>
    <row r="8" spans="1:22">
      <c r="A8" s="3" t="s">
        <v>19</v>
      </c>
      <c r="C8" s="1">
        <v>45751</v>
      </c>
      <c r="D8" t="s">
        <v>11</v>
      </c>
      <c r="E8">
        <v>11075</v>
      </c>
      <c r="F8">
        <v>975</v>
      </c>
      <c r="G8">
        <v>964</v>
      </c>
      <c r="H8">
        <v>273</v>
      </c>
      <c r="I8">
        <v>20</v>
      </c>
      <c r="J8">
        <v>3</v>
      </c>
      <c r="K8">
        <v>20.843417096728999</v>
      </c>
      <c r="L8">
        <v>973</v>
      </c>
      <c r="M8">
        <v>2852</v>
      </c>
      <c r="O8" s="13">
        <v>45753</v>
      </c>
      <c r="P8" s="14">
        <v>8130.9976563730197</v>
      </c>
      <c r="Q8" s="14">
        <v>6349.9562922536998</v>
      </c>
      <c r="R8" s="14">
        <v>6830.5523406590801</v>
      </c>
      <c r="S8" s="14">
        <v>218.58210166113199</v>
      </c>
      <c r="T8" s="14">
        <v>27.5657683230835</v>
      </c>
      <c r="U8" s="14">
        <v>95.845647259346805</v>
      </c>
      <c r="V8" s="14">
        <v>21653.499806529362</v>
      </c>
    </row>
    <row r="9" spans="1:22">
      <c r="A9" s="3" t="s">
        <v>20</v>
      </c>
      <c r="C9" s="1">
        <v>45751</v>
      </c>
      <c r="D9" t="s">
        <v>11</v>
      </c>
      <c r="E9">
        <v>11076</v>
      </c>
      <c r="F9">
        <v>1033</v>
      </c>
      <c r="G9">
        <v>1022</v>
      </c>
      <c r="H9">
        <v>152</v>
      </c>
      <c r="I9">
        <v>7</v>
      </c>
      <c r="J9">
        <v>3</v>
      </c>
      <c r="K9">
        <v>17.565368894285299</v>
      </c>
      <c r="L9">
        <v>1031</v>
      </c>
      <c r="M9">
        <v>3647</v>
      </c>
      <c r="O9" s="13">
        <v>45754</v>
      </c>
      <c r="P9" s="14">
        <v>8222.1219787098198</v>
      </c>
      <c r="Q9" s="14">
        <v>6377.6298579323202</v>
      </c>
      <c r="R9" s="14">
        <v>5632.82340111956</v>
      </c>
      <c r="S9" s="14">
        <v>109.10494475107799</v>
      </c>
      <c r="T9" s="14">
        <v>149.92032339048501</v>
      </c>
      <c r="U9" s="14">
        <v>115.368806217041</v>
      </c>
      <c r="V9" s="14">
        <v>20606.969312120302</v>
      </c>
    </row>
    <row r="10" spans="1:22">
      <c r="A10" s="3" t="s">
        <v>21</v>
      </c>
      <c r="C10" s="1">
        <v>45751</v>
      </c>
      <c r="D10" t="s">
        <v>11</v>
      </c>
      <c r="E10">
        <v>11077</v>
      </c>
      <c r="F10">
        <v>972</v>
      </c>
      <c r="G10">
        <v>966</v>
      </c>
      <c r="H10">
        <v>244</v>
      </c>
      <c r="I10">
        <v>12</v>
      </c>
      <c r="J10">
        <v>4</v>
      </c>
      <c r="K10">
        <v>25.999884912621201</v>
      </c>
      <c r="L10">
        <v>969</v>
      </c>
      <c r="M10">
        <v>3542</v>
      </c>
      <c r="O10" s="13">
        <v>45755</v>
      </c>
      <c r="P10" s="14">
        <v>5188.6212655080899</v>
      </c>
      <c r="Q10" s="14">
        <v>5308.7544455673396</v>
      </c>
      <c r="R10" s="14">
        <v>5158.8629067722904</v>
      </c>
      <c r="S10" s="14">
        <v>138.36416709336501</v>
      </c>
      <c r="T10" s="14">
        <v>81.576470313160996</v>
      </c>
      <c r="U10" s="14">
        <v>207.511673109084</v>
      </c>
      <c r="V10" s="14">
        <v>16083.69092836333</v>
      </c>
    </row>
    <row r="11" spans="1:22">
      <c r="A11" s="3" t="s">
        <v>22</v>
      </c>
      <c r="C11" s="1">
        <v>45751</v>
      </c>
      <c r="D11" t="s">
        <v>12</v>
      </c>
      <c r="E11">
        <v>11072</v>
      </c>
      <c r="F11">
        <v>4975</v>
      </c>
      <c r="G11">
        <v>4355</v>
      </c>
      <c r="H11">
        <v>1058</v>
      </c>
      <c r="I11">
        <v>511</v>
      </c>
      <c r="J11">
        <v>146</v>
      </c>
      <c r="K11">
        <v>5691.3046911697802</v>
      </c>
      <c r="L11">
        <v>4964</v>
      </c>
      <c r="M11">
        <v>17399</v>
      </c>
      <c r="O11" s="13">
        <v>45756</v>
      </c>
      <c r="P11" s="14">
        <v>5394.7294266691997</v>
      </c>
      <c r="Q11" s="14">
        <v>5056.2549775653997</v>
      </c>
      <c r="R11" s="14">
        <v>4588.79837205692</v>
      </c>
      <c r="S11" s="14">
        <v>270.00213073114799</v>
      </c>
      <c r="T11" s="14">
        <v>144.988601792016</v>
      </c>
      <c r="U11" s="14">
        <v>223.453299012006</v>
      </c>
      <c r="V11" s="14">
        <v>15678.226807826688</v>
      </c>
    </row>
    <row r="12" spans="1:22">
      <c r="A12" s="4" t="s">
        <v>23</v>
      </c>
      <c r="C12" s="1">
        <v>45751</v>
      </c>
      <c r="D12" t="s">
        <v>12</v>
      </c>
      <c r="E12">
        <v>11073</v>
      </c>
      <c r="F12">
        <v>5008</v>
      </c>
      <c r="G12">
        <v>4309</v>
      </c>
      <c r="H12">
        <v>752</v>
      </c>
      <c r="I12">
        <v>401</v>
      </c>
      <c r="J12">
        <v>97</v>
      </c>
      <c r="K12">
        <v>4063.1916276834199</v>
      </c>
      <c r="L12">
        <v>5000</v>
      </c>
      <c r="M12">
        <v>19310</v>
      </c>
      <c r="O12" s="13">
        <v>45757</v>
      </c>
      <c r="P12" s="14">
        <v>5858.3078698536001</v>
      </c>
      <c r="Q12" s="14">
        <v>5146.8710247243798</v>
      </c>
      <c r="R12" s="14">
        <v>5408.7485334985804</v>
      </c>
      <c r="S12" s="14">
        <v>226.276400485583</v>
      </c>
      <c r="T12" s="14">
        <v>190.66338935650401</v>
      </c>
      <c r="U12" s="14">
        <v>147.989834644517</v>
      </c>
      <c r="V12" s="14">
        <v>16978.857052563162</v>
      </c>
    </row>
    <row r="13" spans="1:22">
      <c r="A13" s="2" t="s">
        <v>24</v>
      </c>
      <c r="C13" s="1">
        <v>45751</v>
      </c>
      <c r="D13" t="s">
        <v>12</v>
      </c>
      <c r="E13">
        <v>11074</v>
      </c>
      <c r="F13">
        <v>4936</v>
      </c>
      <c r="G13">
        <v>4325</v>
      </c>
      <c r="H13">
        <v>805</v>
      </c>
      <c r="I13">
        <v>413</v>
      </c>
      <c r="J13">
        <v>116</v>
      </c>
      <c r="K13">
        <v>4210.7578655899197</v>
      </c>
      <c r="L13">
        <v>4928</v>
      </c>
      <c r="M13">
        <v>18995</v>
      </c>
      <c r="O13" s="13">
        <v>45758</v>
      </c>
      <c r="P13" s="14">
        <v>6303.9011862547804</v>
      </c>
      <c r="Q13" s="14">
        <v>4878.4909447670198</v>
      </c>
      <c r="R13" s="14">
        <v>5255.0725897278098</v>
      </c>
      <c r="S13" s="14">
        <v>306.90208949793401</v>
      </c>
      <c r="T13" s="14">
        <v>216.02798391791799</v>
      </c>
      <c r="U13" s="14">
        <v>227.34648175585599</v>
      </c>
      <c r="V13" s="14">
        <v>17187.741275921315</v>
      </c>
    </row>
    <row r="14" spans="1:22">
      <c r="A14" s="4" t="s">
        <v>25</v>
      </c>
      <c r="C14" s="1">
        <v>45752</v>
      </c>
      <c r="D14" t="s">
        <v>11</v>
      </c>
      <c r="E14">
        <v>11075</v>
      </c>
      <c r="F14">
        <v>1553</v>
      </c>
      <c r="G14">
        <v>1536</v>
      </c>
      <c r="H14">
        <v>426</v>
      </c>
      <c r="I14">
        <v>29</v>
      </c>
      <c r="J14">
        <v>11</v>
      </c>
      <c r="K14">
        <v>155.018025148303</v>
      </c>
      <c r="L14">
        <v>1530</v>
      </c>
      <c r="M14">
        <v>4872</v>
      </c>
      <c r="O14" s="13">
        <v>45759</v>
      </c>
      <c r="P14" s="14">
        <v>6997.5249657603299</v>
      </c>
      <c r="Q14" s="14">
        <v>5796.5257138166799</v>
      </c>
      <c r="R14" s="14">
        <v>4976.17332831968</v>
      </c>
      <c r="S14" s="14">
        <v>301.15089036745701</v>
      </c>
      <c r="T14" s="14">
        <v>79.433227941397803</v>
      </c>
      <c r="U14" s="14">
        <v>280.32777008084798</v>
      </c>
      <c r="V14" s="14">
        <v>18431.135896286392</v>
      </c>
    </row>
    <row r="15" spans="1:22">
      <c r="A15" s="4" t="s">
        <v>26</v>
      </c>
      <c r="C15" s="1">
        <v>45752</v>
      </c>
      <c r="D15" t="s">
        <v>11</v>
      </c>
      <c r="E15">
        <v>11076</v>
      </c>
      <c r="F15">
        <v>1588</v>
      </c>
      <c r="G15">
        <v>1559</v>
      </c>
      <c r="H15">
        <v>222</v>
      </c>
      <c r="I15">
        <v>6</v>
      </c>
      <c r="J15">
        <v>2</v>
      </c>
      <c r="K15">
        <v>47.2116145951967</v>
      </c>
      <c r="L15">
        <v>1571</v>
      </c>
      <c r="M15">
        <v>5151</v>
      </c>
      <c r="O15" s="13">
        <v>45760</v>
      </c>
      <c r="P15" s="14">
        <v>9156.1174154279197</v>
      </c>
      <c r="Q15" s="14">
        <v>7457.2498090441104</v>
      </c>
      <c r="R15" s="14">
        <v>8978.7726429037593</v>
      </c>
      <c r="S15" s="14">
        <v>398.36308891603301</v>
      </c>
      <c r="T15" s="14">
        <v>241.87334205744099</v>
      </c>
      <c r="U15" s="14">
        <v>330.96248389424602</v>
      </c>
      <c r="V15" s="14">
        <v>26563.338782243511</v>
      </c>
    </row>
    <row r="16" spans="1:22">
      <c r="A16" s="4" t="s">
        <v>27</v>
      </c>
      <c r="C16" s="1">
        <v>45752</v>
      </c>
      <c r="D16" t="s">
        <v>11</v>
      </c>
      <c r="E16">
        <v>11077</v>
      </c>
      <c r="F16">
        <v>1562</v>
      </c>
      <c r="G16">
        <v>1545</v>
      </c>
      <c r="H16">
        <v>343</v>
      </c>
      <c r="I16">
        <v>20</v>
      </c>
      <c r="J16">
        <v>9</v>
      </c>
      <c r="K16">
        <v>46.971025772399599</v>
      </c>
      <c r="L16">
        <v>1542</v>
      </c>
      <c r="M16">
        <v>5693</v>
      </c>
      <c r="O16" s="13">
        <v>45761</v>
      </c>
      <c r="P16" s="14">
        <v>10423.308085413701</v>
      </c>
      <c r="Q16" s="14">
        <v>7787.8032809379101</v>
      </c>
      <c r="R16" s="14">
        <v>7680.8493677404404</v>
      </c>
      <c r="S16" s="14">
        <v>245.692884636114</v>
      </c>
      <c r="T16" s="14">
        <v>284.024903303683</v>
      </c>
      <c r="U16" s="14">
        <v>181.155148949861</v>
      </c>
      <c r="V16" s="14">
        <v>26602.833670981709</v>
      </c>
    </row>
    <row r="17" spans="1:22">
      <c r="A17" s="4" t="s">
        <v>28</v>
      </c>
      <c r="C17" s="1">
        <v>45752</v>
      </c>
      <c r="D17" t="s">
        <v>12</v>
      </c>
      <c r="E17">
        <v>11072</v>
      </c>
      <c r="F17">
        <v>5844</v>
      </c>
      <c r="G17">
        <v>4949</v>
      </c>
      <c r="H17">
        <v>1165</v>
      </c>
      <c r="I17">
        <v>555</v>
      </c>
      <c r="J17">
        <v>162</v>
      </c>
      <c r="K17">
        <v>5287.1877037521799</v>
      </c>
      <c r="L17">
        <v>5821</v>
      </c>
      <c r="M17">
        <v>20570</v>
      </c>
      <c r="O17" s="13">
        <v>45762</v>
      </c>
      <c r="P17" s="14">
        <v>8127.0664351787</v>
      </c>
      <c r="Q17" s="14">
        <v>5898.8250739536597</v>
      </c>
      <c r="R17" s="14">
        <v>6230.62369424401</v>
      </c>
      <c r="S17" s="14">
        <v>358.67731481447498</v>
      </c>
      <c r="T17" s="14">
        <v>172.21921912484001</v>
      </c>
      <c r="U17" s="14">
        <v>153.48655878839301</v>
      </c>
      <c r="V17" s="14">
        <v>20940.898296104078</v>
      </c>
    </row>
    <row r="18" spans="1:22">
      <c r="A18" s="4" t="s">
        <v>29</v>
      </c>
      <c r="C18" s="1">
        <v>45752</v>
      </c>
      <c r="D18" t="s">
        <v>12</v>
      </c>
      <c r="E18">
        <v>11073</v>
      </c>
      <c r="F18">
        <v>6097</v>
      </c>
      <c r="G18">
        <v>5036</v>
      </c>
      <c r="H18">
        <v>844</v>
      </c>
      <c r="I18">
        <v>462</v>
      </c>
      <c r="J18">
        <v>143</v>
      </c>
      <c r="K18">
        <v>5613.2461416749302</v>
      </c>
      <c r="L18">
        <v>6071</v>
      </c>
      <c r="M18">
        <v>22486</v>
      </c>
      <c r="O18" s="13">
        <v>45763</v>
      </c>
      <c r="P18" s="14">
        <v>7155.5245720698704</v>
      </c>
      <c r="Q18" s="14">
        <v>5697.6090685705503</v>
      </c>
      <c r="R18" s="14">
        <v>4953.9419515080699</v>
      </c>
      <c r="S18" s="14">
        <v>250.066102044535</v>
      </c>
      <c r="T18" s="14">
        <v>204.88633530721401</v>
      </c>
      <c r="U18" s="14">
        <v>151.44421816376101</v>
      </c>
      <c r="V18" s="14">
        <v>18413.472247663998</v>
      </c>
    </row>
    <row r="19" spans="1:22">
      <c r="A19" s="4" t="s">
        <v>30</v>
      </c>
      <c r="C19" s="1">
        <v>45752</v>
      </c>
      <c r="D19" t="s">
        <v>12</v>
      </c>
      <c r="E19">
        <v>11074</v>
      </c>
      <c r="F19">
        <v>5782</v>
      </c>
      <c r="G19">
        <v>4853</v>
      </c>
      <c r="H19">
        <v>929</v>
      </c>
      <c r="I19">
        <v>451</v>
      </c>
      <c r="J19">
        <v>121</v>
      </c>
      <c r="K19">
        <v>4241.0627280275003</v>
      </c>
      <c r="L19">
        <v>5753</v>
      </c>
      <c r="M19">
        <v>22205</v>
      </c>
      <c r="O19" s="13">
        <v>45764</v>
      </c>
      <c r="P19" s="14">
        <v>7046.5926718439196</v>
      </c>
      <c r="Q19" s="14">
        <v>5330.53619002092</v>
      </c>
      <c r="R19" s="14">
        <v>6290.1363678505004</v>
      </c>
      <c r="S19" s="14">
        <v>258.18073513371502</v>
      </c>
      <c r="T19" s="14">
        <v>159.94009017439001</v>
      </c>
      <c r="U19" s="14">
        <v>191.37326694261799</v>
      </c>
      <c r="V19" s="14">
        <v>19276.759321966063</v>
      </c>
    </row>
    <row r="20" spans="1:22">
      <c r="A20" s="4" t="s">
        <v>31</v>
      </c>
      <c r="C20" s="1">
        <v>45753</v>
      </c>
      <c r="D20" t="s">
        <v>11</v>
      </c>
      <c r="E20">
        <v>11075</v>
      </c>
      <c r="F20">
        <v>2122</v>
      </c>
      <c r="G20">
        <v>2092</v>
      </c>
      <c r="H20">
        <v>542</v>
      </c>
      <c r="I20">
        <v>53</v>
      </c>
      <c r="J20">
        <v>24</v>
      </c>
      <c r="K20">
        <v>218.58210166113199</v>
      </c>
      <c r="L20">
        <v>2091</v>
      </c>
      <c r="M20">
        <v>6811</v>
      </c>
      <c r="O20" s="13">
        <v>45765</v>
      </c>
      <c r="P20" s="14">
        <v>7350.1986641373096</v>
      </c>
      <c r="Q20" s="14">
        <v>6250.1335440495304</v>
      </c>
      <c r="R20" s="14">
        <v>6797.0447959876101</v>
      </c>
      <c r="S20" s="14">
        <v>275.19750961400803</v>
      </c>
      <c r="T20" s="14">
        <v>143.58217933510201</v>
      </c>
      <c r="U20" s="14">
        <v>374.47224157130898</v>
      </c>
      <c r="V20" s="14">
        <v>21190.628934694869</v>
      </c>
    </row>
    <row r="21" spans="1:22">
      <c r="A21" s="4" t="s">
        <v>32</v>
      </c>
      <c r="C21" s="1">
        <v>45753</v>
      </c>
      <c r="D21" t="s">
        <v>11</v>
      </c>
      <c r="E21">
        <v>11076</v>
      </c>
      <c r="F21">
        <v>2250</v>
      </c>
      <c r="G21">
        <v>2204</v>
      </c>
      <c r="H21">
        <v>294</v>
      </c>
      <c r="I21">
        <v>11</v>
      </c>
      <c r="J21">
        <v>5</v>
      </c>
      <c r="K21">
        <v>27.5657683230835</v>
      </c>
      <c r="L21">
        <v>2213</v>
      </c>
      <c r="M21">
        <v>7963</v>
      </c>
      <c r="O21" s="13">
        <v>45766</v>
      </c>
      <c r="P21" s="14">
        <v>8636.1877512641804</v>
      </c>
      <c r="Q21" s="14">
        <v>7241.3780609146997</v>
      </c>
      <c r="R21" s="14">
        <v>6023.2782224714501</v>
      </c>
      <c r="S21" s="14">
        <v>251.78095841511899</v>
      </c>
      <c r="T21" s="14">
        <v>239.07806034704799</v>
      </c>
      <c r="U21" s="14">
        <v>332.475480801022</v>
      </c>
      <c r="V21" s="14">
        <v>22724.178534213519</v>
      </c>
    </row>
    <row r="22" spans="1:22">
      <c r="A22" s="3" t="s">
        <v>33</v>
      </c>
      <c r="C22" s="1">
        <v>45753</v>
      </c>
      <c r="D22" t="s">
        <v>11</v>
      </c>
      <c r="E22">
        <v>11077</v>
      </c>
      <c r="F22">
        <v>2269</v>
      </c>
      <c r="G22">
        <v>2226</v>
      </c>
      <c r="H22">
        <v>466</v>
      </c>
      <c r="I22">
        <v>20</v>
      </c>
      <c r="J22">
        <v>7</v>
      </c>
      <c r="K22">
        <v>95.845647259346805</v>
      </c>
      <c r="L22">
        <v>2240</v>
      </c>
      <c r="M22">
        <v>8173</v>
      </c>
      <c r="O22" s="13">
        <v>45767</v>
      </c>
      <c r="P22" s="14">
        <v>11034.3188022089</v>
      </c>
      <c r="Q22" s="14">
        <v>8227.0434849335998</v>
      </c>
      <c r="R22" s="14">
        <v>7294.0391793045701</v>
      </c>
      <c r="S22" s="14">
        <v>269.28627143471601</v>
      </c>
      <c r="T22" s="14">
        <v>180.19614805215801</v>
      </c>
      <c r="U22" s="14">
        <v>271.44103366234299</v>
      </c>
      <c r="V22" s="14">
        <v>27276.324919596289</v>
      </c>
    </row>
    <row r="23" spans="1:22">
      <c r="A23" s="2" t="s">
        <v>34</v>
      </c>
      <c r="C23" s="1">
        <v>45753</v>
      </c>
      <c r="D23" t="s">
        <v>12</v>
      </c>
      <c r="E23">
        <v>11072</v>
      </c>
      <c r="F23">
        <v>7890</v>
      </c>
      <c r="G23">
        <v>6450</v>
      </c>
      <c r="H23">
        <v>1584</v>
      </c>
      <c r="I23">
        <v>749</v>
      </c>
      <c r="J23">
        <v>223</v>
      </c>
      <c r="K23">
        <v>8130.9976563730197</v>
      </c>
      <c r="L23">
        <v>7841</v>
      </c>
      <c r="M23">
        <v>30221</v>
      </c>
      <c r="O23" s="13" t="s">
        <v>104</v>
      </c>
      <c r="P23" s="14">
        <v>131377.23987582265</v>
      </c>
      <c r="Q23" s="14">
        <v>106351.36010121291</v>
      </c>
      <c r="R23" s="14">
        <v>104953.98252742377</v>
      </c>
      <c r="S23" s="14">
        <v>4053.4890318414441</v>
      </c>
      <c r="T23" s="14">
        <v>2580.7530262259233</v>
      </c>
      <c r="U23" s="14">
        <v>3357.6248555372731</v>
      </c>
      <c r="V23" s="14">
        <v>352674.44941806397</v>
      </c>
    </row>
    <row r="24" spans="1:22">
      <c r="A24" s="3" t="s">
        <v>35</v>
      </c>
      <c r="C24" s="1">
        <v>45753</v>
      </c>
      <c r="D24" t="s">
        <v>12</v>
      </c>
      <c r="E24">
        <v>11073</v>
      </c>
      <c r="F24">
        <v>8058</v>
      </c>
      <c r="G24">
        <v>6417</v>
      </c>
      <c r="H24">
        <v>1101</v>
      </c>
      <c r="I24">
        <v>585</v>
      </c>
      <c r="J24">
        <v>153</v>
      </c>
      <c r="K24">
        <v>6349.9562922536998</v>
      </c>
      <c r="L24">
        <v>8019</v>
      </c>
      <c r="M24">
        <v>30538</v>
      </c>
    </row>
    <row r="25" spans="1:22">
      <c r="A25" s="5" t="s">
        <v>36</v>
      </c>
      <c r="C25" s="1">
        <v>45753</v>
      </c>
      <c r="D25" t="s">
        <v>12</v>
      </c>
      <c r="E25">
        <v>11074</v>
      </c>
      <c r="F25">
        <v>7868</v>
      </c>
      <c r="G25">
        <v>6448</v>
      </c>
      <c r="H25">
        <v>1236</v>
      </c>
      <c r="I25">
        <v>632</v>
      </c>
      <c r="J25">
        <v>184</v>
      </c>
      <c r="K25">
        <v>6830.5523406590801</v>
      </c>
      <c r="L25">
        <v>7821</v>
      </c>
      <c r="M25">
        <v>29958</v>
      </c>
    </row>
    <row r="26" spans="1:22">
      <c r="A26" s="4" t="s">
        <v>37</v>
      </c>
      <c r="C26" s="1">
        <v>45754</v>
      </c>
      <c r="D26" t="s">
        <v>11</v>
      </c>
      <c r="E26">
        <v>11075</v>
      </c>
      <c r="F26">
        <v>3474</v>
      </c>
      <c r="G26">
        <v>3425</v>
      </c>
      <c r="H26">
        <v>871</v>
      </c>
      <c r="I26">
        <v>48</v>
      </c>
      <c r="J26">
        <v>11</v>
      </c>
      <c r="K26">
        <v>109.10494475107799</v>
      </c>
      <c r="L26">
        <v>3417</v>
      </c>
      <c r="M26">
        <v>11064</v>
      </c>
    </row>
    <row r="27" spans="1:22">
      <c r="A27" s="3" t="s">
        <v>38</v>
      </c>
      <c r="C27" s="1">
        <v>45754</v>
      </c>
      <c r="D27" t="s">
        <v>11</v>
      </c>
      <c r="E27">
        <v>11076</v>
      </c>
      <c r="F27">
        <v>3710</v>
      </c>
      <c r="G27">
        <v>3632</v>
      </c>
      <c r="H27">
        <v>518</v>
      </c>
      <c r="I27">
        <v>42</v>
      </c>
      <c r="J27">
        <v>21</v>
      </c>
      <c r="K27">
        <v>149.92032339048501</v>
      </c>
      <c r="L27">
        <v>3648</v>
      </c>
      <c r="M27">
        <v>14509</v>
      </c>
    </row>
    <row r="28" spans="1:22">
      <c r="A28" s="3" t="s">
        <v>39</v>
      </c>
      <c r="C28" s="1">
        <v>45754</v>
      </c>
      <c r="D28" t="s">
        <v>11</v>
      </c>
      <c r="E28">
        <v>11077</v>
      </c>
      <c r="F28">
        <v>3565</v>
      </c>
      <c r="G28">
        <v>3492</v>
      </c>
      <c r="H28">
        <v>711</v>
      </c>
      <c r="I28">
        <v>41</v>
      </c>
      <c r="J28">
        <v>15</v>
      </c>
      <c r="K28">
        <v>115.368806217041</v>
      </c>
      <c r="L28">
        <v>3515</v>
      </c>
      <c r="M28">
        <v>12644</v>
      </c>
    </row>
    <row r="29" spans="1:22">
      <c r="A29" s="3" t="s">
        <v>40</v>
      </c>
      <c r="C29" s="1">
        <v>45754</v>
      </c>
      <c r="D29" t="s">
        <v>12</v>
      </c>
      <c r="E29">
        <v>11072</v>
      </c>
      <c r="F29">
        <v>8360</v>
      </c>
      <c r="G29">
        <v>6620</v>
      </c>
      <c r="H29">
        <v>1515</v>
      </c>
      <c r="I29">
        <v>723</v>
      </c>
      <c r="J29">
        <v>228</v>
      </c>
      <c r="K29">
        <v>8222.1219787098198</v>
      </c>
      <c r="L29">
        <v>8315</v>
      </c>
      <c r="M29">
        <v>31889</v>
      </c>
    </row>
    <row r="30" spans="1:22">
      <c r="A30" s="6" t="s">
        <v>41</v>
      </c>
      <c r="C30" s="1">
        <v>45754</v>
      </c>
      <c r="D30" t="s">
        <v>12</v>
      </c>
      <c r="E30">
        <v>11073</v>
      </c>
      <c r="F30">
        <v>8585</v>
      </c>
      <c r="G30">
        <v>6705</v>
      </c>
      <c r="H30">
        <v>1119</v>
      </c>
      <c r="I30">
        <v>610</v>
      </c>
      <c r="J30">
        <v>162</v>
      </c>
      <c r="K30">
        <v>6377.6298579323202</v>
      </c>
      <c r="L30">
        <v>8540</v>
      </c>
      <c r="M30">
        <v>33147</v>
      </c>
    </row>
    <row r="31" spans="1:22">
      <c r="A31" s="4" t="s">
        <v>42</v>
      </c>
      <c r="C31" s="1">
        <v>45754</v>
      </c>
      <c r="D31" t="s">
        <v>12</v>
      </c>
      <c r="E31">
        <v>11074</v>
      </c>
      <c r="F31">
        <v>8453</v>
      </c>
      <c r="G31">
        <v>6737</v>
      </c>
      <c r="H31">
        <v>1234</v>
      </c>
      <c r="I31">
        <v>637</v>
      </c>
      <c r="J31">
        <v>164</v>
      </c>
      <c r="K31">
        <v>5632.82340111956</v>
      </c>
      <c r="L31">
        <v>8413</v>
      </c>
      <c r="M31">
        <v>32888</v>
      </c>
    </row>
    <row r="32" spans="1:22">
      <c r="A32" s="3" t="s">
        <v>15</v>
      </c>
      <c r="C32" s="1">
        <v>45755</v>
      </c>
      <c r="D32" t="s">
        <v>11</v>
      </c>
      <c r="E32">
        <v>11075</v>
      </c>
      <c r="F32">
        <v>4498</v>
      </c>
      <c r="G32">
        <v>4407</v>
      </c>
      <c r="H32">
        <v>1120</v>
      </c>
      <c r="I32">
        <v>74</v>
      </c>
      <c r="J32">
        <v>21</v>
      </c>
      <c r="K32">
        <v>138.36416709336501</v>
      </c>
      <c r="L32">
        <v>4409</v>
      </c>
      <c r="M32">
        <v>13901</v>
      </c>
    </row>
    <row r="33" spans="1:13">
      <c r="A33" s="3" t="s">
        <v>43</v>
      </c>
      <c r="C33" s="1">
        <v>45755</v>
      </c>
      <c r="D33" t="s">
        <v>11</v>
      </c>
      <c r="E33">
        <v>11076</v>
      </c>
      <c r="F33">
        <v>4683</v>
      </c>
      <c r="G33">
        <v>4556</v>
      </c>
      <c r="H33">
        <v>630</v>
      </c>
      <c r="I33">
        <v>38</v>
      </c>
      <c r="J33">
        <v>14</v>
      </c>
      <c r="K33">
        <v>81.576470313160996</v>
      </c>
      <c r="L33">
        <v>4574</v>
      </c>
      <c r="M33">
        <v>16705</v>
      </c>
    </row>
    <row r="34" spans="1:13">
      <c r="A34" s="3" t="s">
        <v>44</v>
      </c>
      <c r="C34" s="1">
        <v>45755</v>
      </c>
      <c r="D34" t="s">
        <v>11</v>
      </c>
      <c r="E34">
        <v>11077</v>
      </c>
      <c r="F34">
        <v>4541</v>
      </c>
      <c r="G34">
        <v>4455</v>
      </c>
      <c r="H34">
        <v>887</v>
      </c>
      <c r="I34">
        <v>55</v>
      </c>
      <c r="J34">
        <v>24</v>
      </c>
      <c r="K34">
        <v>207.511673109084</v>
      </c>
      <c r="L34">
        <v>4464</v>
      </c>
      <c r="M34">
        <v>15516</v>
      </c>
    </row>
    <row r="35" spans="1:13">
      <c r="A35" s="4" t="s">
        <v>45</v>
      </c>
      <c r="C35" s="1">
        <v>45755</v>
      </c>
      <c r="D35" t="s">
        <v>12</v>
      </c>
      <c r="E35">
        <v>11072</v>
      </c>
      <c r="F35">
        <v>7110</v>
      </c>
      <c r="G35">
        <v>5352</v>
      </c>
      <c r="H35">
        <v>1138</v>
      </c>
      <c r="I35">
        <v>536</v>
      </c>
      <c r="J35">
        <v>148</v>
      </c>
      <c r="K35">
        <v>5188.6212655080899</v>
      </c>
      <c r="L35">
        <v>7045</v>
      </c>
      <c r="M35">
        <v>25150</v>
      </c>
    </row>
    <row r="36" spans="1:13">
      <c r="A36" s="4" t="s">
        <v>46</v>
      </c>
      <c r="C36" s="1">
        <v>45755</v>
      </c>
      <c r="D36" t="s">
        <v>12</v>
      </c>
      <c r="E36">
        <v>11073</v>
      </c>
      <c r="F36">
        <v>7622</v>
      </c>
      <c r="G36">
        <v>5678</v>
      </c>
      <c r="H36">
        <v>932</v>
      </c>
      <c r="I36">
        <v>507</v>
      </c>
      <c r="J36">
        <v>147</v>
      </c>
      <c r="K36">
        <v>5308.7544455673396</v>
      </c>
      <c r="L36">
        <v>7559</v>
      </c>
      <c r="M36">
        <v>29103</v>
      </c>
    </row>
    <row r="37" spans="1:13">
      <c r="A37" s="4" t="s">
        <v>47</v>
      </c>
      <c r="C37" s="1">
        <v>45755</v>
      </c>
      <c r="D37" t="s">
        <v>12</v>
      </c>
      <c r="E37">
        <v>11074</v>
      </c>
      <c r="F37">
        <v>7467</v>
      </c>
      <c r="G37">
        <v>5708</v>
      </c>
      <c r="H37">
        <v>1068</v>
      </c>
      <c r="I37">
        <v>536</v>
      </c>
      <c r="J37">
        <v>141</v>
      </c>
      <c r="K37">
        <v>5158.8629067722904</v>
      </c>
      <c r="L37">
        <v>7392</v>
      </c>
      <c r="M37">
        <v>27787</v>
      </c>
    </row>
    <row r="38" spans="1:13">
      <c r="A38" s="4" t="s">
        <v>48</v>
      </c>
      <c r="C38" s="1">
        <v>45756</v>
      </c>
      <c r="D38" t="s">
        <v>11</v>
      </c>
      <c r="E38">
        <v>11075</v>
      </c>
      <c r="F38">
        <v>4648</v>
      </c>
      <c r="G38">
        <v>4530</v>
      </c>
      <c r="H38">
        <v>1088</v>
      </c>
      <c r="I38">
        <v>81</v>
      </c>
      <c r="J38">
        <v>32</v>
      </c>
      <c r="K38">
        <v>270.00213073114799</v>
      </c>
      <c r="L38">
        <v>4516</v>
      </c>
      <c r="M38">
        <v>14487</v>
      </c>
    </row>
    <row r="39" spans="1:13">
      <c r="A39" s="2" t="s">
        <v>24</v>
      </c>
      <c r="C39" s="1">
        <v>45756</v>
      </c>
      <c r="D39" t="s">
        <v>11</v>
      </c>
      <c r="E39">
        <v>11076</v>
      </c>
      <c r="F39">
        <v>4802</v>
      </c>
      <c r="G39">
        <v>4647</v>
      </c>
      <c r="H39">
        <v>671</v>
      </c>
      <c r="I39">
        <v>39</v>
      </c>
      <c r="J39">
        <v>17</v>
      </c>
      <c r="K39">
        <v>144.988601792016</v>
      </c>
      <c r="L39">
        <v>4646</v>
      </c>
      <c r="M39">
        <v>16930</v>
      </c>
    </row>
    <row r="40" spans="1:13">
      <c r="A40" s="3" t="s">
        <v>33</v>
      </c>
      <c r="C40" s="1">
        <v>45756</v>
      </c>
      <c r="D40" t="s">
        <v>11</v>
      </c>
      <c r="E40">
        <v>11077</v>
      </c>
      <c r="F40">
        <v>4649</v>
      </c>
      <c r="G40">
        <v>4523</v>
      </c>
      <c r="H40">
        <v>890</v>
      </c>
      <c r="I40">
        <v>65</v>
      </c>
      <c r="J40">
        <v>23</v>
      </c>
      <c r="K40">
        <v>223.453299012006</v>
      </c>
      <c r="L40">
        <v>4500</v>
      </c>
      <c r="M40">
        <v>15810</v>
      </c>
    </row>
    <row r="41" spans="1:13">
      <c r="A41" s="2" t="s">
        <v>49</v>
      </c>
      <c r="C41" s="1">
        <v>45756</v>
      </c>
      <c r="D41" t="s">
        <v>12</v>
      </c>
      <c r="E41">
        <v>11072</v>
      </c>
      <c r="F41">
        <v>6809</v>
      </c>
      <c r="G41">
        <v>4929</v>
      </c>
      <c r="H41">
        <v>1167</v>
      </c>
      <c r="I41">
        <v>529</v>
      </c>
      <c r="J41">
        <v>155</v>
      </c>
      <c r="K41">
        <v>5394.7294266691997</v>
      </c>
      <c r="L41">
        <v>6750</v>
      </c>
      <c r="M41">
        <v>25109</v>
      </c>
    </row>
    <row r="42" spans="1:13">
      <c r="A42" s="3" t="s">
        <v>50</v>
      </c>
      <c r="C42" s="1">
        <v>45756</v>
      </c>
      <c r="D42" t="s">
        <v>12</v>
      </c>
      <c r="E42">
        <v>11073</v>
      </c>
      <c r="F42">
        <v>7315</v>
      </c>
      <c r="G42">
        <v>5180</v>
      </c>
      <c r="H42">
        <v>890</v>
      </c>
      <c r="I42">
        <v>471</v>
      </c>
      <c r="J42">
        <v>132</v>
      </c>
      <c r="K42">
        <v>5056.2549775653997</v>
      </c>
      <c r="L42">
        <v>7253</v>
      </c>
      <c r="M42">
        <v>28015</v>
      </c>
    </row>
    <row r="43" spans="1:13">
      <c r="A43" s="5" t="s">
        <v>51</v>
      </c>
      <c r="C43" s="1">
        <v>45756</v>
      </c>
      <c r="D43" t="s">
        <v>12</v>
      </c>
      <c r="E43">
        <v>11074</v>
      </c>
      <c r="F43">
        <v>7081</v>
      </c>
      <c r="G43">
        <v>5192</v>
      </c>
      <c r="H43">
        <v>1031</v>
      </c>
      <c r="I43">
        <v>511</v>
      </c>
      <c r="J43">
        <v>128</v>
      </c>
      <c r="K43">
        <v>4588.79837205692</v>
      </c>
      <c r="L43">
        <v>7029</v>
      </c>
      <c r="M43">
        <v>25832</v>
      </c>
    </row>
    <row r="44" spans="1:13">
      <c r="A44" s="3" t="s">
        <v>52</v>
      </c>
      <c r="C44" s="1">
        <v>45757</v>
      </c>
      <c r="D44" t="s">
        <v>11</v>
      </c>
      <c r="E44">
        <v>11075</v>
      </c>
      <c r="F44">
        <v>5182</v>
      </c>
      <c r="G44">
        <v>5027</v>
      </c>
      <c r="H44">
        <v>1201</v>
      </c>
      <c r="I44">
        <v>77</v>
      </c>
      <c r="J44">
        <v>27</v>
      </c>
      <c r="K44">
        <v>226.276400485583</v>
      </c>
      <c r="L44">
        <v>5005</v>
      </c>
      <c r="M44">
        <v>16523</v>
      </c>
    </row>
    <row r="45" spans="1:13">
      <c r="A45" s="3" t="s">
        <v>53</v>
      </c>
      <c r="C45" s="1">
        <v>45757</v>
      </c>
      <c r="D45" t="s">
        <v>11</v>
      </c>
      <c r="E45">
        <v>11076</v>
      </c>
      <c r="F45">
        <v>5279</v>
      </c>
      <c r="G45">
        <v>5097</v>
      </c>
      <c r="H45">
        <v>687</v>
      </c>
      <c r="I45">
        <v>54</v>
      </c>
      <c r="J45">
        <v>27</v>
      </c>
      <c r="K45">
        <v>190.66338935650401</v>
      </c>
      <c r="L45">
        <v>5099</v>
      </c>
      <c r="M45">
        <v>18626</v>
      </c>
    </row>
    <row r="46" spans="1:13">
      <c r="A46" s="3" t="s">
        <v>39</v>
      </c>
      <c r="C46" s="1">
        <v>45757</v>
      </c>
      <c r="D46" t="s">
        <v>11</v>
      </c>
      <c r="E46">
        <v>11077</v>
      </c>
      <c r="F46">
        <v>5321</v>
      </c>
      <c r="G46">
        <v>5169</v>
      </c>
      <c r="H46">
        <v>945</v>
      </c>
      <c r="I46">
        <v>58</v>
      </c>
      <c r="J46">
        <v>20</v>
      </c>
      <c r="K46">
        <v>147.989834644517</v>
      </c>
      <c r="L46">
        <v>5120</v>
      </c>
      <c r="M46">
        <v>17161</v>
      </c>
    </row>
    <row r="47" spans="1:13">
      <c r="A47" s="6" t="s">
        <v>54</v>
      </c>
      <c r="C47" s="1">
        <v>45757</v>
      </c>
      <c r="D47" t="s">
        <v>12</v>
      </c>
      <c r="E47">
        <v>11072</v>
      </c>
      <c r="F47">
        <v>7636</v>
      </c>
      <c r="G47">
        <v>5442</v>
      </c>
      <c r="H47">
        <v>1215</v>
      </c>
      <c r="I47">
        <v>566</v>
      </c>
      <c r="J47">
        <v>166</v>
      </c>
      <c r="K47">
        <v>5858.3078698536001</v>
      </c>
      <c r="L47">
        <v>7577</v>
      </c>
      <c r="M47">
        <v>27154</v>
      </c>
    </row>
    <row r="48" spans="1:13">
      <c r="C48" s="1">
        <v>45757</v>
      </c>
      <c r="D48" t="s">
        <v>12</v>
      </c>
      <c r="E48">
        <v>11073</v>
      </c>
      <c r="F48">
        <v>7967</v>
      </c>
      <c r="G48">
        <v>5535</v>
      </c>
      <c r="H48">
        <v>879</v>
      </c>
      <c r="I48">
        <v>452</v>
      </c>
      <c r="J48">
        <v>142</v>
      </c>
      <c r="K48">
        <v>5146.8710247243798</v>
      </c>
      <c r="L48">
        <v>7889</v>
      </c>
      <c r="M48">
        <v>27993</v>
      </c>
    </row>
    <row r="49" spans="1:13">
      <c r="A49" s="4" t="s">
        <v>55</v>
      </c>
      <c r="C49" s="1">
        <v>45757</v>
      </c>
      <c r="D49" t="s">
        <v>12</v>
      </c>
      <c r="E49">
        <v>11074</v>
      </c>
      <c r="F49">
        <v>7792</v>
      </c>
      <c r="G49">
        <v>5674</v>
      </c>
      <c r="H49">
        <v>1041</v>
      </c>
      <c r="I49">
        <v>489</v>
      </c>
      <c r="J49">
        <v>150</v>
      </c>
      <c r="K49">
        <v>5408.7485334985804</v>
      </c>
      <c r="L49">
        <v>7709</v>
      </c>
      <c r="M49">
        <v>27683</v>
      </c>
    </row>
    <row r="50" spans="1:13">
      <c r="A50" s="3" t="s">
        <v>15</v>
      </c>
      <c r="C50" s="1">
        <v>45758</v>
      </c>
      <c r="D50" t="s">
        <v>11</v>
      </c>
      <c r="E50">
        <v>11075</v>
      </c>
      <c r="F50">
        <v>5206</v>
      </c>
      <c r="G50">
        <v>5052</v>
      </c>
      <c r="H50">
        <v>1156</v>
      </c>
      <c r="I50">
        <v>93</v>
      </c>
      <c r="J50">
        <v>33</v>
      </c>
      <c r="K50">
        <v>306.90208949793401</v>
      </c>
      <c r="L50">
        <v>5012</v>
      </c>
      <c r="M50">
        <v>16442</v>
      </c>
    </row>
    <row r="51" spans="1:13">
      <c r="A51" s="3" t="s">
        <v>167</v>
      </c>
      <c r="C51" s="1">
        <v>45758</v>
      </c>
      <c r="D51" t="s">
        <v>11</v>
      </c>
      <c r="E51">
        <v>11076</v>
      </c>
      <c r="F51">
        <v>5288</v>
      </c>
      <c r="G51">
        <v>5097</v>
      </c>
      <c r="H51">
        <v>686</v>
      </c>
      <c r="I51">
        <v>45</v>
      </c>
      <c r="J51">
        <v>24</v>
      </c>
      <c r="K51">
        <v>216.02798391791799</v>
      </c>
      <c r="L51">
        <v>5062</v>
      </c>
      <c r="M51">
        <v>19115</v>
      </c>
    </row>
    <row r="52" spans="1:13">
      <c r="A52" s="3" t="s">
        <v>56</v>
      </c>
      <c r="C52" s="1">
        <v>45758</v>
      </c>
      <c r="D52" t="s">
        <v>11</v>
      </c>
      <c r="E52">
        <v>11077</v>
      </c>
      <c r="F52">
        <v>5242</v>
      </c>
      <c r="G52">
        <v>5089</v>
      </c>
      <c r="H52">
        <v>952</v>
      </c>
      <c r="I52">
        <v>61</v>
      </c>
      <c r="J52">
        <v>26</v>
      </c>
      <c r="K52">
        <v>227.34648175585599</v>
      </c>
      <c r="L52">
        <v>5016</v>
      </c>
      <c r="M52">
        <v>17875</v>
      </c>
    </row>
    <row r="53" spans="1:13">
      <c r="A53" s="6" t="s">
        <v>57</v>
      </c>
      <c r="C53" s="1">
        <v>45758</v>
      </c>
      <c r="D53" t="s">
        <v>12</v>
      </c>
      <c r="E53">
        <v>11072</v>
      </c>
      <c r="F53">
        <v>8572</v>
      </c>
      <c r="G53">
        <v>6105</v>
      </c>
      <c r="H53">
        <v>1273</v>
      </c>
      <c r="I53">
        <v>585</v>
      </c>
      <c r="J53">
        <v>182</v>
      </c>
      <c r="K53">
        <v>6303.9011862547804</v>
      </c>
      <c r="L53">
        <v>8466</v>
      </c>
      <c r="M53">
        <v>30199</v>
      </c>
    </row>
    <row r="54" spans="1:13">
      <c r="A54" s="3" t="s">
        <v>58</v>
      </c>
      <c r="C54" s="1">
        <v>45758</v>
      </c>
      <c r="D54" t="s">
        <v>12</v>
      </c>
      <c r="E54">
        <v>11073</v>
      </c>
      <c r="F54">
        <v>8836</v>
      </c>
      <c r="G54">
        <v>6173</v>
      </c>
      <c r="H54">
        <v>1002</v>
      </c>
      <c r="I54">
        <v>465</v>
      </c>
      <c r="J54">
        <v>152</v>
      </c>
      <c r="K54">
        <v>4878.4909447670198</v>
      </c>
      <c r="L54">
        <v>8722</v>
      </c>
      <c r="M54">
        <v>31935</v>
      </c>
    </row>
    <row r="55" spans="1:13">
      <c r="A55" s="6" t="s">
        <v>59</v>
      </c>
      <c r="C55" s="1">
        <v>45758</v>
      </c>
      <c r="D55" t="s">
        <v>12</v>
      </c>
      <c r="E55">
        <v>11074</v>
      </c>
      <c r="F55">
        <v>8804</v>
      </c>
      <c r="G55">
        <v>6341</v>
      </c>
      <c r="H55">
        <v>1103</v>
      </c>
      <c r="I55">
        <v>522</v>
      </c>
      <c r="J55">
        <v>158</v>
      </c>
      <c r="K55">
        <v>5255.0725897278098</v>
      </c>
      <c r="L55">
        <v>8689</v>
      </c>
      <c r="M55">
        <v>32107</v>
      </c>
    </row>
    <row r="56" spans="1:13">
      <c r="A56" s="3" t="s">
        <v>168</v>
      </c>
      <c r="C56" s="1">
        <v>45759</v>
      </c>
      <c r="D56" t="s">
        <v>11</v>
      </c>
      <c r="E56">
        <v>11075</v>
      </c>
      <c r="F56">
        <v>5015</v>
      </c>
      <c r="G56">
        <v>4822</v>
      </c>
      <c r="H56">
        <v>1017</v>
      </c>
      <c r="I56">
        <v>84</v>
      </c>
      <c r="J56">
        <v>33</v>
      </c>
      <c r="K56">
        <v>301.15089036745701</v>
      </c>
      <c r="L56">
        <v>4817</v>
      </c>
      <c r="M56">
        <v>16317</v>
      </c>
    </row>
    <row r="57" spans="1:13">
      <c r="A57" s="3" t="s">
        <v>60</v>
      </c>
      <c r="C57" s="1">
        <v>45759</v>
      </c>
      <c r="D57" t="s">
        <v>11</v>
      </c>
      <c r="E57">
        <v>11076</v>
      </c>
      <c r="F57">
        <v>5365</v>
      </c>
      <c r="G57">
        <v>5152</v>
      </c>
      <c r="H57">
        <v>693</v>
      </c>
      <c r="I57">
        <v>29</v>
      </c>
      <c r="J57">
        <v>9</v>
      </c>
      <c r="K57">
        <v>79.433227941397803</v>
      </c>
      <c r="L57">
        <v>5107</v>
      </c>
      <c r="M57">
        <v>19025</v>
      </c>
    </row>
    <row r="58" spans="1:13">
      <c r="A58" s="6" t="s">
        <v>41</v>
      </c>
      <c r="C58" s="1">
        <v>45759</v>
      </c>
      <c r="D58" t="s">
        <v>11</v>
      </c>
      <c r="E58">
        <v>11077</v>
      </c>
      <c r="F58">
        <v>5144</v>
      </c>
      <c r="G58">
        <v>4971</v>
      </c>
      <c r="H58">
        <v>925</v>
      </c>
      <c r="I58">
        <v>53</v>
      </c>
      <c r="J58">
        <v>25</v>
      </c>
      <c r="K58">
        <v>280.32777008084798</v>
      </c>
      <c r="L58">
        <v>4908</v>
      </c>
      <c r="M58">
        <v>17927</v>
      </c>
    </row>
    <row r="59" spans="1:13">
      <c r="A59" s="4" t="s">
        <v>61</v>
      </c>
      <c r="C59" s="1">
        <v>45759</v>
      </c>
      <c r="D59" t="s">
        <v>12</v>
      </c>
      <c r="E59">
        <v>11072</v>
      </c>
      <c r="F59">
        <v>9587</v>
      </c>
      <c r="G59">
        <v>6694</v>
      </c>
      <c r="H59">
        <v>1296</v>
      </c>
      <c r="I59">
        <v>596</v>
      </c>
      <c r="J59">
        <v>209</v>
      </c>
      <c r="K59">
        <v>6997.5249657603299</v>
      </c>
      <c r="L59">
        <v>9523</v>
      </c>
      <c r="M59">
        <v>33905</v>
      </c>
    </row>
    <row r="60" spans="1:13">
      <c r="A60" s="3" t="s">
        <v>62</v>
      </c>
      <c r="C60" s="1">
        <v>45759</v>
      </c>
      <c r="D60" t="s">
        <v>12</v>
      </c>
      <c r="E60">
        <v>11073</v>
      </c>
      <c r="F60">
        <v>10120</v>
      </c>
      <c r="G60">
        <v>6939</v>
      </c>
      <c r="H60">
        <v>1014</v>
      </c>
      <c r="I60">
        <v>495</v>
      </c>
      <c r="J60">
        <v>164</v>
      </c>
      <c r="K60">
        <v>5796.5257138166799</v>
      </c>
      <c r="L60">
        <v>10038</v>
      </c>
      <c r="M60">
        <v>36909</v>
      </c>
    </row>
    <row r="61" spans="1:13">
      <c r="A61" s="5" t="s">
        <v>63</v>
      </c>
      <c r="C61" s="1">
        <v>45759</v>
      </c>
      <c r="D61" t="s">
        <v>12</v>
      </c>
      <c r="E61">
        <v>11074</v>
      </c>
      <c r="F61">
        <v>9749</v>
      </c>
      <c r="G61">
        <v>6864</v>
      </c>
      <c r="H61">
        <v>1146</v>
      </c>
      <c r="I61">
        <v>475</v>
      </c>
      <c r="J61">
        <v>143</v>
      </c>
      <c r="K61">
        <v>4976.17332831968</v>
      </c>
      <c r="L61">
        <v>9670</v>
      </c>
      <c r="M61">
        <v>35155</v>
      </c>
    </row>
    <row r="62" spans="1:13">
      <c r="A62" s="4" t="s">
        <v>64</v>
      </c>
      <c r="C62" s="1">
        <v>45760</v>
      </c>
      <c r="D62" t="s">
        <v>11</v>
      </c>
      <c r="E62">
        <v>11075</v>
      </c>
      <c r="F62">
        <v>6026</v>
      </c>
      <c r="G62">
        <v>5792</v>
      </c>
      <c r="H62">
        <v>1257</v>
      </c>
      <c r="I62">
        <v>113</v>
      </c>
      <c r="J62">
        <v>37</v>
      </c>
      <c r="K62">
        <v>398.36308891603301</v>
      </c>
      <c r="L62">
        <v>5791</v>
      </c>
      <c r="M62">
        <v>20350</v>
      </c>
    </row>
    <row r="63" spans="1:13">
      <c r="A63" s="4" t="s">
        <v>65</v>
      </c>
      <c r="C63" s="1">
        <v>45760</v>
      </c>
      <c r="D63" t="s">
        <v>11</v>
      </c>
      <c r="E63">
        <v>11076</v>
      </c>
      <c r="F63">
        <v>6148</v>
      </c>
      <c r="G63">
        <v>5893</v>
      </c>
      <c r="H63">
        <v>830</v>
      </c>
      <c r="I63">
        <v>48</v>
      </c>
      <c r="J63">
        <v>25</v>
      </c>
      <c r="K63">
        <v>241.87334205744099</v>
      </c>
      <c r="L63">
        <v>5872</v>
      </c>
      <c r="M63">
        <v>22433</v>
      </c>
    </row>
    <row r="64" spans="1:13">
      <c r="A64" s="3" t="s">
        <v>66</v>
      </c>
      <c r="C64" s="1">
        <v>45760</v>
      </c>
      <c r="D64" t="s">
        <v>11</v>
      </c>
      <c r="E64">
        <v>11077</v>
      </c>
      <c r="F64">
        <v>6231</v>
      </c>
      <c r="G64">
        <v>6033</v>
      </c>
      <c r="H64">
        <v>1059</v>
      </c>
      <c r="I64">
        <v>72</v>
      </c>
      <c r="J64">
        <v>31</v>
      </c>
      <c r="K64">
        <v>330.96248389424602</v>
      </c>
      <c r="L64">
        <v>5950</v>
      </c>
      <c r="M64">
        <v>22043</v>
      </c>
    </row>
    <row r="65" spans="1:13">
      <c r="A65" s="3" t="s">
        <v>67</v>
      </c>
      <c r="C65" s="1">
        <v>45760</v>
      </c>
      <c r="D65" t="s">
        <v>12</v>
      </c>
      <c r="E65">
        <v>11072</v>
      </c>
      <c r="F65">
        <v>12415</v>
      </c>
      <c r="G65">
        <v>8757</v>
      </c>
      <c r="H65">
        <v>1777</v>
      </c>
      <c r="I65">
        <v>867</v>
      </c>
      <c r="J65">
        <v>286</v>
      </c>
      <c r="K65">
        <v>9156.1174154279197</v>
      </c>
      <c r="L65">
        <v>12352</v>
      </c>
      <c r="M65">
        <v>45802</v>
      </c>
    </row>
    <row r="66" spans="1:13">
      <c r="A66" s="3" t="s">
        <v>68</v>
      </c>
      <c r="C66" s="1">
        <v>45760</v>
      </c>
      <c r="D66" t="s">
        <v>12</v>
      </c>
      <c r="E66">
        <v>11073</v>
      </c>
      <c r="F66">
        <v>12898</v>
      </c>
      <c r="G66">
        <v>8913</v>
      </c>
      <c r="H66">
        <v>1408</v>
      </c>
      <c r="I66">
        <v>704</v>
      </c>
      <c r="J66">
        <v>221</v>
      </c>
      <c r="K66">
        <v>7457.2498090441104</v>
      </c>
      <c r="L66">
        <v>12818</v>
      </c>
      <c r="M66">
        <v>49329</v>
      </c>
    </row>
    <row r="67" spans="1:13">
      <c r="A67" s="3" t="s">
        <v>69</v>
      </c>
      <c r="C67" s="1">
        <v>45760</v>
      </c>
      <c r="D67" t="s">
        <v>12</v>
      </c>
      <c r="E67">
        <v>11074</v>
      </c>
      <c r="F67">
        <v>13008</v>
      </c>
      <c r="G67">
        <v>9320</v>
      </c>
      <c r="H67">
        <v>1586</v>
      </c>
      <c r="I67">
        <v>746</v>
      </c>
      <c r="J67">
        <v>237</v>
      </c>
      <c r="K67">
        <v>8978.7726429037593</v>
      </c>
      <c r="L67">
        <v>12928</v>
      </c>
      <c r="M67">
        <v>50137</v>
      </c>
    </row>
    <row r="68" spans="1:13">
      <c r="A68" s="6" t="s">
        <v>41</v>
      </c>
      <c r="C68" s="1">
        <v>45761</v>
      </c>
      <c r="D68" t="s">
        <v>11</v>
      </c>
      <c r="E68">
        <v>11075</v>
      </c>
      <c r="F68">
        <v>6142</v>
      </c>
      <c r="G68">
        <v>5897</v>
      </c>
      <c r="H68">
        <v>1259</v>
      </c>
      <c r="I68">
        <v>89</v>
      </c>
      <c r="J68">
        <v>34</v>
      </c>
      <c r="K68">
        <v>245.692884636114</v>
      </c>
      <c r="L68">
        <v>5830</v>
      </c>
      <c r="M68">
        <v>20829</v>
      </c>
    </row>
    <row r="69" spans="1:13">
      <c r="A69" s="3" t="s">
        <v>15</v>
      </c>
      <c r="C69" s="1">
        <v>45761</v>
      </c>
      <c r="D69" t="s">
        <v>11</v>
      </c>
      <c r="E69">
        <v>11076</v>
      </c>
      <c r="F69">
        <v>6607</v>
      </c>
      <c r="G69">
        <v>6347</v>
      </c>
      <c r="H69">
        <v>889</v>
      </c>
      <c r="I69">
        <v>58</v>
      </c>
      <c r="J69">
        <v>36</v>
      </c>
      <c r="K69">
        <v>284.024903303683</v>
      </c>
      <c r="L69">
        <v>6270</v>
      </c>
      <c r="M69">
        <v>24419</v>
      </c>
    </row>
    <row r="70" spans="1:13">
      <c r="A70" s="5" t="s">
        <v>70</v>
      </c>
      <c r="C70" s="1">
        <v>45761</v>
      </c>
      <c r="D70" t="s">
        <v>11</v>
      </c>
      <c r="E70">
        <v>11077</v>
      </c>
      <c r="F70">
        <v>6425</v>
      </c>
      <c r="G70">
        <v>6166</v>
      </c>
      <c r="H70">
        <v>1107</v>
      </c>
      <c r="I70">
        <v>51</v>
      </c>
      <c r="J70">
        <v>25</v>
      </c>
      <c r="K70">
        <v>181.155148949861</v>
      </c>
      <c r="L70">
        <v>6098</v>
      </c>
      <c r="M70">
        <v>22406</v>
      </c>
    </row>
    <row r="71" spans="1:13">
      <c r="A71" s="4" t="s">
        <v>71</v>
      </c>
      <c r="C71" s="1">
        <v>45761</v>
      </c>
      <c r="D71" t="s">
        <v>12</v>
      </c>
      <c r="E71">
        <v>11072</v>
      </c>
      <c r="F71">
        <v>12475</v>
      </c>
      <c r="G71">
        <v>8721</v>
      </c>
      <c r="H71">
        <v>1931</v>
      </c>
      <c r="I71">
        <v>884</v>
      </c>
      <c r="J71">
        <v>289</v>
      </c>
      <c r="K71">
        <v>10423.308085413701</v>
      </c>
      <c r="L71">
        <v>12343</v>
      </c>
      <c r="M71">
        <v>46412</v>
      </c>
    </row>
    <row r="72" spans="1:13">
      <c r="A72" s="4" t="s">
        <v>72</v>
      </c>
      <c r="C72" s="1">
        <v>45761</v>
      </c>
      <c r="D72" t="s">
        <v>12</v>
      </c>
      <c r="E72">
        <v>11073</v>
      </c>
      <c r="F72">
        <v>12930</v>
      </c>
      <c r="G72">
        <v>8653</v>
      </c>
      <c r="H72">
        <v>1379</v>
      </c>
      <c r="I72">
        <v>652</v>
      </c>
      <c r="J72">
        <v>205</v>
      </c>
      <c r="K72">
        <v>7787.8032809379101</v>
      </c>
      <c r="L72">
        <v>12802</v>
      </c>
      <c r="M72">
        <v>50110</v>
      </c>
    </row>
    <row r="73" spans="1:13">
      <c r="A73" s="2" t="s">
        <v>73</v>
      </c>
      <c r="C73" s="1">
        <v>45761</v>
      </c>
      <c r="D73" t="s">
        <v>12</v>
      </c>
      <c r="E73">
        <v>11074</v>
      </c>
      <c r="F73">
        <v>12744</v>
      </c>
      <c r="G73">
        <v>8882</v>
      </c>
      <c r="H73">
        <v>1577</v>
      </c>
      <c r="I73">
        <v>693</v>
      </c>
      <c r="J73">
        <v>215</v>
      </c>
      <c r="K73">
        <v>7680.8493677404404</v>
      </c>
      <c r="L73">
        <v>12591</v>
      </c>
      <c r="M73">
        <v>49202</v>
      </c>
    </row>
    <row r="74" spans="1:13">
      <c r="A74" s="4" t="s">
        <v>74</v>
      </c>
      <c r="C74" s="1">
        <v>45762</v>
      </c>
      <c r="D74" t="s">
        <v>11</v>
      </c>
      <c r="E74">
        <v>11075</v>
      </c>
      <c r="F74">
        <v>5513</v>
      </c>
      <c r="G74">
        <v>5258</v>
      </c>
      <c r="H74">
        <v>1121</v>
      </c>
      <c r="I74">
        <v>98</v>
      </c>
      <c r="J74">
        <v>37</v>
      </c>
      <c r="K74">
        <v>358.67731481447498</v>
      </c>
      <c r="L74">
        <v>5193</v>
      </c>
      <c r="M74">
        <v>18622</v>
      </c>
    </row>
    <row r="75" spans="1:13">
      <c r="A75" s="4" t="s">
        <v>75</v>
      </c>
      <c r="C75" s="1">
        <v>45762</v>
      </c>
      <c r="D75" t="s">
        <v>11</v>
      </c>
      <c r="E75">
        <v>11076</v>
      </c>
      <c r="F75">
        <v>5844</v>
      </c>
      <c r="G75">
        <v>5573</v>
      </c>
      <c r="H75">
        <v>749</v>
      </c>
      <c r="I75">
        <v>48</v>
      </c>
      <c r="J75">
        <v>21</v>
      </c>
      <c r="K75">
        <v>172.21921912484001</v>
      </c>
      <c r="L75">
        <v>5490</v>
      </c>
      <c r="M75">
        <v>20360</v>
      </c>
    </row>
    <row r="76" spans="1:13">
      <c r="A76" s="4" t="s">
        <v>76</v>
      </c>
      <c r="C76" s="1">
        <v>45762</v>
      </c>
      <c r="D76" t="s">
        <v>11</v>
      </c>
      <c r="E76">
        <v>11077</v>
      </c>
      <c r="F76">
        <v>5632</v>
      </c>
      <c r="G76">
        <v>5378</v>
      </c>
      <c r="H76">
        <v>973</v>
      </c>
      <c r="I76">
        <v>71</v>
      </c>
      <c r="J76">
        <v>23</v>
      </c>
      <c r="K76">
        <v>153.48655878839301</v>
      </c>
      <c r="L76">
        <v>5320</v>
      </c>
      <c r="M76">
        <v>19182</v>
      </c>
    </row>
    <row r="77" spans="1:13">
      <c r="A77" s="4" t="s">
        <v>77</v>
      </c>
      <c r="C77" s="1">
        <v>45762</v>
      </c>
      <c r="D77" t="s">
        <v>12</v>
      </c>
      <c r="E77">
        <v>11072</v>
      </c>
      <c r="F77">
        <v>10373</v>
      </c>
      <c r="G77">
        <v>6867</v>
      </c>
      <c r="H77">
        <v>1460</v>
      </c>
      <c r="I77">
        <v>669</v>
      </c>
      <c r="J77">
        <v>213</v>
      </c>
      <c r="K77">
        <v>8127.0664351787</v>
      </c>
      <c r="L77">
        <v>10291</v>
      </c>
      <c r="M77">
        <v>36331</v>
      </c>
    </row>
    <row r="78" spans="1:13">
      <c r="A78" s="3" t="s">
        <v>78</v>
      </c>
      <c r="C78" s="1">
        <v>45762</v>
      </c>
      <c r="D78" t="s">
        <v>12</v>
      </c>
      <c r="E78">
        <v>11073</v>
      </c>
      <c r="F78">
        <v>10979</v>
      </c>
      <c r="G78">
        <v>7082</v>
      </c>
      <c r="H78">
        <v>1147</v>
      </c>
      <c r="I78">
        <v>506</v>
      </c>
      <c r="J78">
        <v>158</v>
      </c>
      <c r="K78">
        <v>5898.8250739536597</v>
      </c>
      <c r="L78">
        <v>10886</v>
      </c>
      <c r="M78">
        <v>39882</v>
      </c>
    </row>
    <row r="79" spans="1:13">
      <c r="A79" s="4" t="s">
        <v>79</v>
      </c>
      <c r="C79" s="1">
        <v>45762</v>
      </c>
      <c r="D79" t="s">
        <v>12</v>
      </c>
      <c r="E79">
        <v>11074</v>
      </c>
      <c r="F79">
        <v>10577</v>
      </c>
      <c r="G79">
        <v>7033</v>
      </c>
      <c r="H79">
        <v>1307</v>
      </c>
      <c r="I79">
        <v>562</v>
      </c>
      <c r="J79">
        <v>169</v>
      </c>
      <c r="K79">
        <v>6230.62369424401</v>
      </c>
      <c r="L79">
        <v>10489</v>
      </c>
      <c r="M79">
        <v>39532</v>
      </c>
    </row>
    <row r="80" spans="1:13">
      <c r="A80" s="3" t="s">
        <v>80</v>
      </c>
      <c r="C80" s="1">
        <v>45763</v>
      </c>
      <c r="D80" t="s">
        <v>11</v>
      </c>
      <c r="E80">
        <v>11075</v>
      </c>
      <c r="F80">
        <v>5342</v>
      </c>
      <c r="G80">
        <v>5082</v>
      </c>
      <c r="H80">
        <v>1017</v>
      </c>
      <c r="I80">
        <v>78</v>
      </c>
      <c r="J80">
        <v>26</v>
      </c>
      <c r="K80">
        <v>250.066102044535</v>
      </c>
      <c r="L80">
        <v>5037</v>
      </c>
      <c r="M80">
        <v>18108</v>
      </c>
    </row>
    <row r="81" spans="1:13">
      <c r="A81" s="3" t="s">
        <v>81</v>
      </c>
      <c r="C81" s="1">
        <v>45763</v>
      </c>
      <c r="D81" t="s">
        <v>11</v>
      </c>
      <c r="E81">
        <v>11076</v>
      </c>
      <c r="F81">
        <v>5805</v>
      </c>
      <c r="G81">
        <v>5530</v>
      </c>
      <c r="H81">
        <v>769</v>
      </c>
      <c r="I81">
        <v>43</v>
      </c>
      <c r="J81">
        <v>25</v>
      </c>
      <c r="K81">
        <v>204.88633530721401</v>
      </c>
      <c r="L81">
        <v>5438</v>
      </c>
      <c r="M81">
        <v>19702</v>
      </c>
    </row>
    <row r="82" spans="1:13">
      <c r="C82" s="1">
        <v>45763</v>
      </c>
      <c r="D82" t="s">
        <v>11</v>
      </c>
      <c r="E82">
        <v>11077</v>
      </c>
      <c r="F82">
        <v>5431</v>
      </c>
      <c r="G82">
        <v>5192</v>
      </c>
      <c r="H82">
        <v>917</v>
      </c>
      <c r="I82">
        <v>54</v>
      </c>
      <c r="J82">
        <v>19</v>
      </c>
      <c r="K82">
        <v>151.44421816376101</v>
      </c>
      <c r="L82">
        <v>5087</v>
      </c>
      <c r="M82">
        <v>18320</v>
      </c>
    </row>
    <row r="83" spans="1:13">
      <c r="A83" s="2" t="s">
        <v>82</v>
      </c>
      <c r="C83" s="1">
        <v>45763</v>
      </c>
      <c r="D83" t="s">
        <v>12</v>
      </c>
      <c r="E83">
        <v>11072</v>
      </c>
      <c r="F83">
        <v>9990</v>
      </c>
      <c r="G83">
        <v>6494</v>
      </c>
      <c r="H83">
        <v>1519</v>
      </c>
      <c r="I83">
        <v>665</v>
      </c>
      <c r="J83">
        <v>204</v>
      </c>
      <c r="K83">
        <v>7155.5245720698704</v>
      </c>
      <c r="L83">
        <v>9902</v>
      </c>
      <c r="M83">
        <v>36219</v>
      </c>
    </row>
    <row r="84" spans="1:13">
      <c r="A84" s="4" t="s">
        <v>83</v>
      </c>
      <c r="C84" s="1">
        <v>45763</v>
      </c>
      <c r="D84" t="s">
        <v>12</v>
      </c>
      <c r="E84">
        <v>11073</v>
      </c>
      <c r="F84">
        <v>10459</v>
      </c>
      <c r="G84">
        <v>6519</v>
      </c>
      <c r="H84">
        <v>1052</v>
      </c>
      <c r="I84">
        <v>485</v>
      </c>
      <c r="J84">
        <v>160</v>
      </c>
      <c r="K84">
        <v>5697.6090685705503</v>
      </c>
      <c r="L84">
        <v>10383</v>
      </c>
      <c r="M84">
        <v>38028</v>
      </c>
    </row>
    <row r="85" spans="1:13">
      <c r="A85" s="4" t="s">
        <v>84</v>
      </c>
      <c r="C85" s="1">
        <v>45763</v>
      </c>
      <c r="D85" t="s">
        <v>12</v>
      </c>
      <c r="E85">
        <v>11074</v>
      </c>
      <c r="F85">
        <v>10255</v>
      </c>
      <c r="G85">
        <v>6736</v>
      </c>
      <c r="H85">
        <v>1174</v>
      </c>
      <c r="I85">
        <v>497</v>
      </c>
      <c r="J85">
        <v>141</v>
      </c>
      <c r="K85">
        <v>4953.9419515080699</v>
      </c>
      <c r="L85">
        <v>10169</v>
      </c>
      <c r="M85">
        <v>37230</v>
      </c>
    </row>
    <row r="86" spans="1:13">
      <c r="C86" s="1">
        <v>45764</v>
      </c>
      <c r="D86" t="s">
        <v>11</v>
      </c>
      <c r="E86">
        <v>11075</v>
      </c>
      <c r="F86">
        <v>5755</v>
      </c>
      <c r="G86">
        <v>5460</v>
      </c>
      <c r="H86">
        <v>1140</v>
      </c>
      <c r="I86">
        <v>82</v>
      </c>
      <c r="J86">
        <v>33</v>
      </c>
      <c r="K86">
        <v>258.18073513371502</v>
      </c>
      <c r="L86">
        <v>5453</v>
      </c>
      <c r="M86">
        <v>18701</v>
      </c>
    </row>
    <row r="87" spans="1:13">
      <c r="A87" s="3" t="s">
        <v>85</v>
      </c>
      <c r="C87" s="1">
        <v>45764</v>
      </c>
      <c r="D87" t="s">
        <v>11</v>
      </c>
      <c r="E87">
        <v>11076</v>
      </c>
      <c r="F87">
        <v>6124</v>
      </c>
      <c r="G87">
        <v>5811</v>
      </c>
      <c r="H87">
        <v>764</v>
      </c>
      <c r="I87">
        <v>45</v>
      </c>
      <c r="J87">
        <v>21</v>
      </c>
      <c r="K87">
        <v>159.94009017439001</v>
      </c>
      <c r="L87">
        <v>5748</v>
      </c>
      <c r="M87">
        <v>20504</v>
      </c>
    </row>
    <row r="88" spans="1:13">
      <c r="A88" s="3" t="s">
        <v>86</v>
      </c>
      <c r="C88" s="1">
        <v>45764</v>
      </c>
      <c r="D88" t="s">
        <v>11</v>
      </c>
      <c r="E88">
        <v>11077</v>
      </c>
      <c r="F88">
        <v>5887</v>
      </c>
      <c r="G88">
        <v>5625</v>
      </c>
      <c r="H88">
        <v>934</v>
      </c>
      <c r="I88">
        <v>68</v>
      </c>
      <c r="J88">
        <v>23</v>
      </c>
      <c r="K88">
        <v>191.37326694261799</v>
      </c>
      <c r="L88">
        <v>5530</v>
      </c>
      <c r="M88">
        <v>19489</v>
      </c>
    </row>
    <row r="89" spans="1:13">
      <c r="A89" s="6" t="s">
        <v>87</v>
      </c>
      <c r="C89" s="1">
        <v>45764</v>
      </c>
      <c r="D89" t="s">
        <v>12</v>
      </c>
      <c r="E89">
        <v>11072</v>
      </c>
      <c r="F89">
        <v>10351</v>
      </c>
      <c r="G89">
        <v>6520</v>
      </c>
      <c r="H89">
        <v>1348</v>
      </c>
      <c r="I89">
        <v>598</v>
      </c>
      <c r="J89">
        <v>207</v>
      </c>
      <c r="K89">
        <v>7046.5926718439196</v>
      </c>
      <c r="L89">
        <v>10284</v>
      </c>
      <c r="M89">
        <v>39249</v>
      </c>
    </row>
    <row r="90" spans="1:13">
      <c r="A90" s="5" t="s">
        <v>88</v>
      </c>
      <c r="C90" s="1">
        <v>45764</v>
      </c>
      <c r="D90" t="s">
        <v>12</v>
      </c>
      <c r="E90">
        <v>11073</v>
      </c>
      <c r="F90">
        <v>10620</v>
      </c>
      <c r="G90">
        <v>6498</v>
      </c>
      <c r="H90">
        <v>1092</v>
      </c>
      <c r="I90">
        <v>502</v>
      </c>
      <c r="J90">
        <v>154</v>
      </c>
      <c r="K90">
        <v>5330.53619002092</v>
      </c>
      <c r="L90">
        <v>10561</v>
      </c>
      <c r="M90">
        <v>39518</v>
      </c>
    </row>
    <row r="91" spans="1:13">
      <c r="A91" s="4" t="s">
        <v>89</v>
      </c>
      <c r="C91" s="1">
        <v>45764</v>
      </c>
      <c r="D91" t="s">
        <v>12</v>
      </c>
      <c r="E91">
        <v>11074</v>
      </c>
      <c r="F91">
        <v>10516</v>
      </c>
      <c r="G91">
        <v>6731</v>
      </c>
      <c r="H91">
        <v>1163</v>
      </c>
      <c r="I91">
        <v>522</v>
      </c>
      <c r="J91">
        <v>167</v>
      </c>
      <c r="K91">
        <v>6290.1363678505004</v>
      </c>
      <c r="L91">
        <v>10450</v>
      </c>
      <c r="M91">
        <v>37366</v>
      </c>
    </row>
    <row r="92" spans="1:13">
      <c r="A92" s="4" t="s">
        <v>90</v>
      </c>
      <c r="C92" s="1">
        <v>45765</v>
      </c>
      <c r="D92" t="s">
        <v>11</v>
      </c>
      <c r="E92">
        <v>11075</v>
      </c>
      <c r="F92">
        <v>5943</v>
      </c>
      <c r="G92">
        <v>5642</v>
      </c>
      <c r="H92">
        <v>1094</v>
      </c>
      <c r="I92">
        <v>82</v>
      </c>
      <c r="J92">
        <v>32</v>
      </c>
      <c r="K92">
        <v>275.19750961400803</v>
      </c>
      <c r="L92">
        <v>5596</v>
      </c>
      <c r="M92">
        <v>19034</v>
      </c>
    </row>
    <row r="93" spans="1:13">
      <c r="A93" s="4" t="s">
        <v>91</v>
      </c>
      <c r="C93" s="1">
        <v>45765</v>
      </c>
      <c r="D93" t="s">
        <v>11</v>
      </c>
      <c r="E93">
        <v>11076</v>
      </c>
      <c r="F93">
        <v>6300</v>
      </c>
      <c r="G93">
        <v>5980</v>
      </c>
      <c r="H93">
        <v>780</v>
      </c>
      <c r="I93">
        <v>54</v>
      </c>
      <c r="J93">
        <v>25</v>
      </c>
      <c r="K93">
        <v>143.58217933510201</v>
      </c>
      <c r="L93">
        <v>5871</v>
      </c>
      <c r="M93">
        <v>22274</v>
      </c>
    </row>
    <row r="94" spans="1:13">
      <c r="A94" s="3" t="s">
        <v>92</v>
      </c>
      <c r="C94" s="1">
        <v>45765</v>
      </c>
      <c r="D94" t="s">
        <v>11</v>
      </c>
      <c r="E94">
        <v>11077</v>
      </c>
      <c r="F94">
        <v>6160</v>
      </c>
      <c r="G94">
        <v>5897</v>
      </c>
      <c r="H94">
        <v>997</v>
      </c>
      <c r="I94">
        <v>75</v>
      </c>
      <c r="J94">
        <v>31</v>
      </c>
      <c r="K94">
        <v>374.47224157130898</v>
      </c>
      <c r="L94">
        <v>5810</v>
      </c>
      <c r="M94">
        <v>20723</v>
      </c>
    </row>
    <row r="95" spans="1:13">
      <c r="A95" s="6" t="s">
        <v>93</v>
      </c>
      <c r="C95" s="1">
        <v>45765</v>
      </c>
      <c r="D95" t="s">
        <v>12</v>
      </c>
      <c r="E95">
        <v>11072</v>
      </c>
      <c r="F95">
        <v>10773</v>
      </c>
      <c r="G95">
        <v>6759</v>
      </c>
      <c r="H95">
        <v>1439</v>
      </c>
      <c r="I95">
        <v>688</v>
      </c>
      <c r="J95">
        <v>219</v>
      </c>
      <c r="K95">
        <v>7350.1986641373096</v>
      </c>
      <c r="L95">
        <v>10647</v>
      </c>
      <c r="M95">
        <v>40440</v>
      </c>
    </row>
    <row r="96" spans="1:13">
      <c r="A96" s="3" t="s">
        <v>15</v>
      </c>
      <c r="C96" s="1">
        <v>45765</v>
      </c>
      <c r="D96" t="s">
        <v>12</v>
      </c>
      <c r="E96">
        <v>11073</v>
      </c>
      <c r="F96">
        <v>11523</v>
      </c>
      <c r="G96">
        <v>7060</v>
      </c>
      <c r="H96">
        <v>1142</v>
      </c>
      <c r="I96">
        <v>533</v>
      </c>
      <c r="J96">
        <v>161</v>
      </c>
      <c r="K96">
        <v>6250.1335440495304</v>
      </c>
      <c r="L96">
        <v>11400</v>
      </c>
      <c r="M96">
        <v>43475</v>
      </c>
    </row>
    <row r="97" spans="1:13">
      <c r="A97" s="6" t="s">
        <v>94</v>
      </c>
      <c r="C97" s="1">
        <v>45765</v>
      </c>
      <c r="D97" t="s">
        <v>12</v>
      </c>
      <c r="E97">
        <v>11074</v>
      </c>
      <c r="F97">
        <v>11299</v>
      </c>
      <c r="G97">
        <v>7220</v>
      </c>
      <c r="H97">
        <v>1308</v>
      </c>
      <c r="I97">
        <v>632</v>
      </c>
      <c r="J97">
        <v>195</v>
      </c>
      <c r="K97">
        <v>6797.0447959876101</v>
      </c>
      <c r="L97">
        <v>11174</v>
      </c>
      <c r="M97">
        <v>42220</v>
      </c>
    </row>
    <row r="98" spans="1:13">
      <c r="A98" s="3" t="s">
        <v>95</v>
      </c>
      <c r="C98" s="1">
        <v>45766</v>
      </c>
      <c r="D98" t="s">
        <v>11</v>
      </c>
      <c r="E98">
        <v>11075</v>
      </c>
      <c r="F98">
        <v>6810</v>
      </c>
      <c r="G98">
        <v>6506</v>
      </c>
      <c r="H98">
        <v>1144</v>
      </c>
      <c r="I98">
        <v>83</v>
      </c>
      <c r="J98">
        <v>34</v>
      </c>
      <c r="K98">
        <v>251.78095841511899</v>
      </c>
      <c r="L98">
        <v>6416</v>
      </c>
      <c r="M98">
        <v>23314</v>
      </c>
    </row>
    <row r="99" spans="1:13">
      <c r="A99" s="3" t="s">
        <v>96</v>
      </c>
      <c r="C99" s="1">
        <v>45766</v>
      </c>
      <c r="D99" t="s">
        <v>11</v>
      </c>
      <c r="E99">
        <v>11076</v>
      </c>
      <c r="F99">
        <v>7006</v>
      </c>
      <c r="G99">
        <v>6680</v>
      </c>
      <c r="H99">
        <v>774</v>
      </c>
      <c r="I99">
        <v>64</v>
      </c>
      <c r="J99">
        <v>29</v>
      </c>
      <c r="K99">
        <v>239.07806034704799</v>
      </c>
      <c r="L99">
        <v>6607</v>
      </c>
      <c r="M99">
        <v>24810</v>
      </c>
    </row>
    <row r="100" spans="1:13">
      <c r="A100" s="6" t="s">
        <v>97</v>
      </c>
      <c r="C100" s="1">
        <v>45766</v>
      </c>
      <c r="D100" t="s">
        <v>11</v>
      </c>
      <c r="E100">
        <v>11077</v>
      </c>
      <c r="F100">
        <v>6940</v>
      </c>
      <c r="G100">
        <v>6654</v>
      </c>
      <c r="H100">
        <v>1067</v>
      </c>
      <c r="I100">
        <v>81</v>
      </c>
      <c r="J100">
        <v>38</v>
      </c>
      <c r="K100">
        <v>332.475480801022</v>
      </c>
      <c r="L100">
        <v>6557</v>
      </c>
      <c r="M100">
        <v>23668</v>
      </c>
    </row>
    <row r="101" spans="1:13">
      <c r="A101" s="3" t="s">
        <v>98</v>
      </c>
      <c r="C101" s="1">
        <v>45766</v>
      </c>
      <c r="D101" t="s">
        <v>12</v>
      </c>
      <c r="E101">
        <v>11072</v>
      </c>
      <c r="F101">
        <v>12373</v>
      </c>
      <c r="G101">
        <v>7883</v>
      </c>
      <c r="H101">
        <v>1805</v>
      </c>
      <c r="I101">
        <v>909</v>
      </c>
      <c r="J101">
        <v>275</v>
      </c>
      <c r="K101">
        <v>8636.1877512641804</v>
      </c>
      <c r="L101">
        <v>12141</v>
      </c>
      <c r="M101">
        <v>47540</v>
      </c>
    </row>
    <row r="102" spans="1:13">
      <c r="A102" s="6" t="s">
        <v>99</v>
      </c>
      <c r="C102" s="1">
        <v>45766</v>
      </c>
      <c r="D102" t="s">
        <v>12</v>
      </c>
      <c r="E102">
        <v>11073</v>
      </c>
      <c r="F102">
        <v>13313</v>
      </c>
      <c r="G102">
        <v>8250</v>
      </c>
      <c r="H102">
        <v>1474</v>
      </c>
      <c r="I102">
        <v>769</v>
      </c>
      <c r="J102">
        <v>213</v>
      </c>
      <c r="K102">
        <v>7241.3780609146997</v>
      </c>
      <c r="L102">
        <v>13052</v>
      </c>
      <c r="M102">
        <v>52662</v>
      </c>
    </row>
    <row r="103" spans="1:13">
      <c r="A103" s="3" t="s">
        <v>100</v>
      </c>
      <c r="C103" s="1">
        <v>45766</v>
      </c>
      <c r="D103" t="s">
        <v>12</v>
      </c>
      <c r="E103">
        <v>11074</v>
      </c>
      <c r="F103">
        <v>12744</v>
      </c>
      <c r="G103">
        <v>8149</v>
      </c>
      <c r="H103">
        <v>1559</v>
      </c>
      <c r="I103">
        <v>725</v>
      </c>
      <c r="J103">
        <v>183</v>
      </c>
      <c r="K103">
        <v>6023.2782224714501</v>
      </c>
      <c r="L103">
        <v>12489</v>
      </c>
      <c r="M103">
        <v>48526</v>
      </c>
    </row>
    <row r="104" spans="1:13">
      <c r="A104" s="3" t="s">
        <v>101</v>
      </c>
      <c r="C104" s="1">
        <v>45767</v>
      </c>
      <c r="D104" t="s">
        <v>11</v>
      </c>
      <c r="E104">
        <v>11075</v>
      </c>
      <c r="F104">
        <v>7601</v>
      </c>
      <c r="G104">
        <v>7204</v>
      </c>
      <c r="H104">
        <v>1316</v>
      </c>
      <c r="I104">
        <v>127</v>
      </c>
      <c r="J104">
        <v>37</v>
      </c>
      <c r="K104">
        <v>269.28627143471601</v>
      </c>
      <c r="L104">
        <v>7232</v>
      </c>
      <c r="M104">
        <v>26029</v>
      </c>
    </row>
    <row r="105" spans="1:13">
      <c r="A105" s="1"/>
      <c r="C105" s="1">
        <v>45767</v>
      </c>
      <c r="D105" t="s">
        <v>11</v>
      </c>
      <c r="E105">
        <v>11076</v>
      </c>
      <c r="F105">
        <v>8005</v>
      </c>
      <c r="G105">
        <v>7622</v>
      </c>
      <c r="H105">
        <v>905</v>
      </c>
      <c r="I105">
        <v>70</v>
      </c>
      <c r="J105">
        <v>25</v>
      </c>
      <c r="K105">
        <v>180.19614805215801</v>
      </c>
      <c r="L105">
        <v>7550</v>
      </c>
      <c r="M105">
        <v>27774</v>
      </c>
    </row>
    <row r="106" spans="1:13">
      <c r="A106" s="1"/>
      <c r="C106" s="1">
        <v>45767</v>
      </c>
      <c r="D106" t="s">
        <v>11</v>
      </c>
      <c r="E106">
        <v>11077</v>
      </c>
      <c r="F106">
        <v>7825</v>
      </c>
      <c r="G106">
        <v>7464</v>
      </c>
      <c r="H106">
        <v>1158</v>
      </c>
      <c r="I106">
        <v>92</v>
      </c>
      <c r="J106">
        <v>34</v>
      </c>
      <c r="K106">
        <v>271.44103366234299</v>
      </c>
      <c r="L106">
        <v>7392</v>
      </c>
      <c r="M106">
        <v>28059</v>
      </c>
    </row>
    <row r="107" spans="1:13">
      <c r="A107" s="1"/>
      <c r="C107" s="1">
        <v>45767</v>
      </c>
      <c r="D107" t="s">
        <v>12</v>
      </c>
      <c r="E107">
        <v>11072</v>
      </c>
      <c r="F107">
        <v>15471</v>
      </c>
      <c r="G107">
        <v>9751</v>
      </c>
      <c r="H107">
        <v>2200</v>
      </c>
      <c r="I107">
        <v>1138</v>
      </c>
      <c r="J107">
        <v>305</v>
      </c>
      <c r="K107">
        <v>11034.3188022089</v>
      </c>
      <c r="L107">
        <v>15314</v>
      </c>
      <c r="M107">
        <v>60830</v>
      </c>
    </row>
    <row r="108" spans="1:13">
      <c r="A108" s="1"/>
      <c r="C108" s="1">
        <v>45767</v>
      </c>
      <c r="D108" t="s">
        <v>12</v>
      </c>
      <c r="E108">
        <v>11073</v>
      </c>
      <c r="F108">
        <v>16146</v>
      </c>
      <c r="G108">
        <v>9940</v>
      </c>
      <c r="H108">
        <v>1792</v>
      </c>
      <c r="I108">
        <v>927</v>
      </c>
      <c r="J108">
        <v>255</v>
      </c>
      <c r="K108">
        <v>8227.0434849335998</v>
      </c>
      <c r="L108">
        <v>15964</v>
      </c>
      <c r="M108">
        <v>64303</v>
      </c>
    </row>
    <row r="109" spans="1:13">
      <c r="A109" s="1"/>
      <c r="C109" s="1">
        <v>45767</v>
      </c>
      <c r="D109" t="s">
        <v>12</v>
      </c>
      <c r="E109">
        <v>11074</v>
      </c>
      <c r="F109">
        <v>15649</v>
      </c>
      <c r="G109">
        <v>10110</v>
      </c>
      <c r="H109">
        <v>1819</v>
      </c>
      <c r="I109">
        <v>927</v>
      </c>
      <c r="J109">
        <v>237</v>
      </c>
      <c r="K109">
        <v>7294.0391793045701</v>
      </c>
      <c r="L109">
        <v>15469</v>
      </c>
      <c r="M109">
        <v>62628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1AF4-AB3E-2C4E-9738-A137F386FE2D}">
  <dimension ref="A1"/>
  <sheetViews>
    <sheetView tabSelected="1" workbookViewId="0"/>
  </sheetViews>
  <sheetFormatPr baseColWidth="10" defaultRowHeight="16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D384-C206-A74D-B984-F7831567CE5E}">
  <dimension ref="B1:U109"/>
  <sheetViews>
    <sheetView topLeftCell="L1" workbookViewId="0">
      <selection activeCell="N8" sqref="N8:N21"/>
    </sheetView>
  </sheetViews>
  <sheetFormatPr baseColWidth="10" defaultRowHeight="16"/>
  <cols>
    <col min="14" max="14" width="21.83203125" bestFit="1" customWidth="1"/>
    <col min="15" max="15" width="15" bestFit="1" customWidth="1"/>
    <col min="16" max="16" width="13.83203125" bestFit="1" customWidth="1"/>
    <col min="17" max="17" width="15" bestFit="1" customWidth="1"/>
    <col min="18" max="19" width="13.83203125" bestFit="1" customWidth="1"/>
    <col min="20" max="20" width="12.5" bestFit="1" customWidth="1"/>
    <col min="21" max="21" width="13.83203125" bestFit="1" customWidth="1"/>
  </cols>
  <sheetData>
    <row r="1" spans="2:21">
      <c r="B1" t="s">
        <v>1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</row>
    <row r="2" spans="2:21">
      <c r="B2" t="s">
        <v>11</v>
      </c>
      <c r="C2">
        <v>11075</v>
      </c>
      <c r="D2" s="1">
        <v>45760</v>
      </c>
      <c r="E2">
        <v>26.309021999999999</v>
      </c>
      <c r="F2">
        <v>182021</v>
      </c>
      <c r="G2">
        <v>0.144538</v>
      </c>
    </row>
    <row r="3" spans="2:21">
      <c r="B3" t="s">
        <v>11</v>
      </c>
      <c r="C3">
        <v>11075</v>
      </c>
      <c r="D3" s="1">
        <v>45759</v>
      </c>
      <c r="E3">
        <v>23.859189000000001</v>
      </c>
      <c r="F3">
        <v>145929</v>
      </c>
      <c r="G3">
        <v>0.16349900000000001</v>
      </c>
      <c r="N3" s="12" t="s">
        <v>163</v>
      </c>
      <c r="O3" s="12" t="s">
        <v>106</v>
      </c>
    </row>
    <row r="4" spans="2:21">
      <c r="B4" t="s">
        <v>11</v>
      </c>
      <c r="C4">
        <v>11075</v>
      </c>
      <c r="D4" s="1">
        <v>45752</v>
      </c>
      <c r="E4">
        <v>4.4943609999999996</v>
      </c>
      <c r="F4">
        <v>47446</v>
      </c>
      <c r="G4">
        <v>9.4726000000000005E-2</v>
      </c>
      <c r="N4" s="12" t="s">
        <v>103</v>
      </c>
      <c r="O4">
        <v>11072</v>
      </c>
      <c r="P4">
        <v>11073</v>
      </c>
      <c r="Q4">
        <v>11074</v>
      </c>
      <c r="R4">
        <v>11075</v>
      </c>
      <c r="S4">
        <v>11076</v>
      </c>
      <c r="T4">
        <v>11077</v>
      </c>
      <c r="U4" t="s">
        <v>104</v>
      </c>
    </row>
    <row r="5" spans="2:21">
      <c r="B5" t="s">
        <v>11</v>
      </c>
      <c r="C5">
        <v>11075</v>
      </c>
      <c r="D5" s="1">
        <v>45767</v>
      </c>
      <c r="E5">
        <v>28.736927999999999</v>
      </c>
      <c r="F5">
        <v>239790</v>
      </c>
      <c r="G5">
        <v>0.119842</v>
      </c>
      <c r="N5" s="13">
        <v>45750</v>
      </c>
      <c r="O5" s="14">
        <v>26.159939000000001</v>
      </c>
      <c r="P5" s="14">
        <v>12.225545</v>
      </c>
      <c r="Q5" s="14">
        <v>24.146625</v>
      </c>
      <c r="R5" s="14">
        <v>0.24717500000000001</v>
      </c>
      <c r="S5" s="14">
        <v>0.51476900000000003</v>
      </c>
      <c r="T5" s="14">
        <v>1.3158939999999999</v>
      </c>
      <c r="U5" s="14">
        <v>64.609947000000005</v>
      </c>
    </row>
    <row r="6" spans="2:21">
      <c r="B6" t="s">
        <v>11</v>
      </c>
      <c r="C6">
        <v>11075</v>
      </c>
      <c r="D6" s="1">
        <v>45763</v>
      </c>
      <c r="E6">
        <v>22.254390999999998</v>
      </c>
      <c r="F6">
        <v>171275</v>
      </c>
      <c r="G6">
        <v>0.12993399999999999</v>
      </c>
      <c r="N6" s="13">
        <v>45751</v>
      </c>
      <c r="O6" s="14">
        <v>31.973966999999998</v>
      </c>
      <c r="P6" s="14">
        <v>17.23077</v>
      </c>
      <c r="Q6" s="14">
        <v>31.963325000000001</v>
      </c>
      <c r="R6" s="14">
        <v>2.3184619999999998</v>
      </c>
      <c r="S6" s="14">
        <v>0.90337199999999995</v>
      </c>
      <c r="T6" s="14">
        <v>6.2545809999999999</v>
      </c>
      <c r="U6" s="14">
        <v>90.644476999999995</v>
      </c>
    </row>
    <row r="7" spans="2:21">
      <c r="B7" t="s">
        <v>11</v>
      </c>
      <c r="C7">
        <v>11075</v>
      </c>
      <c r="D7" s="1">
        <v>45764</v>
      </c>
      <c r="E7">
        <v>19.471549</v>
      </c>
      <c r="F7">
        <v>179514</v>
      </c>
      <c r="G7">
        <v>0.10846799999999999</v>
      </c>
      <c r="N7" s="13">
        <v>45752</v>
      </c>
      <c r="O7" s="14">
        <v>40.916356999999998</v>
      </c>
      <c r="P7" s="14">
        <v>22.347011999999999</v>
      </c>
      <c r="Q7" s="14">
        <v>41.897632999999999</v>
      </c>
      <c r="R7" s="14">
        <v>4.4943609999999996</v>
      </c>
      <c r="S7" s="14">
        <v>1.7626329999999999</v>
      </c>
      <c r="T7" s="14">
        <v>9.1766190000000005</v>
      </c>
      <c r="U7" s="14">
        <v>120.59461499999999</v>
      </c>
    </row>
    <row r="8" spans="2:21">
      <c r="B8" t="s">
        <v>11</v>
      </c>
      <c r="C8">
        <v>11075</v>
      </c>
      <c r="D8" s="1">
        <v>45750</v>
      </c>
      <c r="E8">
        <v>0.24717500000000001</v>
      </c>
      <c r="F8">
        <v>3839</v>
      </c>
      <c r="G8">
        <v>6.4384999999999998E-2</v>
      </c>
      <c r="N8" s="13">
        <v>45753</v>
      </c>
      <c r="O8" s="14">
        <v>58.785890999999999</v>
      </c>
      <c r="P8" s="14">
        <v>32.646732</v>
      </c>
      <c r="Q8" s="14">
        <v>52.701987000000003</v>
      </c>
      <c r="R8" s="14">
        <v>7.2050260000000002</v>
      </c>
      <c r="S8" s="14">
        <v>3.5511379999999999</v>
      </c>
      <c r="T8" s="14">
        <v>5.9370149999999997</v>
      </c>
      <c r="U8" s="14">
        <v>160.82778900000002</v>
      </c>
    </row>
    <row r="9" spans="2:21">
      <c r="B9" t="s">
        <v>11</v>
      </c>
      <c r="C9">
        <v>11075</v>
      </c>
      <c r="D9" s="1">
        <v>45758</v>
      </c>
      <c r="E9">
        <v>19.810310999999999</v>
      </c>
      <c r="F9">
        <v>156186</v>
      </c>
      <c r="G9">
        <v>0.12683800000000001</v>
      </c>
      <c r="N9" s="13">
        <v>45754</v>
      </c>
      <c r="O9" s="14">
        <v>59.492297000000001</v>
      </c>
      <c r="P9" s="14">
        <v>29.847252999999998</v>
      </c>
      <c r="Q9" s="14">
        <v>56.898380000000003</v>
      </c>
      <c r="R9" s="14">
        <v>12.126794</v>
      </c>
      <c r="S9" s="14">
        <v>7.4859879999999999</v>
      </c>
      <c r="T9" s="14">
        <v>8.670693</v>
      </c>
      <c r="U9" s="14">
        <v>174.52140499999999</v>
      </c>
    </row>
    <row r="10" spans="2:21">
      <c r="B10" t="s">
        <v>11</v>
      </c>
      <c r="C10">
        <v>11075</v>
      </c>
      <c r="D10" s="1">
        <v>45765</v>
      </c>
      <c r="E10">
        <v>20.708539999999999</v>
      </c>
      <c r="F10">
        <v>179905</v>
      </c>
      <c r="G10">
        <v>0.115108</v>
      </c>
      <c r="N10" s="13">
        <v>45755</v>
      </c>
      <c r="O10" s="14">
        <v>56.700442000000002</v>
      </c>
      <c r="P10" s="14">
        <v>29.900027999999999</v>
      </c>
      <c r="Q10" s="14">
        <v>54.906188</v>
      </c>
      <c r="R10" s="14">
        <v>15.134511</v>
      </c>
      <c r="S10" s="14">
        <v>8.5252370000000006</v>
      </c>
      <c r="T10" s="14">
        <v>14.377385</v>
      </c>
      <c r="U10" s="14">
        <v>179.54379100000003</v>
      </c>
    </row>
    <row r="11" spans="2:21">
      <c r="B11" t="s">
        <v>11</v>
      </c>
      <c r="C11">
        <v>11075</v>
      </c>
      <c r="D11" s="1">
        <v>45757</v>
      </c>
      <c r="E11">
        <v>18.793115</v>
      </c>
      <c r="F11">
        <v>163014</v>
      </c>
      <c r="G11">
        <v>0.115285</v>
      </c>
      <c r="N11" s="13">
        <v>45756</v>
      </c>
      <c r="O11" s="14">
        <v>57.322868999999997</v>
      </c>
      <c r="P11" s="14">
        <v>31.351858</v>
      </c>
      <c r="Q11" s="14">
        <v>50.421228999999997</v>
      </c>
      <c r="R11" s="14">
        <v>18.852551999999999</v>
      </c>
      <c r="S11" s="14">
        <v>9.7037969999999998</v>
      </c>
      <c r="T11" s="14">
        <v>15.914393</v>
      </c>
      <c r="U11" s="14">
        <v>183.566698</v>
      </c>
    </row>
    <row r="12" spans="2:21">
      <c r="B12" t="s">
        <v>11</v>
      </c>
      <c r="C12">
        <v>11075</v>
      </c>
      <c r="D12" s="1">
        <v>45761</v>
      </c>
      <c r="E12">
        <v>28.387494</v>
      </c>
      <c r="F12">
        <v>188604</v>
      </c>
      <c r="G12">
        <v>0.15051400000000001</v>
      </c>
      <c r="N12" s="13">
        <v>45757</v>
      </c>
      <c r="O12" s="14">
        <v>56.689926999999997</v>
      </c>
      <c r="P12" s="14">
        <v>33.670321999999999</v>
      </c>
      <c r="Q12" s="14">
        <v>53.622701999999997</v>
      </c>
      <c r="R12" s="14">
        <v>18.793115</v>
      </c>
      <c r="S12" s="14">
        <v>11.32324</v>
      </c>
      <c r="T12" s="14">
        <v>17.495497</v>
      </c>
      <c r="U12" s="14">
        <v>191.59480299999998</v>
      </c>
    </row>
    <row r="13" spans="2:21">
      <c r="B13" t="s">
        <v>11</v>
      </c>
      <c r="C13">
        <v>11075</v>
      </c>
      <c r="D13" s="1">
        <v>45751</v>
      </c>
      <c r="E13">
        <v>2.3184619999999998</v>
      </c>
      <c r="F13">
        <v>28224</v>
      </c>
      <c r="G13">
        <v>8.2144999999999996E-2</v>
      </c>
      <c r="N13" s="13">
        <v>45758</v>
      </c>
      <c r="O13" s="14">
        <v>64.834207000000006</v>
      </c>
      <c r="P13" s="14">
        <v>35.647669</v>
      </c>
      <c r="Q13" s="14">
        <v>59.683449000000003</v>
      </c>
      <c r="R13" s="14">
        <v>19.810310999999999</v>
      </c>
      <c r="S13" s="14">
        <v>10.815092</v>
      </c>
      <c r="T13" s="14">
        <v>17.664477999999999</v>
      </c>
      <c r="U13" s="14">
        <v>208.455206</v>
      </c>
    </row>
    <row r="14" spans="2:21">
      <c r="B14" t="s">
        <v>11</v>
      </c>
      <c r="C14">
        <v>11075</v>
      </c>
      <c r="D14" s="1">
        <v>45755</v>
      </c>
      <c r="E14">
        <v>15.134511</v>
      </c>
      <c r="F14">
        <v>151476</v>
      </c>
      <c r="G14">
        <v>9.9914000000000003E-2</v>
      </c>
      <c r="N14" s="13">
        <v>45759</v>
      </c>
      <c r="O14" s="14">
        <v>78.489936999999998</v>
      </c>
      <c r="P14" s="14">
        <v>44.299148000000002</v>
      </c>
      <c r="Q14" s="14">
        <v>68.682693</v>
      </c>
      <c r="R14" s="14">
        <v>23.859189000000001</v>
      </c>
      <c r="S14" s="14">
        <v>12.487258000000001</v>
      </c>
      <c r="T14" s="14">
        <v>18.370998</v>
      </c>
      <c r="U14" s="14">
        <v>246.18922299999997</v>
      </c>
    </row>
    <row r="15" spans="2:21">
      <c r="B15" t="s">
        <v>11</v>
      </c>
      <c r="C15">
        <v>11075</v>
      </c>
      <c r="D15" s="1">
        <v>45766</v>
      </c>
      <c r="E15">
        <v>27.478953000000001</v>
      </c>
      <c r="F15">
        <v>220444</v>
      </c>
      <c r="G15">
        <v>0.124653</v>
      </c>
      <c r="N15" s="13">
        <v>45760</v>
      </c>
      <c r="O15" s="14">
        <v>97.412998000000002</v>
      </c>
      <c r="P15" s="14">
        <v>54.638368</v>
      </c>
      <c r="Q15" s="14">
        <v>96.648793999999995</v>
      </c>
      <c r="R15" s="14">
        <v>26.309021999999999</v>
      </c>
      <c r="S15" s="14">
        <v>17.486823000000001</v>
      </c>
      <c r="T15" s="14">
        <v>21.378784</v>
      </c>
      <c r="U15" s="14">
        <v>313.87478900000002</v>
      </c>
    </row>
    <row r="16" spans="2:21">
      <c r="B16" t="s">
        <v>11</v>
      </c>
      <c r="C16">
        <v>11075</v>
      </c>
      <c r="D16" s="1">
        <v>45754</v>
      </c>
      <c r="E16">
        <v>12.126794</v>
      </c>
      <c r="F16">
        <v>114223</v>
      </c>
      <c r="G16">
        <v>0.106168</v>
      </c>
      <c r="N16" s="13">
        <v>45761</v>
      </c>
      <c r="O16" s="14">
        <v>98.65531</v>
      </c>
      <c r="P16" s="14">
        <v>55.858781999999998</v>
      </c>
      <c r="Q16" s="14">
        <v>89.171366000000006</v>
      </c>
      <c r="R16" s="14">
        <v>28.387494</v>
      </c>
      <c r="S16" s="14">
        <v>17.721533000000001</v>
      </c>
      <c r="T16" s="14">
        <v>22.086224999999999</v>
      </c>
      <c r="U16" s="14">
        <v>311.88071000000002</v>
      </c>
    </row>
    <row r="17" spans="2:21">
      <c r="B17" t="s">
        <v>11</v>
      </c>
      <c r="C17">
        <v>11075</v>
      </c>
      <c r="D17" s="1">
        <v>45756</v>
      </c>
      <c r="E17">
        <v>18.852551999999999</v>
      </c>
      <c r="F17">
        <v>149156</v>
      </c>
      <c r="G17">
        <v>0.12639500000000001</v>
      </c>
      <c r="N17" s="13">
        <v>45762</v>
      </c>
      <c r="O17" s="14">
        <v>84.837885999999997</v>
      </c>
      <c r="P17" s="14">
        <v>51.329884</v>
      </c>
      <c r="Q17" s="14">
        <v>78.835645</v>
      </c>
      <c r="R17" s="14">
        <v>21.603071</v>
      </c>
      <c r="S17" s="14">
        <v>15.242993999999999</v>
      </c>
      <c r="T17" s="14">
        <v>20.050840000000001</v>
      </c>
      <c r="U17" s="14">
        <v>271.90032000000002</v>
      </c>
    </row>
    <row r="18" spans="2:21">
      <c r="B18" t="s">
        <v>11</v>
      </c>
      <c r="C18">
        <v>11075</v>
      </c>
      <c r="D18" s="1">
        <v>45753</v>
      </c>
      <c r="E18">
        <v>7.2050260000000002</v>
      </c>
      <c r="F18">
        <v>66196</v>
      </c>
      <c r="G18">
        <v>0.108844</v>
      </c>
      <c r="N18" s="13">
        <v>45763</v>
      </c>
      <c r="O18" s="14">
        <v>76.152828</v>
      </c>
      <c r="P18" s="14">
        <v>48.852733999999998</v>
      </c>
      <c r="Q18" s="14">
        <v>69.850221000000005</v>
      </c>
      <c r="R18" s="14">
        <v>22.254390999999998</v>
      </c>
      <c r="S18" s="14">
        <v>17.789268</v>
      </c>
      <c r="T18" s="14">
        <v>18.481843000000001</v>
      </c>
      <c r="U18" s="14">
        <v>253.38128499999999</v>
      </c>
    </row>
    <row r="19" spans="2:21">
      <c r="B19" t="s">
        <v>11</v>
      </c>
      <c r="C19">
        <v>11075</v>
      </c>
      <c r="D19" s="1">
        <v>45762</v>
      </c>
      <c r="E19">
        <v>21.603071</v>
      </c>
      <c r="F19">
        <v>166896</v>
      </c>
      <c r="G19">
        <v>0.12944</v>
      </c>
      <c r="N19" s="13">
        <v>45764</v>
      </c>
      <c r="O19" s="14">
        <v>99.701950999999994</v>
      </c>
      <c r="P19" s="14">
        <v>50.691445999999999</v>
      </c>
      <c r="Q19" s="14">
        <v>92.969859999999997</v>
      </c>
      <c r="R19" s="14">
        <v>19.471549</v>
      </c>
      <c r="S19" s="14">
        <v>14.026348</v>
      </c>
      <c r="T19" s="14">
        <v>20.594314000000001</v>
      </c>
      <c r="U19" s="14">
        <v>297.45546799999994</v>
      </c>
    </row>
    <row r="20" spans="2:21">
      <c r="B20" t="s">
        <v>11</v>
      </c>
      <c r="C20">
        <v>11076</v>
      </c>
      <c r="D20" s="1">
        <v>45754</v>
      </c>
      <c r="E20">
        <v>7.4859879999999999</v>
      </c>
      <c r="F20">
        <v>41466</v>
      </c>
      <c r="G20">
        <v>0.180533</v>
      </c>
      <c r="N20" s="13">
        <v>45765</v>
      </c>
      <c r="O20" s="14">
        <v>77.205198999999993</v>
      </c>
      <c r="P20" s="14">
        <v>54.977330000000002</v>
      </c>
      <c r="Q20" s="14">
        <v>74.849125000000001</v>
      </c>
      <c r="R20" s="14">
        <v>20.708539999999999</v>
      </c>
      <c r="S20" s="14">
        <v>15.510014999999999</v>
      </c>
      <c r="T20" s="14">
        <v>20.717357</v>
      </c>
      <c r="U20" s="14">
        <v>263.96756600000003</v>
      </c>
    </row>
    <row r="21" spans="2:21">
      <c r="B21" t="s">
        <v>11</v>
      </c>
      <c r="C21">
        <v>11076</v>
      </c>
      <c r="D21" s="1">
        <v>45763</v>
      </c>
      <c r="E21">
        <v>17.789268</v>
      </c>
      <c r="F21">
        <v>91946</v>
      </c>
      <c r="G21">
        <v>0.19347500000000001</v>
      </c>
      <c r="N21" s="13">
        <v>45766</v>
      </c>
      <c r="O21" s="14">
        <v>85.517932000000002</v>
      </c>
      <c r="P21" s="14">
        <v>65.20402</v>
      </c>
      <c r="Q21" s="14">
        <v>82.213463000000004</v>
      </c>
      <c r="R21" s="14">
        <v>27.478953000000001</v>
      </c>
      <c r="S21" s="14">
        <v>15.9846</v>
      </c>
      <c r="T21" s="14">
        <v>24.480492000000002</v>
      </c>
      <c r="U21" s="14">
        <v>300.87945999999999</v>
      </c>
    </row>
    <row r="22" spans="2:21">
      <c r="B22" t="s">
        <v>11</v>
      </c>
      <c r="C22">
        <v>11076</v>
      </c>
      <c r="D22" s="1">
        <v>45752</v>
      </c>
      <c r="E22">
        <v>1.7626329999999999</v>
      </c>
      <c r="F22">
        <v>15652</v>
      </c>
      <c r="G22">
        <v>0.11261400000000001</v>
      </c>
      <c r="N22" s="13">
        <v>45767</v>
      </c>
      <c r="O22" s="14">
        <v>136.05860200000001</v>
      </c>
      <c r="P22" s="14">
        <v>92.659156999999993</v>
      </c>
      <c r="Q22" s="14">
        <v>124.774997</v>
      </c>
      <c r="R22" s="14">
        <v>28.736927999999999</v>
      </c>
      <c r="S22" s="14">
        <v>18.130642000000002</v>
      </c>
      <c r="T22" s="14">
        <v>26.288062</v>
      </c>
      <c r="U22" s="14">
        <v>426.64838800000001</v>
      </c>
    </row>
    <row r="23" spans="2:21">
      <c r="B23" t="s">
        <v>11</v>
      </c>
      <c r="C23">
        <v>11076</v>
      </c>
      <c r="D23" s="1">
        <v>45765</v>
      </c>
      <c r="E23">
        <v>15.510014999999999</v>
      </c>
      <c r="F23">
        <v>98812</v>
      </c>
      <c r="G23">
        <v>0.15696499999999999</v>
      </c>
      <c r="N23" s="13" t="s">
        <v>104</v>
      </c>
      <c r="O23" s="14">
        <v>1286.9085390000002</v>
      </c>
      <c r="P23" s="14">
        <v>763.37805800000001</v>
      </c>
      <c r="Q23" s="14">
        <v>1204.2376819999999</v>
      </c>
      <c r="R23" s="14">
        <v>317.79144399999996</v>
      </c>
      <c r="S23" s="14">
        <v>198.96474700000002</v>
      </c>
      <c r="T23" s="14">
        <v>289.25547</v>
      </c>
      <c r="U23" s="14">
        <v>4060.5359400000002</v>
      </c>
    </row>
    <row r="24" spans="2:21">
      <c r="B24" t="s">
        <v>11</v>
      </c>
      <c r="C24">
        <v>11076</v>
      </c>
      <c r="D24" s="1">
        <v>45766</v>
      </c>
      <c r="E24">
        <v>15.9846</v>
      </c>
      <c r="F24">
        <v>97932</v>
      </c>
      <c r="G24">
        <v>0.163221</v>
      </c>
    </row>
    <row r="25" spans="2:21">
      <c r="B25" t="s">
        <v>11</v>
      </c>
      <c r="C25">
        <v>11076</v>
      </c>
      <c r="D25" s="1">
        <v>45764</v>
      </c>
      <c r="E25">
        <v>14.026348</v>
      </c>
      <c r="F25">
        <v>90558</v>
      </c>
      <c r="G25">
        <v>0.154888</v>
      </c>
    </row>
    <row r="26" spans="2:21">
      <c r="B26" t="s">
        <v>11</v>
      </c>
      <c r="C26">
        <v>11076</v>
      </c>
      <c r="D26" s="1">
        <v>45767</v>
      </c>
      <c r="E26">
        <v>18.130642000000002</v>
      </c>
      <c r="F26">
        <v>116192</v>
      </c>
      <c r="G26">
        <v>0.15604000000000001</v>
      </c>
    </row>
    <row r="27" spans="2:21">
      <c r="B27" t="s">
        <v>11</v>
      </c>
      <c r="C27">
        <v>11076</v>
      </c>
      <c r="D27" s="1">
        <v>45760</v>
      </c>
      <c r="E27">
        <v>17.486823000000001</v>
      </c>
      <c r="F27">
        <v>82445</v>
      </c>
      <c r="G27">
        <v>0.21210300000000001</v>
      </c>
    </row>
    <row r="28" spans="2:21">
      <c r="B28" t="s">
        <v>11</v>
      </c>
      <c r="C28">
        <v>11076</v>
      </c>
      <c r="D28" s="1">
        <v>45762</v>
      </c>
      <c r="E28">
        <v>15.242993999999999</v>
      </c>
      <c r="F28">
        <v>85588</v>
      </c>
      <c r="G28">
        <v>0.17809700000000001</v>
      </c>
    </row>
    <row r="29" spans="2:21">
      <c r="B29" t="s">
        <v>11</v>
      </c>
      <c r="C29">
        <v>11076</v>
      </c>
      <c r="D29" s="1">
        <v>45757</v>
      </c>
      <c r="E29">
        <v>11.32324</v>
      </c>
      <c r="F29">
        <v>63558</v>
      </c>
      <c r="G29">
        <v>0.17815600000000001</v>
      </c>
    </row>
    <row r="30" spans="2:21">
      <c r="B30" t="s">
        <v>11</v>
      </c>
      <c r="C30">
        <v>11076</v>
      </c>
      <c r="D30" s="1">
        <v>45750</v>
      </c>
      <c r="E30">
        <v>0.51476900000000003</v>
      </c>
      <c r="F30">
        <v>1370</v>
      </c>
      <c r="G30">
        <v>0.37574400000000002</v>
      </c>
    </row>
    <row r="31" spans="2:21">
      <c r="B31" t="s">
        <v>11</v>
      </c>
      <c r="C31">
        <v>11076</v>
      </c>
      <c r="D31" s="1">
        <v>45756</v>
      </c>
      <c r="E31">
        <v>9.7037969999999998</v>
      </c>
      <c r="F31">
        <v>55427</v>
      </c>
      <c r="G31">
        <v>0.17507300000000001</v>
      </c>
    </row>
    <row r="32" spans="2:21">
      <c r="B32" t="s">
        <v>11</v>
      </c>
      <c r="C32">
        <v>11076</v>
      </c>
      <c r="D32" s="1">
        <v>45755</v>
      </c>
      <c r="E32">
        <v>8.5252370000000006</v>
      </c>
      <c r="F32">
        <v>51077</v>
      </c>
      <c r="G32">
        <v>0.16691</v>
      </c>
    </row>
    <row r="33" spans="2:7">
      <c r="B33" t="s">
        <v>11</v>
      </c>
      <c r="C33">
        <v>11076</v>
      </c>
      <c r="D33" s="1">
        <v>45759</v>
      </c>
      <c r="E33">
        <v>12.487258000000001</v>
      </c>
      <c r="F33">
        <v>69821</v>
      </c>
      <c r="G33">
        <v>0.17884700000000001</v>
      </c>
    </row>
    <row r="34" spans="2:7">
      <c r="B34" t="s">
        <v>11</v>
      </c>
      <c r="C34">
        <v>11076</v>
      </c>
      <c r="D34" s="1">
        <v>45761</v>
      </c>
      <c r="E34">
        <v>17.721533000000001</v>
      </c>
      <c r="F34">
        <v>94993</v>
      </c>
      <c r="G34">
        <v>0.186556</v>
      </c>
    </row>
    <row r="35" spans="2:7">
      <c r="B35" t="s">
        <v>11</v>
      </c>
      <c r="C35">
        <v>11076</v>
      </c>
      <c r="D35" s="1">
        <v>45753</v>
      </c>
      <c r="E35">
        <v>3.5511379999999999</v>
      </c>
      <c r="F35">
        <v>21850</v>
      </c>
      <c r="G35">
        <v>0.162523</v>
      </c>
    </row>
    <row r="36" spans="2:7">
      <c r="B36" t="s">
        <v>11</v>
      </c>
      <c r="C36">
        <v>11076</v>
      </c>
      <c r="D36" s="1">
        <v>45751</v>
      </c>
      <c r="E36">
        <v>0.90337199999999995</v>
      </c>
      <c r="F36">
        <v>8391</v>
      </c>
      <c r="G36">
        <v>0.10766000000000001</v>
      </c>
    </row>
    <row r="37" spans="2:7">
      <c r="B37" t="s">
        <v>11</v>
      </c>
      <c r="C37">
        <v>11076</v>
      </c>
      <c r="D37" s="1">
        <v>45758</v>
      </c>
      <c r="E37">
        <v>10.815092</v>
      </c>
      <c r="F37">
        <v>67364</v>
      </c>
      <c r="G37">
        <v>0.160547</v>
      </c>
    </row>
    <row r="38" spans="2:7">
      <c r="B38" t="s">
        <v>11</v>
      </c>
      <c r="C38">
        <v>11077</v>
      </c>
      <c r="D38" s="1">
        <v>45767</v>
      </c>
      <c r="E38">
        <v>26.288062</v>
      </c>
      <c r="F38">
        <v>197564</v>
      </c>
      <c r="G38">
        <v>0.13306100000000001</v>
      </c>
    </row>
    <row r="39" spans="2:7">
      <c r="B39" t="s">
        <v>11</v>
      </c>
      <c r="C39">
        <v>11077</v>
      </c>
      <c r="D39" s="1">
        <v>45764</v>
      </c>
      <c r="E39">
        <v>20.594314000000001</v>
      </c>
      <c r="F39">
        <v>153830</v>
      </c>
      <c r="G39">
        <v>0.133877</v>
      </c>
    </row>
    <row r="40" spans="2:7">
      <c r="B40" t="s">
        <v>11</v>
      </c>
      <c r="C40">
        <v>11077</v>
      </c>
      <c r="D40" s="1">
        <v>45750</v>
      </c>
      <c r="E40">
        <v>1.3158939999999999</v>
      </c>
      <c r="F40">
        <v>5457</v>
      </c>
      <c r="G40">
        <v>0.24113899999999999</v>
      </c>
    </row>
    <row r="41" spans="2:7">
      <c r="B41" t="s">
        <v>11</v>
      </c>
      <c r="C41">
        <v>11077</v>
      </c>
      <c r="D41" s="1">
        <v>45760</v>
      </c>
      <c r="E41">
        <v>21.378784</v>
      </c>
      <c r="F41">
        <v>151280</v>
      </c>
      <c r="G41">
        <v>0.141319</v>
      </c>
    </row>
    <row r="42" spans="2:7">
      <c r="B42" t="s">
        <v>11</v>
      </c>
      <c r="C42">
        <v>11077</v>
      </c>
      <c r="D42" s="1">
        <v>45754</v>
      </c>
      <c r="E42">
        <v>8.670693</v>
      </c>
      <c r="F42">
        <v>91826</v>
      </c>
      <c r="G42">
        <v>9.4424999999999995E-2</v>
      </c>
    </row>
    <row r="43" spans="2:7">
      <c r="B43" t="s">
        <v>11</v>
      </c>
      <c r="C43">
        <v>11077</v>
      </c>
      <c r="D43" s="1">
        <v>45762</v>
      </c>
      <c r="E43">
        <v>20.050840000000001</v>
      </c>
      <c r="F43">
        <v>135877</v>
      </c>
      <c r="G43">
        <v>0.147566</v>
      </c>
    </row>
    <row r="44" spans="2:7">
      <c r="B44" t="s">
        <v>11</v>
      </c>
      <c r="C44">
        <v>11077</v>
      </c>
      <c r="D44" s="1">
        <v>45756</v>
      </c>
      <c r="E44">
        <v>15.914393</v>
      </c>
      <c r="F44">
        <v>112600</v>
      </c>
      <c r="G44">
        <v>0.14133599999999999</v>
      </c>
    </row>
    <row r="45" spans="2:7">
      <c r="B45" t="s">
        <v>11</v>
      </c>
      <c r="C45">
        <v>11077</v>
      </c>
      <c r="D45" s="1">
        <v>45755</v>
      </c>
      <c r="E45">
        <v>14.377385</v>
      </c>
      <c r="F45">
        <v>119527</v>
      </c>
      <c r="G45">
        <v>0.120286</v>
      </c>
    </row>
    <row r="46" spans="2:7">
      <c r="B46" t="s">
        <v>11</v>
      </c>
      <c r="C46">
        <v>11077</v>
      </c>
      <c r="D46" s="1">
        <v>45765</v>
      </c>
      <c r="E46">
        <v>20.717357</v>
      </c>
      <c r="F46">
        <v>157074</v>
      </c>
      <c r="G46">
        <v>0.13189600000000001</v>
      </c>
    </row>
    <row r="47" spans="2:7">
      <c r="B47" t="s">
        <v>11</v>
      </c>
      <c r="C47">
        <v>11077</v>
      </c>
      <c r="D47" s="1">
        <v>45752</v>
      </c>
      <c r="E47">
        <v>9.1766190000000005</v>
      </c>
      <c r="F47">
        <v>45843</v>
      </c>
      <c r="G47">
        <v>0.20017499999999999</v>
      </c>
    </row>
    <row r="48" spans="2:7">
      <c r="B48" t="s">
        <v>11</v>
      </c>
      <c r="C48">
        <v>11077</v>
      </c>
      <c r="D48" s="1">
        <v>45758</v>
      </c>
      <c r="E48">
        <v>17.664477999999999</v>
      </c>
      <c r="F48">
        <v>122556</v>
      </c>
      <c r="G48">
        <v>0.14413400000000001</v>
      </c>
    </row>
    <row r="49" spans="2:7">
      <c r="B49" t="s">
        <v>11</v>
      </c>
      <c r="C49">
        <v>11077</v>
      </c>
      <c r="D49" s="1">
        <v>45763</v>
      </c>
      <c r="E49">
        <v>18.481843000000001</v>
      </c>
      <c r="F49">
        <v>147053</v>
      </c>
      <c r="G49">
        <v>0.12568199999999999</v>
      </c>
    </row>
    <row r="50" spans="2:7">
      <c r="B50" t="s">
        <v>11</v>
      </c>
      <c r="C50">
        <v>11077</v>
      </c>
      <c r="D50" s="1">
        <v>45751</v>
      </c>
      <c r="E50">
        <v>6.2545809999999999</v>
      </c>
      <c r="F50">
        <v>31270</v>
      </c>
      <c r="G50">
        <v>0.200019</v>
      </c>
    </row>
    <row r="51" spans="2:7">
      <c r="B51" t="s">
        <v>11</v>
      </c>
      <c r="C51">
        <v>11077</v>
      </c>
      <c r="D51" s="1">
        <v>45753</v>
      </c>
      <c r="E51">
        <v>5.9370149999999997</v>
      </c>
      <c r="F51">
        <v>60092</v>
      </c>
      <c r="G51">
        <v>9.8798999999999998E-2</v>
      </c>
    </row>
    <row r="52" spans="2:7">
      <c r="B52" t="s">
        <v>11</v>
      </c>
      <c r="C52">
        <v>11077</v>
      </c>
      <c r="D52" s="1">
        <v>45757</v>
      </c>
      <c r="E52">
        <v>17.495497</v>
      </c>
      <c r="F52">
        <v>126924</v>
      </c>
      <c r="G52">
        <v>0.13784199999999999</v>
      </c>
    </row>
    <row r="53" spans="2:7">
      <c r="B53" t="s">
        <v>11</v>
      </c>
      <c r="C53">
        <v>11077</v>
      </c>
      <c r="D53" s="1">
        <v>45759</v>
      </c>
      <c r="E53">
        <v>18.370998</v>
      </c>
      <c r="F53">
        <v>121041</v>
      </c>
      <c r="G53">
        <v>0.15177499999999999</v>
      </c>
    </row>
    <row r="54" spans="2:7">
      <c r="B54" t="s">
        <v>11</v>
      </c>
      <c r="C54">
        <v>11077</v>
      </c>
      <c r="D54" s="1">
        <v>45766</v>
      </c>
      <c r="E54">
        <v>24.480492000000002</v>
      </c>
      <c r="F54">
        <v>174959</v>
      </c>
      <c r="G54">
        <v>0.13992099999999999</v>
      </c>
    </row>
    <row r="55" spans="2:7">
      <c r="B55" t="s">
        <v>11</v>
      </c>
      <c r="C55">
        <v>11077</v>
      </c>
      <c r="D55" s="1">
        <v>45761</v>
      </c>
      <c r="E55">
        <v>22.086224999999999</v>
      </c>
      <c r="F55">
        <v>157301</v>
      </c>
      <c r="G55">
        <v>0.140407</v>
      </c>
    </row>
    <row r="56" spans="2:7">
      <c r="B56" t="s">
        <v>12</v>
      </c>
      <c r="C56">
        <v>11072</v>
      </c>
      <c r="D56" s="1">
        <v>45754</v>
      </c>
      <c r="E56">
        <v>59.492297000000001</v>
      </c>
      <c r="F56">
        <v>163663</v>
      </c>
      <c r="G56">
        <v>0.36350500000000002</v>
      </c>
    </row>
    <row r="57" spans="2:7">
      <c r="B57" t="s">
        <v>12</v>
      </c>
      <c r="C57">
        <v>11072</v>
      </c>
      <c r="D57" s="1">
        <v>45761</v>
      </c>
      <c r="E57">
        <v>98.65531</v>
      </c>
      <c r="F57">
        <v>234788</v>
      </c>
      <c r="G57">
        <v>0.42018899999999998</v>
      </c>
    </row>
    <row r="58" spans="2:7">
      <c r="B58" t="s">
        <v>12</v>
      </c>
      <c r="C58">
        <v>11072</v>
      </c>
      <c r="D58" s="1">
        <v>45757</v>
      </c>
      <c r="E58">
        <v>56.689926999999997</v>
      </c>
      <c r="F58">
        <v>140018</v>
      </c>
      <c r="G58">
        <v>0.40487600000000001</v>
      </c>
    </row>
    <row r="59" spans="2:7">
      <c r="B59" t="s">
        <v>12</v>
      </c>
      <c r="C59">
        <v>11072</v>
      </c>
      <c r="D59" s="1">
        <v>45756</v>
      </c>
      <c r="E59">
        <v>57.322868999999997</v>
      </c>
      <c r="F59">
        <v>128431</v>
      </c>
      <c r="G59">
        <v>0.44633200000000001</v>
      </c>
    </row>
    <row r="60" spans="2:7">
      <c r="B60" t="s">
        <v>12</v>
      </c>
      <c r="C60">
        <v>11072</v>
      </c>
      <c r="D60" s="1">
        <v>45751</v>
      </c>
      <c r="E60">
        <v>31.973966999999998</v>
      </c>
      <c r="F60">
        <v>96107</v>
      </c>
      <c r="G60">
        <v>0.33269100000000001</v>
      </c>
    </row>
    <row r="61" spans="2:7">
      <c r="B61" t="s">
        <v>12</v>
      </c>
      <c r="C61">
        <v>11072</v>
      </c>
      <c r="D61" s="1">
        <v>45750</v>
      </c>
      <c r="E61">
        <v>26.159939000000001</v>
      </c>
      <c r="F61">
        <v>79524</v>
      </c>
      <c r="G61">
        <v>0.328957</v>
      </c>
    </row>
    <row r="62" spans="2:7">
      <c r="B62" t="s">
        <v>12</v>
      </c>
      <c r="C62">
        <v>11072</v>
      </c>
      <c r="D62" s="1">
        <v>45760</v>
      </c>
      <c r="E62">
        <v>97.412998000000002</v>
      </c>
      <c r="F62">
        <v>223421</v>
      </c>
      <c r="G62">
        <v>0.436006</v>
      </c>
    </row>
    <row r="63" spans="2:7">
      <c r="B63" t="s">
        <v>12</v>
      </c>
      <c r="C63">
        <v>11072</v>
      </c>
      <c r="D63" s="1">
        <v>45767</v>
      </c>
      <c r="E63">
        <v>136.05860200000001</v>
      </c>
      <c r="F63">
        <v>281901</v>
      </c>
      <c r="G63">
        <v>0.48264699999999999</v>
      </c>
    </row>
    <row r="64" spans="2:7">
      <c r="B64" t="s">
        <v>12</v>
      </c>
      <c r="C64">
        <v>11072</v>
      </c>
      <c r="D64" s="1">
        <v>45763</v>
      </c>
      <c r="E64">
        <v>76.152828</v>
      </c>
      <c r="F64">
        <v>184053</v>
      </c>
      <c r="G64">
        <v>0.41375499999999998</v>
      </c>
    </row>
    <row r="65" spans="2:7">
      <c r="B65" t="s">
        <v>12</v>
      </c>
      <c r="C65">
        <v>11072</v>
      </c>
      <c r="D65" s="1">
        <v>45759</v>
      </c>
      <c r="E65">
        <v>78.489936999999998</v>
      </c>
      <c r="F65">
        <v>169196</v>
      </c>
      <c r="G65">
        <v>0.46389900000000001</v>
      </c>
    </row>
    <row r="66" spans="2:7">
      <c r="B66" t="s">
        <v>12</v>
      </c>
      <c r="C66">
        <v>11072</v>
      </c>
      <c r="D66" s="1">
        <v>45765</v>
      </c>
      <c r="E66">
        <v>77.205198999999993</v>
      </c>
      <c r="F66">
        <v>197670</v>
      </c>
      <c r="G66">
        <v>0.39057599999999998</v>
      </c>
    </row>
    <row r="67" spans="2:7">
      <c r="B67" t="s">
        <v>12</v>
      </c>
      <c r="C67">
        <v>11072</v>
      </c>
      <c r="D67" s="1">
        <v>45758</v>
      </c>
      <c r="E67">
        <v>64.834207000000006</v>
      </c>
      <c r="F67">
        <v>148354</v>
      </c>
      <c r="G67">
        <v>0.43702400000000002</v>
      </c>
    </row>
    <row r="68" spans="2:7">
      <c r="B68" t="s">
        <v>12</v>
      </c>
      <c r="C68">
        <v>11072</v>
      </c>
      <c r="D68" s="1">
        <v>45755</v>
      </c>
      <c r="E68">
        <v>56.700442000000002</v>
      </c>
      <c r="F68">
        <v>141496</v>
      </c>
      <c r="G68">
        <v>0.40072099999999999</v>
      </c>
    </row>
    <row r="69" spans="2:7">
      <c r="B69" t="s">
        <v>12</v>
      </c>
      <c r="C69">
        <v>11072</v>
      </c>
      <c r="D69" s="1">
        <v>45764</v>
      </c>
      <c r="E69">
        <v>99.701950999999994</v>
      </c>
      <c r="F69">
        <v>193599</v>
      </c>
      <c r="G69">
        <v>0.51499200000000001</v>
      </c>
    </row>
    <row r="70" spans="2:7">
      <c r="B70" t="s">
        <v>12</v>
      </c>
      <c r="C70">
        <v>11072</v>
      </c>
      <c r="D70" s="1">
        <v>45766</v>
      </c>
      <c r="E70">
        <v>85.517932000000002</v>
      </c>
      <c r="F70">
        <v>216533</v>
      </c>
      <c r="G70">
        <v>0.39494200000000002</v>
      </c>
    </row>
    <row r="71" spans="2:7">
      <c r="B71" t="s">
        <v>12</v>
      </c>
      <c r="C71">
        <v>11072</v>
      </c>
      <c r="D71" s="1">
        <v>45753</v>
      </c>
      <c r="E71">
        <v>58.785890999999999</v>
      </c>
      <c r="F71">
        <v>157921</v>
      </c>
      <c r="G71">
        <v>0.372249</v>
      </c>
    </row>
    <row r="72" spans="2:7">
      <c r="B72" t="s">
        <v>12</v>
      </c>
      <c r="C72">
        <v>11072</v>
      </c>
      <c r="D72" s="1">
        <v>45752</v>
      </c>
      <c r="E72">
        <v>40.916356999999998</v>
      </c>
      <c r="F72">
        <v>112623</v>
      </c>
      <c r="G72">
        <v>0.36330400000000002</v>
      </c>
    </row>
    <row r="73" spans="2:7">
      <c r="B73" t="s">
        <v>12</v>
      </c>
      <c r="C73">
        <v>11072</v>
      </c>
      <c r="D73" s="1">
        <v>45762</v>
      </c>
      <c r="E73">
        <v>84.837885999999997</v>
      </c>
      <c r="F73">
        <v>185514</v>
      </c>
      <c r="G73">
        <v>0.45731300000000003</v>
      </c>
    </row>
    <row r="74" spans="2:7">
      <c r="B74" t="s">
        <v>12</v>
      </c>
      <c r="C74">
        <v>11073</v>
      </c>
      <c r="D74" s="1">
        <v>45753</v>
      </c>
      <c r="E74">
        <v>32.646732</v>
      </c>
      <c r="F74">
        <v>58328</v>
      </c>
      <c r="G74">
        <v>0.55970900000000001</v>
      </c>
    </row>
    <row r="75" spans="2:7">
      <c r="B75" t="s">
        <v>12</v>
      </c>
      <c r="C75">
        <v>11073</v>
      </c>
      <c r="D75" s="1">
        <v>45763</v>
      </c>
      <c r="E75">
        <v>48.852733999999998</v>
      </c>
      <c r="F75">
        <v>96982</v>
      </c>
      <c r="G75">
        <v>0.50373000000000001</v>
      </c>
    </row>
    <row r="76" spans="2:7">
      <c r="B76" t="s">
        <v>12</v>
      </c>
      <c r="C76">
        <v>11073</v>
      </c>
      <c r="D76" s="1">
        <v>45750</v>
      </c>
      <c r="E76">
        <v>12.225545</v>
      </c>
      <c r="F76">
        <v>23820</v>
      </c>
      <c r="G76">
        <v>0.51324700000000001</v>
      </c>
    </row>
    <row r="77" spans="2:7">
      <c r="B77" t="s">
        <v>12</v>
      </c>
      <c r="C77">
        <v>11073</v>
      </c>
      <c r="D77" s="1">
        <v>45751</v>
      </c>
      <c r="E77">
        <v>17.23077</v>
      </c>
      <c r="F77">
        <v>36270</v>
      </c>
      <c r="G77">
        <v>0.47506900000000002</v>
      </c>
    </row>
    <row r="78" spans="2:7">
      <c r="B78" t="s">
        <v>12</v>
      </c>
      <c r="C78">
        <v>11073</v>
      </c>
      <c r="D78" s="1">
        <v>45755</v>
      </c>
      <c r="E78">
        <v>29.900027999999999</v>
      </c>
      <c r="F78">
        <v>57513</v>
      </c>
      <c r="G78">
        <v>0.51988299999999998</v>
      </c>
    </row>
    <row r="79" spans="2:7">
      <c r="B79" t="s">
        <v>12</v>
      </c>
      <c r="C79">
        <v>11073</v>
      </c>
      <c r="D79" s="1">
        <v>45754</v>
      </c>
      <c r="E79">
        <v>29.847252999999998</v>
      </c>
      <c r="F79">
        <v>67603</v>
      </c>
      <c r="G79">
        <v>0.44150800000000001</v>
      </c>
    </row>
    <row r="80" spans="2:7">
      <c r="B80" t="s">
        <v>12</v>
      </c>
      <c r="C80">
        <v>11073</v>
      </c>
      <c r="D80" s="1">
        <v>45762</v>
      </c>
      <c r="E80">
        <v>51.329884</v>
      </c>
      <c r="F80">
        <v>93756</v>
      </c>
      <c r="G80">
        <v>0.54748399999999997</v>
      </c>
    </row>
    <row r="81" spans="2:7">
      <c r="B81" t="s">
        <v>12</v>
      </c>
      <c r="C81">
        <v>11073</v>
      </c>
      <c r="D81" s="1">
        <v>45767</v>
      </c>
      <c r="E81">
        <v>92.659156999999993</v>
      </c>
      <c r="F81">
        <v>148714</v>
      </c>
      <c r="G81">
        <v>0.62306899999999998</v>
      </c>
    </row>
    <row r="82" spans="2:7">
      <c r="B82" t="s">
        <v>12</v>
      </c>
      <c r="C82">
        <v>11073</v>
      </c>
      <c r="D82" s="1">
        <v>45764</v>
      </c>
      <c r="E82">
        <v>50.691445999999999</v>
      </c>
      <c r="F82">
        <v>98607</v>
      </c>
      <c r="G82">
        <v>0.51407599999999998</v>
      </c>
    </row>
    <row r="83" spans="2:7">
      <c r="B83" t="s">
        <v>12</v>
      </c>
      <c r="C83">
        <v>11073</v>
      </c>
      <c r="D83" s="1">
        <v>45766</v>
      </c>
      <c r="E83">
        <v>65.20402</v>
      </c>
      <c r="F83">
        <v>126479</v>
      </c>
      <c r="G83">
        <v>0.51553199999999999</v>
      </c>
    </row>
    <row r="84" spans="2:7">
      <c r="B84" t="s">
        <v>12</v>
      </c>
      <c r="C84">
        <v>11073</v>
      </c>
      <c r="D84" s="1">
        <v>45761</v>
      </c>
      <c r="E84">
        <v>55.858781999999998</v>
      </c>
      <c r="F84">
        <v>106688</v>
      </c>
      <c r="G84">
        <v>0.52357100000000001</v>
      </c>
    </row>
    <row r="85" spans="2:7">
      <c r="B85" t="s">
        <v>12</v>
      </c>
      <c r="C85">
        <v>11073</v>
      </c>
      <c r="D85" s="1">
        <v>45758</v>
      </c>
      <c r="E85">
        <v>35.647669</v>
      </c>
      <c r="F85">
        <v>71303</v>
      </c>
      <c r="G85">
        <v>0.499946</v>
      </c>
    </row>
    <row r="86" spans="2:7">
      <c r="B86" t="s">
        <v>12</v>
      </c>
      <c r="C86">
        <v>11073</v>
      </c>
      <c r="D86" s="1">
        <v>45757</v>
      </c>
      <c r="E86">
        <v>33.670321999999999</v>
      </c>
      <c r="F86">
        <v>62709</v>
      </c>
      <c r="G86">
        <v>0.53693000000000002</v>
      </c>
    </row>
    <row r="87" spans="2:7">
      <c r="B87" t="s">
        <v>12</v>
      </c>
      <c r="C87">
        <v>11073</v>
      </c>
      <c r="D87" s="1">
        <v>45765</v>
      </c>
      <c r="E87">
        <v>54.977330000000002</v>
      </c>
      <c r="F87">
        <v>107219</v>
      </c>
      <c r="G87">
        <v>0.51275700000000002</v>
      </c>
    </row>
    <row r="88" spans="2:7">
      <c r="B88" t="s">
        <v>12</v>
      </c>
      <c r="C88">
        <v>11073</v>
      </c>
      <c r="D88" s="1">
        <v>45760</v>
      </c>
      <c r="E88">
        <v>54.638368</v>
      </c>
      <c r="F88">
        <v>101863</v>
      </c>
      <c r="G88">
        <v>0.53639099999999995</v>
      </c>
    </row>
    <row r="89" spans="2:7">
      <c r="B89" t="s">
        <v>12</v>
      </c>
      <c r="C89">
        <v>11073</v>
      </c>
      <c r="D89" s="1">
        <v>45756</v>
      </c>
      <c r="E89">
        <v>31.351858</v>
      </c>
      <c r="F89">
        <v>59646</v>
      </c>
      <c r="G89">
        <v>0.52563199999999999</v>
      </c>
    </row>
    <row r="90" spans="2:7">
      <c r="B90" t="s">
        <v>12</v>
      </c>
      <c r="C90">
        <v>11073</v>
      </c>
      <c r="D90" s="1">
        <v>45759</v>
      </c>
      <c r="E90">
        <v>44.299148000000002</v>
      </c>
      <c r="F90">
        <v>81910</v>
      </c>
      <c r="G90">
        <v>0.54082699999999995</v>
      </c>
    </row>
    <row r="91" spans="2:7">
      <c r="B91" t="s">
        <v>12</v>
      </c>
      <c r="C91">
        <v>11073</v>
      </c>
      <c r="D91" s="1">
        <v>45752</v>
      </c>
      <c r="E91">
        <v>22.347011999999999</v>
      </c>
      <c r="F91">
        <v>42293</v>
      </c>
      <c r="G91">
        <v>0.52838600000000002</v>
      </c>
    </row>
    <row r="92" spans="2:7">
      <c r="B92" t="s">
        <v>12</v>
      </c>
      <c r="C92">
        <v>11074</v>
      </c>
      <c r="D92" s="1">
        <v>45767</v>
      </c>
      <c r="E92">
        <v>124.774997</v>
      </c>
      <c r="F92">
        <v>248851</v>
      </c>
      <c r="G92">
        <v>0.50140399999999996</v>
      </c>
    </row>
    <row r="93" spans="2:7">
      <c r="B93" t="s">
        <v>12</v>
      </c>
      <c r="C93">
        <v>11074</v>
      </c>
      <c r="D93" s="1">
        <v>45763</v>
      </c>
      <c r="E93">
        <v>69.850221000000005</v>
      </c>
      <c r="F93">
        <v>165713</v>
      </c>
      <c r="G93">
        <v>0.42151300000000003</v>
      </c>
    </row>
    <row r="94" spans="2:7">
      <c r="B94" t="s">
        <v>12</v>
      </c>
      <c r="C94">
        <v>11074</v>
      </c>
      <c r="D94" s="1">
        <v>45754</v>
      </c>
      <c r="E94">
        <v>56.898380000000003</v>
      </c>
      <c r="F94">
        <v>135782</v>
      </c>
      <c r="G94">
        <v>0.41904200000000003</v>
      </c>
    </row>
    <row r="95" spans="2:7">
      <c r="B95" t="s">
        <v>12</v>
      </c>
      <c r="C95">
        <v>11074</v>
      </c>
      <c r="D95" s="1">
        <v>45750</v>
      </c>
      <c r="E95">
        <v>24.146625</v>
      </c>
      <c r="F95">
        <v>65322</v>
      </c>
      <c r="G95">
        <v>0.36965500000000001</v>
      </c>
    </row>
    <row r="96" spans="2:7">
      <c r="B96" t="s">
        <v>12</v>
      </c>
      <c r="C96">
        <v>11074</v>
      </c>
      <c r="D96" s="1">
        <v>45759</v>
      </c>
      <c r="E96">
        <v>68.682693</v>
      </c>
      <c r="F96">
        <v>145194</v>
      </c>
      <c r="G96">
        <v>0.47304099999999999</v>
      </c>
    </row>
    <row r="97" spans="2:7">
      <c r="B97" t="s">
        <v>12</v>
      </c>
      <c r="C97">
        <v>11074</v>
      </c>
      <c r="D97" s="1">
        <v>45765</v>
      </c>
      <c r="E97">
        <v>74.849125000000001</v>
      </c>
      <c r="F97">
        <v>179464</v>
      </c>
      <c r="G97">
        <v>0.41707</v>
      </c>
    </row>
    <row r="98" spans="2:7">
      <c r="B98" t="s">
        <v>12</v>
      </c>
      <c r="C98">
        <v>11074</v>
      </c>
      <c r="D98" s="1">
        <v>45756</v>
      </c>
      <c r="E98">
        <v>50.421228999999997</v>
      </c>
      <c r="F98">
        <v>109441</v>
      </c>
      <c r="G98">
        <v>0.46071600000000001</v>
      </c>
    </row>
    <row r="99" spans="2:7">
      <c r="B99" t="s">
        <v>12</v>
      </c>
      <c r="C99">
        <v>11074</v>
      </c>
      <c r="D99" s="1">
        <v>45751</v>
      </c>
      <c r="E99">
        <v>31.963325000000001</v>
      </c>
      <c r="F99">
        <v>77850</v>
      </c>
      <c r="G99">
        <v>0.410576</v>
      </c>
    </row>
    <row r="100" spans="2:7">
      <c r="B100" t="s">
        <v>12</v>
      </c>
      <c r="C100">
        <v>11074</v>
      </c>
      <c r="D100" s="1">
        <v>45764</v>
      </c>
      <c r="E100">
        <v>92.969859999999997</v>
      </c>
      <c r="F100">
        <v>168611</v>
      </c>
      <c r="G100">
        <v>0.55138699999999996</v>
      </c>
    </row>
    <row r="101" spans="2:7">
      <c r="B101" t="s">
        <v>12</v>
      </c>
      <c r="C101">
        <v>11074</v>
      </c>
      <c r="D101" s="1">
        <v>45752</v>
      </c>
      <c r="E101">
        <v>41.897632999999999</v>
      </c>
      <c r="F101">
        <v>95744</v>
      </c>
      <c r="G101">
        <v>0.43760100000000002</v>
      </c>
    </row>
    <row r="102" spans="2:7">
      <c r="B102" t="s">
        <v>12</v>
      </c>
      <c r="C102">
        <v>11074</v>
      </c>
      <c r="D102" s="1">
        <v>45755</v>
      </c>
      <c r="E102">
        <v>54.906188</v>
      </c>
      <c r="F102">
        <v>121388</v>
      </c>
      <c r="G102">
        <v>0.45232</v>
      </c>
    </row>
    <row r="103" spans="2:7">
      <c r="B103" t="s">
        <v>12</v>
      </c>
      <c r="C103">
        <v>11074</v>
      </c>
      <c r="D103" s="1">
        <v>45758</v>
      </c>
      <c r="E103">
        <v>59.683449000000003</v>
      </c>
      <c r="F103">
        <v>131172</v>
      </c>
      <c r="G103">
        <v>0.45500099999999999</v>
      </c>
    </row>
    <row r="104" spans="2:7">
      <c r="B104" t="s">
        <v>12</v>
      </c>
      <c r="C104">
        <v>11074</v>
      </c>
      <c r="D104" s="1">
        <v>45766</v>
      </c>
      <c r="E104">
        <v>82.213463000000004</v>
      </c>
      <c r="F104">
        <v>199884</v>
      </c>
      <c r="G104">
        <v>0.411306</v>
      </c>
    </row>
    <row r="105" spans="2:7">
      <c r="B105" t="s">
        <v>12</v>
      </c>
      <c r="C105">
        <v>11074</v>
      </c>
      <c r="D105" s="1">
        <v>45757</v>
      </c>
      <c r="E105">
        <v>53.622701999999997</v>
      </c>
      <c r="F105">
        <v>120518</v>
      </c>
      <c r="G105">
        <v>0.44493500000000002</v>
      </c>
    </row>
    <row r="106" spans="2:7">
      <c r="B106" t="s">
        <v>12</v>
      </c>
      <c r="C106">
        <v>11074</v>
      </c>
      <c r="D106" s="1">
        <v>45760</v>
      </c>
      <c r="E106">
        <v>96.648793999999995</v>
      </c>
      <c r="F106">
        <v>200547</v>
      </c>
      <c r="G106">
        <v>0.48192600000000002</v>
      </c>
    </row>
    <row r="107" spans="2:7">
      <c r="B107" t="s">
        <v>12</v>
      </c>
      <c r="C107">
        <v>11074</v>
      </c>
      <c r="D107" s="1">
        <v>45753</v>
      </c>
      <c r="E107">
        <v>52.701987000000003</v>
      </c>
      <c r="F107">
        <v>123871</v>
      </c>
      <c r="G107">
        <v>0.42545899999999998</v>
      </c>
    </row>
    <row r="108" spans="2:7">
      <c r="B108" t="s">
        <v>12</v>
      </c>
      <c r="C108">
        <v>11074</v>
      </c>
      <c r="D108" s="1">
        <v>45762</v>
      </c>
      <c r="E108">
        <v>78.835645</v>
      </c>
      <c r="F108">
        <v>168180</v>
      </c>
      <c r="G108">
        <v>0.46875800000000001</v>
      </c>
    </row>
    <row r="109" spans="2:7">
      <c r="B109" t="s">
        <v>12</v>
      </c>
      <c r="C109">
        <v>11074</v>
      </c>
      <c r="D109" s="1">
        <v>45761</v>
      </c>
      <c r="E109">
        <v>89.171366000000006</v>
      </c>
      <c r="F109">
        <v>199286</v>
      </c>
      <c r="G109">
        <v>0.44745400000000002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5C03-772F-4041-A269-6439B13B6C9A}">
  <dimension ref="B2:N21"/>
  <sheetViews>
    <sheetView workbookViewId="0">
      <selection activeCell="F21" sqref="F21"/>
    </sheetView>
  </sheetViews>
  <sheetFormatPr baseColWidth="10" defaultRowHeight="16"/>
  <cols>
    <col min="2" max="2" width="29.83203125" customWidth="1"/>
  </cols>
  <sheetData>
    <row r="2" spans="2:14">
      <c r="B2" s="23"/>
      <c r="C2" s="52" t="s">
        <v>153</v>
      </c>
      <c r="D2" s="53"/>
      <c r="E2" s="53"/>
      <c r="F2" s="53"/>
      <c r="G2" s="53"/>
      <c r="H2" s="54"/>
      <c r="I2" s="52" t="s">
        <v>164</v>
      </c>
      <c r="J2" s="53"/>
      <c r="K2" s="53"/>
      <c r="L2" s="53"/>
      <c r="M2" s="53"/>
      <c r="N2" s="54"/>
    </row>
    <row r="3" spans="2:14">
      <c r="B3" s="41"/>
      <c r="C3" s="52" t="s">
        <v>110</v>
      </c>
      <c r="D3" s="53"/>
      <c r="E3" s="54"/>
      <c r="F3" s="52" t="s">
        <v>111</v>
      </c>
      <c r="G3" s="53"/>
      <c r="H3" s="54"/>
      <c r="I3" s="52" t="s">
        <v>110</v>
      </c>
      <c r="J3" s="53"/>
      <c r="K3" s="54"/>
      <c r="L3" s="52" t="s">
        <v>111</v>
      </c>
      <c r="M3" s="53"/>
      <c r="N3" s="54"/>
    </row>
    <row r="4" spans="2:14">
      <c r="B4" s="42" t="s">
        <v>0</v>
      </c>
      <c r="C4" s="43" t="s">
        <v>112</v>
      </c>
      <c r="D4" s="43" t="s">
        <v>113</v>
      </c>
      <c r="E4" s="44" t="s">
        <v>114</v>
      </c>
      <c r="F4" s="43" t="s">
        <v>112</v>
      </c>
      <c r="G4" s="43" t="s">
        <v>113</v>
      </c>
      <c r="H4" s="43" t="s">
        <v>114</v>
      </c>
      <c r="I4" s="45" t="s">
        <v>112</v>
      </c>
      <c r="J4" s="43" t="s">
        <v>113</v>
      </c>
      <c r="K4" s="43" t="s">
        <v>114</v>
      </c>
      <c r="L4" s="45" t="s">
        <v>112</v>
      </c>
      <c r="M4" s="43" t="s">
        <v>113</v>
      </c>
      <c r="N4" s="43" t="s">
        <v>114</v>
      </c>
    </row>
    <row r="5" spans="2:14">
      <c r="B5" s="24" t="s">
        <v>115</v>
      </c>
      <c r="C5" s="30">
        <v>7428</v>
      </c>
      <c r="D5" s="30">
        <v>6041</v>
      </c>
      <c r="E5" s="30">
        <v>6058</v>
      </c>
      <c r="F5" s="30">
        <v>258</v>
      </c>
      <c r="G5" s="30">
        <v>167</v>
      </c>
      <c r="H5" s="30">
        <v>215</v>
      </c>
      <c r="I5" s="30">
        <v>75</v>
      </c>
      <c r="J5" s="30">
        <v>44</v>
      </c>
      <c r="K5" s="30">
        <v>70</v>
      </c>
      <c r="L5" s="30">
        <v>20</v>
      </c>
      <c r="M5" s="30">
        <v>13</v>
      </c>
      <c r="N5" s="30">
        <v>18</v>
      </c>
    </row>
    <row r="6" spans="2:14">
      <c r="D6" s="29">
        <f>D5-C5</f>
        <v>-1387</v>
      </c>
    </row>
    <row r="9" spans="2:14">
      <c r="B9" s="23"/>
      <c r="C9" s="41"/>
      <c r="D9" s="42"/>
      <c r="E9" s="46"/>
      <c r="G9" t="s">
        <v>156</v>
      </c>
      <c r="H9" t="s">
        <v>157</v>
      </c>
    </row>
    <row r="10" spans="2:14">
      <c r="B10" s="52"/>
      <c r="C10" s="52"/>
      <c r="D10" s="43"/>
      <c r="E10" s="47"/>
    </row>
    <row r="11" spans="2:14">
      <c r="B11" s="53"/>
      <c r="C11" s="53"/>
      <c r="D11" s="43"/>
      <c r="E11" s="30"/>
      <c r="F11" t="s">
        <v>165</v>
      </c>
      <c r="G11" s="29">
        <f>(D5-C5+G5-F5)/0.33</f>
        <v>-4478.787878787879</v>
      </c>
      <c r="H11" s="29">
        <f>(E5-C5+H5-F5)/0.33</f>
        <v>-4281.818181818182</v>
      </c>
    </row>
    <row r="12" spans="2:14">
      <c r="B12" s="53"/>
      <c r="C12" s="54"/>
      <c r="D12" s="44"/>
      <c r="E12" s="30"/>
      <c r="F12" t="s">
        <v>166</v>
      </c>
      <c r="G12" s="29">
        <f>(J5-I5+M5-L5)/0.33</f>
        <v>-115.15151515151514</v>
      </c>
      <c r="H12" s="29">
        <f>(K5-I5+N5-L5)/0.33</f>
        <v>-21.212121212121211</v>
      </c>
    </row>
    <row r="13" spans="2:14">
      <c r="B13" s="53"/>
      <c r="C13" s="52"/>
      <c r="D13" s="43"/>
      <c r="E13" s="47"/>
    </row>
    <row r="14" spans="2:14">
      <c r="B14" s="53"/>
      <c r="C14" s="53"/>
      <c r="D14" s="43"/>
      <c r="E14" s="30"/>
    </row>
    <row r="15" spans="2:14">
      <c r="B15" s="54"/>
      <c r="C15" s="54"/>
      <c r="D15" s="43"/>
      <c r="E15" s="48"/>
    </row>
    <row r="16" spans="2:14">
      <c r="B16" s="52"/>
      <c r="C16" s="52"/>
      <c r="D16" s="45"/>
      <c r="E16" s="30"/>
    </row>
    <row r="17" spans="2:6">
      <c r="B17" s="53"/>
      <c r="C17" s="53"/>
      <c r="D17" s="43"/>
      <c r="E17" s="30"/>
      <c r="F17">
        <f>1/0.33</f>
        <v>3.0303030303030303</v>
      </c>
    </row>
    <row r="18" spans="2:6">
      <c r="B18" s="53"/>
      <c r="C18" s="54"/>
      <c r="D18" s="43"/>
      <c r="E18" s="48"/>
    </row>
    <row r="19" spans="2:6">
      <c r="B19" s="53"/>
      <c r="C19" s="52"/>
      <c r="D19" s="45"/>
      <c r="E19" s="30"/>
    </row>
    <row r="20" spans="2:6">
      <c r="B20" s="53"/>
      <c r="C20" s="53"/>
      <c r="D20" s="43"/>
      <c r="E20" s="30"/>
    </row>
    <row r="21" spans="2:6">
      <c r="B21" s="54"/>
      <c r="C21" s="54"/>
      <c r="D21" s="43"/>
      <c r="E21" s="48"/>
    </row>
  </sheetData>
  <mergeCells count="12">
    <mergeCell ref="C2:H2"/>
    <mergeCell ref="I2:N2"/>
    <mergeCell ref="C3:E3"/>
    <mergeCell ref="F3:H3"/>
    <mergeCell ref="I3:K3"/>
    <mergeCell ref="L3:N3"/>
    <mergeCell ref="B10:B15"/>
    <mergeCell ref="C10:C12"/>
    <mergeCell ref="C13:C15"/>
    <mergeCell ref="B16:B21"/>
    <mergeCell ref="C16:C18"/>
    <mergeCell ref="C19:C2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D22E-6D25-4244-BEAC-44976CD77AC3}">
  <dimension ref="C1:AA43"/>
  <sheetViews>
    <sheetView topLeftCell="H1" workbookViewId="0">
      <selection activeCell="H13" sqref="H13"/>
    </sheetView>
  </sheetViews>
  <sheetFormatPr baseColWidth="10" defaultRowHeight="16"/>
  <cols>
    <col min="8" max="8" width="18.1640625" style="20" customWidth="1"/>
    <col min="9" max="9" width="11.33203125" style="20" bestFit="1" customWidth="1"/>
    <col min="10" max="10" width="21.33203125" style="20" customWidth="1"/>
    <col min="11" max="11" width="14" style="20" customWidth="1"/>
    <col min="12" max="12" width="11.33203125" style="20" bestFit="1" customWidth="1"/>
  </cols>
  <sheetData>
    <row r="1" spans="3:27">
      <c r="C1" s="3" t="s">
        <v>117</v>
      </c>
      <c r="G1" t="s">
        <v>134</v>
      </c>
      <c r="H1" s="20" t="s">
        <v>135</v>
      </c>
      <c r="I1" s="20" t="s">
        <v>136</v>
      </c>
      <c r="J1" s="20" t="s">
        <v>154</v>
      </c>
      <c r="K1" s="20" t="s">
        <v>135</v>
      </c>
      <c r="L1" s="20" t="s">
        <v>136</v>
      </c>
      <c r="O1" s="3" t="s">
        <v>117</v>
      </c>
      <c r="S1" t="s">
        <v>150</v>
      </c>
      <c r="V1" t="s">
        <v>0</v>
      </c>
      <c r="W1" t="s">
        <v>151</v>
      </c>
      <c r="X1" t="s">
        <v>152</v>
      </c>
      <c r="Z1" t="s">
        <v>151</v>
      </c>
      <c r="AA1" t="s">
        <v>152</v>
      </c>
    </row>
    <row r="2" spans="3:27">
      <c r="C2" s="5" t="s">
        <v>118</v>
      </c>
      <c r="G2" s="1">
        <v>45717</v>
      </c>
      <c r="H2" s="20">
        <v>21335</v>
      </c>
      <c r="I2" s="20">
        <v>11831</v>
      </c>
      <c r="K2" s="20">
        <f>AVERAGE(H2:H32)</f>
        <v>23872.677419354837</v>
      </c>
      <c r="L2" s="20">
        <f>AVERAGE(I2:I32)</f>
        <v>13541.322580645161</v>
      </c>
      <c r="O2" s="5" t="s">
        <v>118</v>
      </c>
      <c r="V2" s="1">
        <v>45717</v>
      </c>
      <c r="W2">
        <v>17046</v>
      </c>
      <c r="X2">
        <v>9430</v>
      </c>
      <c r="Z2">
        <f>AVERAGE(W2:W32)</f>
        <v>18965.032258064515</v>
      </c>
      <c r="AA2">
        <f>AVERAGE(X2:X32)</f>
        <v>10565.806451612903</v>
      </c>
    </row>
    <row r="3" spans="3:27">
      <c r="C3" s="3" t="s">
        <v>119</v>
      </c>
      <c r="G3" s="1">
        <v>45718</v>
      </c>
      <c r="H3" s="20">
        <v>27455</v>
      </c>
      <c r="I3" s="20">
        <v>14399</v>
      </c>
      <c r="O3" s="3" t="s">
        <v>119</v>
      </c>
      <c r="V3" s="1">
        <v>45718</v>
      </c>
      <c r="W3">
        <v>22619</v>
      </c>
      <c r="X3">
        <v>11542</v>
      </c>
    </row>
    <row r="4" spans="3:27">
      <c r="C4" s="2" t="s">
        <v>120</v>
      </c>
      <c r="G4" s="1">
        <v>45719</v>
      </c>
      <c r="H4" s="20">
        <v>28712</v>
      </c>
      <c r="I4" s="20">
        <v>14696</v>
      </c>
      <c r="O4" s="2" t="s">
        <v>120</v>
      </c>
      <c r="V4" s="1">
        <v>45719</v>
      </c>
      <c r="W4">
        <v>23788</v>
      </c>
      <c r="X4">
        <v>11955</v>
      </c>
    </row>
    <row r="5" spans="3:27">
      <c r="C5" s="3" t="s">
        <v>35</v>
      </c>
      <c r="G5" s="1">
        <v>45720</v>
      </c>
      <c r="H5" s="20">
        <v>25002</v>
      </c>
      <c r="I5" s="20">
        <v>13179</v>
      </c>
      <c r="O5" s="3" t="s">
        <v>35</v>
      </c>
      <c r="V5" s="1">
        <v>45720</v>
      </c>
      <c r="W5">
        <v>20464</v>
      </c>
      <c r="X5">
        <v>10588</v>
      </c>
    </row>
    <row r="6" spans="3:27">
      <c r="C6" s="5" t="s">
        <v>121</v>
      </c>
      <c r="G6" s="1">
        <v>45721</v>
      </c>
      <c r="H6" s="20">
        <v>24219</v>
      </c>
      <c r="I6" s="20">
        <v>13230</v>
      </c>
      <c r="O6" s="5" t="s">
        <v>121</v>
      </c>
      <c r="V6" s="1">
        <v>45721</v>
      </c>
      <c r="W6">
        <v>19711</v>
      </c>
      <c r="X6">
        <v>10504</v>
      </c>
    </row>
    <row r="7" spans="3:27">
      <c r="C7" s="3" t="s">
        <v>122</v>
      </c>
      <c r="G7" s="1">
        <v>45722</v>
      </c>
      <c r="H7" s="20">
        <v>22400</v>
      </c>
      <c r="I7" s="20">
        <v>11896</v>
      </c>
      <c r="O7" s="3" t="s">
        <v>122</v>
      </c>
      <c r="V7" s="1">
        <v>45722</v>
      </c>
      <c r="W7">
        <v>18085</v>
      </c>
      <c r="X7">
        <v>9568</v>
      </c>
    </row>
    <row r="8" spans="3:27">
      <c r="C8" s="6" t="s">
        <v>41</v>
      </c>
      <c r="G8" s="1">
        <v>45723</v>
      </c>
      <c r="H8" s="20">
        <v>19319</v>
      </c>
      <c r="I8" s="20">
        <v>11867</v>
      </c>
      <c r="O8" s="6" t="s">
        <v>41</v>
      </c>
      <c r="V8" s="1">
        <v>45723</v>
      </c>
      <c r="W8">
        <v>15398</v>
      </c>
      <c r="X8">
        <v>9322</v>
      </c>
    </row>
    <row r="9" spans="3:27">
      <c r="C9" s="4" t="s">
        <v>123</v>
      </c>
      <c r="G9" s="1">
        <v>45724</v>
      </c>
      <c r="H9" s="20">
        <v>20415</v>
      </c>
      <c r="I9" s="20">
        <v>13080</v>
      </c>
      <c r="O9" s="4" t="s">
        <v>123</v>
      </c>
      <c r="V9" s="1">
        <v>45724</v>
      </c>
      <c r="W9">
        <v>16200</v>
      </c>
      <c r="X9">
        <v>10133</v>
      </c>
    </row>
    <row r="10" spans="3:27">
      <c r="C10" s="6" t="s">
        <v>124</v>
      </c>
      <c r="G10" s="1">
        <v>45725</v>
      </c>
      <c r="H10" s="20">
        <v>23392</v>
      </c>
      <c r="I10" s="20">
        <v>14620</v>
      </c>
      <c r="O10" s="6" t="s">
        <v>124</v>
      </c>
      <c r="V10" s="1">
        <v>45725</v>
      </c>
      <c r="W10">
        <v>18804</v>
      </c>
      <c r="X10">
        <v>11865</v>
      </c>
    </row>
    <row r="11" spans="3:27">
      <c r="C11" s="5" t="s">
        <v>118</v>
      </c>
      <c r="G11" s="1">
        <v>45726</v>
      </c>
      <c r="H11" s="20">
        <v>22781</v>
      </c>
      <c r="I11" s="20">
        <v>14438</v>
      </c>
      <c r="O11" s="5" t="s">
        <v>118</v>
      </c>
      <c r="V11" s="1">
        <v>45726</v>
      </c>
      <c r="W11">
        <v>18192</v>
      </c>
      <c r="X11">
        <v>11445</v>
      </c>
    </row>
    <row r="12" spans="3:27">
      <c r="C12" s="4" t="s">
        <v>125</v>
      </c>
      <c r="G12" s="1">
        <v>45727</v>
      </c>
      <c r="H12" s="20">
        <v>18795</v>
      </c>
      <c r="I12" s="20">
        <v>12057</v>
      </c>
      <c r="O12" s="4" t="s">
        <v>125</v>
      </c>
      <c r="V12" s="1">
        <v>45727</v>
      </c>
      <c r="W12">
        <v>14552</v>
      </c>
      <c r="X12">
        <v>9383</v>
      </c>
    </row>
    <row r="13" spans="3:27">
      <c r="C13" s="3" t="s">
        <v>119</v>
      </c>
      <c r="G13" s="1">
        <v>45728</v>
      </c>
      <c r="H13" s="20">
        <v>19125</v>
      </c>
      <c r="I13" s="20">
        <v>11153</v>
      </c>
      <c r="O13" s="3" t="s">
        <v>119</v>
      </c>
      <c r="V13" s="1">
        <v>45728</v>
      </c>
      <c r="W13">
        <v>14465</v>
      </c>
      <c r="X13">
        <v>8665</v>
      </c>
    </row>
    <row r="14" spans="3:27">
      <c r="C14" s="2" t="s">
        <v>120</v>
      </c>
      <c r="G14" s="1">
        <v>45729</v>
      </c>
      <c r="H14" s="20">
        <v>20152</v>
      </c>
      <c r="I14" s="20">
        <v>11707</v>
      </c>
      <c r="O14" s="2" t="s">
        <v>120</v>
      </c>
      <c r="V14" s="1">
        <v>45729</v>
      </c>
      <c r="W14">
        <v>15348</v>
      </c>
      <c r="X14">
        <v>8972</v>
      </c>
    </row>
    <row r="15" spans="3:27">
      <c r="C15" s="3" t="s">
        <v>35</v>
      </c>
      <c r="G15" s="1">
        <v>45730</v>
      </c>
      <c r="H15" s="20">
        <v>21571</v>
      </c>
      <c r="I15" s="20">
        <v>11659</v>
      </c>
      <c r="O15" s="3" t="s">
        <v>35</v>
      </c>
      <c r="V15" s="1">
        <v>45730</v>
      </c>
      <c r="W15">
        <v>16497</v>
      </c>
      <c r="X15">
        <v>9108</v>
      </c>
    </row>
    <row r="16" spans="3:27">
      <c r="C16" s="5" t="s">
        <v>137</v>
      </c>
      <c r="G16" s="1">
        <v>45731</v>
      </c>
      <c r="H16" s="20">
        <v>22148</v>
      </c>
      <c r="I16" s="20">
        <v>12845</v>
      </c>
      <c r="O16" s="5" t="s">
        <v>137</v>
      </c>
      <c r="V16" s="1">
        <v>45731</v>
      </c>
      <c r="W16">
        <v>16944</v>
      </c>
      <c r="X16">
        <v>10133</v>
      </c>
    </row>
    <row r="17" spans="3:24">
      <c r="C17" s="3" t="s">
        <v>126</v>
      </c>
      <c r="G17" s="1">
        <v>45732</v>
      </c>
      <c r="H17" s="20">
        <v>26263</v>
      </c>
      <c r="I17" s="20">
        <v>14943</v>
      </c>
      <c r="O17" s="3" t="s">
        <v>126</v>
      </c>
      <c r="V17" s="1">
        <v>45732</v>
      </c>
      <c r="W17">
        <v>20680</v>
      </c>
      <c r="X17">
        <v>11807</v>
      </c>
    </row>
    <row r="18" spans="3:24">
      <c r="C18" s="6" t="s">
        <v>41</v>
      </c>
      <c r="G18" s="1">
        <v>45733</v>
      </c>
      <c r="H18" s="20">
        <v>26871</v>
      </c>
      <c r="I18" s="20">
        <v>15295</v>
      </c>
      <c r="O18" s="6" t="s">
        <v>41</v>
      </c>
      <c r="V18" s="1">
        <v>45733</v>
      </c>
      <c r="W18">
        <v>21101</v>
      </c>
      <c r="X18">
        <v>12048</v>
      </c>
    </row>
    <row r="19" spans="3:24">
      <c r="C19" s="3" t="s">
        <v>15</v>
      </c>
      <c r="G19" s="1">
        <v>45734</v>
      </c>
      <c r="H19" s="20">
        <v>24546</v>
      </c>
      <c r="I19" s="20">
        <v>13506</v>
      </c>
      <c r="O19" s="4" t="s">
        <v>138</v>
      </c>
      <c r="V19" s="1">
        <v>45734</v>
      </c>
      <c r="W19">
        <v>18913</v>
      </c>
      <c r="X19">
        <v>9881</v>
      </c>
    </row>
    <row r="20" spans="3:24">
      <c r="C20" s="5" t="s">
        <v>127</v>
      </c>
      <c r="G20" s="1">
        <v>45735</v>
      </c>
      <c r="H20" s="20">
        <v>25047</v>
      </c>
      <c r="I20" s="20">
        <v>12595</v>
      </c>
      <c r="O20" s="3" t="s">
        <v>15</v>
      </c>
      <c r="V20" s="1">
        <v>45735</v>
      </c>
      <c r="W20">
        <v>19191</v>
      </c>
      <c r="X20">
        <v>9469</v>
      </c>
    </row>
    <row r="21" spans="3:24">
      <c r="C21" s="4" t="s">
        <v>128</v>
      </c>
      <c r="G21" s="1">
        <v>45736</v>
      </c>
      <c r="H21" s="20">
        <v>24914</v>
      </c>
      <c r="I21" s="20">
        <v>12574</v>
      </c>
      <c r="O21" s="3" t="s">
        <v>16</v>
      </c>
      <c r="V21" s="1">
        <v>45736</v>
      </c>
      <c r="W21">
        <v>19137</v>
      </c>
      <c r="X21">
        <v>9548</v>
      </c>
    </row>
    <row r="22" spans="3:24">
      <c r="C22" s="4" t="s">
        <v>129</v>
      </c>
      <c r="G22" s="1">
        <v>45737</v>
      </c>
      <c r="H22" s="20">
        <v>22944</v>
      </c>
      <c r="I22" s="20">
        <v>12502</v>
      </c>
      <c r="O22" s="4" t="s">
        <v>17</v>
      </c>
      <c r="V22" s="1">
        <v>45737</v>
      </c>
      <c r="W22">
        <v>17732</v>
      </c>
      <c r="X22">
        <v>9530</v>
      </c>
    </row>
    <row r="23" spans="3:24">
      <c r="C23" s="3" t="s">
        <v>92</v>
      </c>
      <c r="G23" s="1">
        <v>45738</v>
      </c>
      <c r="H23" s="20">
        <v>22747</v>
      </c>
      <c r="I23" s="20">
        <v>13535</v>
      </c>
      <c r="O23" s="4" t="s">
        <v>139</v>
      </c>
      <c r="V23" s="1">
        <v>45738</v>
      </c>
      <c r="W23">
        <v>17706</v>
      </c>
      <c r="X23">
        <v>10441</v>
      </c>
    </row>
    <row r="24" spans="3:24">
      <c r="C24" s="5" t="s">
        <v>130</v>
      </c>
      <c r="G24" s="1">
        <v>45739</v>
      </c>
      <c r="H24" s="20">
        <v>25987</v>
      </c>
      <c r="I24" s="20">
        <v>15550</v>
      </c>
      <c r="O24" s="3" t="s">
        <v>33</v>
      </c>
      <c r="V24" s="1">
        <v>45739</v>
      </c>
      <c r="W24">
        <v>21027</v>
      </c>
      <c r="X24">
        <v>12101</v>
      </c>
    </row>
    <row r="25" spans="3:24">
      <c r="C25" s="3" t="s">
        <v>131</v>
      </c>
      <c r="G25" s="1">
        <v>45740</v>
      </c>
      <c r="H25" s="20">
        <v>25787</v>
      </c>
      <c r="I25" s="20">
        <v>15433</v>
      </c>
      <c r="O25" s="3" t="s">
        <v>35</v>
      </c>
      <c r="V25" s="1">
        <v>45740</v>
      </c>
      <c r="W25">
        <v>20918</v>
      </c>
      <c r="X25">
        <v>12185</v>
      </c>
    </row>
    <row r="26" spans="3:24">
      <c r="C26" s="3" t="s">
        <v>132</v>
      </c>
      <c r="G26" s="1">
        <v>45741</v>
      </c>
      <c r="H26" s="20">
        <v>21956</v>
      </c>
      <c r="I26" s="20">
        <v>13189</v>
      </c>
      <c r="O26" s="5" t="s">
        <v>140</v>
      </c>
      <c r="V26" s="1">
        <v>45741</v>
      </c>
      <c r="W26">
        <v>17518</v>
      </c>
      <c r="X26">
        <v>10163</v>
      </c>
    </row>
    <row r="27" spans="3:24">
      <c r="C27" s="3" t="s">
        <v>133</v>
      </c>
      <c r="G27" s="1">
        <v>45742</v>
      </c>
      <c r="H27" s="20">
        <v>19833</v>
      </c>
      <c r="I27" s="20">
        <v>12962</v>
      </c>
      <c r="O27" s="3" t="s">
        <v>141</v>
      </c>
      <c r="V27" s="1">
        <v>45742</v>
      </c>
      <c r="W27">
        <v>15770</v>
      </c>
      <c r="X27">
        <v>9762</v>
      </c>
    </row>
    <row r="28" spans="3:24">
      <c r="G28" s="1">
        <v>45743</v>
      </c>
      <c r="H28" s="20">
        <v>20042</v>
      </c>
      <c r="I28" s="20">
        <v>12819</v>
      </c>
      <c r="O28" s="3" t="s">
        <v>142</v>
      </c>
      <c r="V28" s="1">
        <v>45743</v>
      </c>
      <c r="W28">
        <v>16033</v>
      </c>
      <c r="X28">
        <v>9631</v>
      </c>
    </row>
    <row r="29" spans="3:24">
      <c r="G29" s="1">
        <v>45744</v>
      </c>
      <c r="H29" s="20">
        <v>20585</v>
      </c>
      <c r="I29" s="20">
        <v>13211</v>
      </c>
      <c r="O29" s="6" t="s">
        <v>41</v>
      </c>
      <c r="V29" s="1">
        <v>45744</v>
      </c>
      <c r="W29">
        <v>16464</v>
      </c>
      <c r="X29">
        <v>9890</v>
      </c>
    </row>
    <row r="30" spans="3:24">
      <c r="G30" s="1">
        <v>45745</v>
      </c>
      <c r="H30" s="20">
        <v>22261</v>
      </c>
      <c r="I30" s="20">
        <v>13605</v>
      </c>
      <c r="O30" s="3" t="s">
        <v>15</v>
      </c>
      <c r="V30" s="1">
        <v>45745</v>
      </c>
      <c r="W30">
        <v>17848</v>
      </c>
      <c r="X30">
        <v>10464</v>
      </c>
    </row>
    <row r="31" spans="3:24">
      <c r="G31" s="1">
        <v>45746</v>
      </c>
      <c r="H31" s="20">
        <v>30660</v>
      </c>
      <c r="I31" s="20">
        <v>16818</v>
      </c>
      <c r="O31" s="5" t="s">
        <v>143</v>
      </c>
      <c r="V31" s="1">
        <v>45746</v>
      </c>
      <c r="W31">
        <v>24794</v>
      </c>
      <c r="X31">
        <v>13270</v>
      </c>
    </row>
    <row r="32" spans="3:24">
      <c r="G32" s="1">
        <v>45747</v>
      </c>
      <c r="H32" s="20">
        <v>42789</v>
      </c>
      <c r="I32" s="20">
        <v>18587</v>
      </c>
      <c r="O32" s="4" t="s">
        <v>144</v>
      </c>
      <c r="V32" s="1">
        <v>45747</v>
      </c>
      <c r="W32">
        <v>34971</v>
      </c>
      <c r="X32">
        <v>14737</v>
      </c>
    </row>
    <row r="33" spans="3:15">
      <c r="O33" s="4" t="s">
        <v>145</v>
      </c>
    </row>
    <row r="34" spans="3:15">
      <c r="O34" s="3" t="s">
        <v>92</v>
      </c>
    </row>
    <row r="35" spans="3:15">
      <c r="O35" s="6" t="s">
        <v>146</v>
      </c>
    </row>
    <row r="36" spans="3:15">
      <c r="O36" s="3" t="s">
        <v>147</v>
      </c>
    </row>
    <row r="37" spans="3:15">
      <c r="O37" s="3" t="s">
        <v>92</v>
      </c>
    </row>
    <row r="38" spans="3:15">
      <c r="O38" s="5" t="s">
        <v>130</v>
      </c>
    </row>
    <row r="39" spans="3:15">
      <c r="O39" s="3" t="s">
        <v>131</v>
      </c>
    </row>
    <row r="40" spans="3:15">
      <c r="O40" s="6" t="s">
        <v>148</v>
      </c>
    </row>
    <row r="41" spans="3:15">
      <c r="C41" s="55" t="s">
        <v>153</v>
      </c>
      <c r="D41" s="28" t="s">
        <v>112</v>
      </c>
      <c r="E41" s="30">
        <v>113961</v>
      </c>
      <c r="O41" s="3" t="s">
        <v>149</v>
      </c>
    </row>
    <row r="42" spans="3:15">
      <c r="C42" s="56"/>
      <c r="D42" s="28" t="s">
        <v>113</v>
      </c>
      <c r="E42" s="30">
        <v>91115</v>
      </c>
      <c r="F42" s="29">
        <f>(E42-E$41)/17</f>
        <v>-1343.8823529411766</v>
      </c>
      <c r="O42" s="3" t="s">
        <v>132</v>
      </c>
    </row>
    <row r="43" spans="3:15">
      <c r="C43" s="57"/>
      <c r="D43" s="28" t="s">
        <v>114</v>
      </c>
      <c r="E43" s="30">
        <v>93071</v>
      </c>
      <c r="F43" s="29">
        <f>(E43-E$41)/17</f>
        <v>-1228.8235294117646</v>
      </c>
      <c r="O43" s="3" t="s">
        <v>133</v>
      </c>
    </row>
  </sheetData>
  <mergeCells count="1">
    <mergeCell ref="C41:C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订阅收入</vt:lpstr>
      <vt:lpstr>订阅收入4.28</vt:lpstr>
      <vt:lpstr>Sheet1</vt:lpstr>
      <vt:lpstr>广告收入</vt:lpstr>
      <vt:lpstr>汇总</vt:lpstr>
      <vt:lpstr>新增7天且活跃用户数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2025-04-25T08:43:21Z</dcterms:created>
  <dcterms:modified xsi:type="dcterms:W3CDTF">2025-04-28T11:07:19Z</dcterms:modified>
</cp:coreProperties>
</file>